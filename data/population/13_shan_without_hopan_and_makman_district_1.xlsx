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0" windowWidth="9660" windowHeight="9000" tabRatio="784" firstSheet="76" activeTab="83"/>
  </bookViews>
  <sheets>
    <sheet name="Link of Township" sheetId="87" r:id="rId1"/>
    <sheet name="Taunggyi" sheetId="2" r:id="rId2"/>
    <sheet name=" Nyaungshwe" sheetId="3" r:id="rId3"/>
    <sheet name="Hopong" sheetId="4" r:id="rId4"/>
    <sheet name="Hsihseng" sheetId="5" r:id="rId5"/>
    <sheet name="Kalaw" sheetId="6" r:id="rId6"/>
    <sheet name="Pindaya" sheetId="7" r:id="rId7"/>
    <sheet name="Ywangan" sheetId="8" r:id="rId8"/>
    <sheet name="Yatsauk" sheetId="9" r:id="rId9"/>
    <sheet name="Pinlaung" sheetId="10" r:id="rId10"/>
    <sheet name="Phekon" sheetId="11" r:id="rId11"/>
    <sheet name="Kyauktalongyi (Sub-Tsp)" sheetId="12" r:id="rId12"/>
    <sheet name="Indaw (Sub-Tsp)" sheetId="13" r:id="rId13"/>
    <sheet name="Naungtayar (Sub-Tsp)" sheetId="14" r:id="rId14"/>
    <sheet name="Loilem" sheetId="15" r:id="rId15"/>
    <sheet name="Lahecha" sheetId="16" r:id="rId16"/>
    <sheet name="Nanhsam(South)" sheetId="17" r:id="rId17"/>
    <sheet name="Kunhing" sheetId="18" r:id="rId18"/>
    <sheet name="Kehsi" sheetId="19" r:id="rId19"/>
    <sheet name="Mongkai" sheetId="20" r:id="rId20"/>
    <sheet name="Mineshu" sheetId="21" r:id="rId21"/>
    <sheet name="Panglong (Sub-Tsp)" sheetId="22" r:id="rId22"/>
    <sheet name="Kholan(Sub-Tsp)" sheetId="23" r:id="rId23"/>
    <sheet name="Karli(sub-Tsp)" sheetId="24" r:id="rId24"/>
    <sheet name="Minenaung(Sub-Tsp)" sheetId="25" r:id="rId25"/>
    <sheet name="Minesan(Monsan)(Sub-Tsp)" sheetId="26" r:id="rId26"/>
    <sheet name="Linkhe" sheetId="27" r:id="rId27"/>
    <sheet name="Mone" sheetId="28" r:id="rId28"/>
    <sheet name="Maukme" sheetId="29" r:id="rId29"/>
    <sheet name="Minepan" sheetId="30" r:id="rId30"/>
    <sheet name="Homane (Sub-Tsp)" sheetId="31" r:id="rId31"/>
    <sheet name="Kengtaung(Sub-Tsp)" sheetId="32" r:id="rId32"/>
    <sheet name="Lashio" sheetId="33" r:id="rId33"/>
    <sheet name="Theinni" sheetId="34" r:id="rId34"/>
    <sheet name="Mineye" sheetId="35" r:id="rId35"/>
    <sheet name="Tantyan" sheetId="36" r:id="rId36"/>
    <sheet name="Muse" sheetId="37" r:id="rId37"/>
    <sheet name="Namkham" sheetId="38" r:id="rId38"/>
    <sheet name="Kukai" sheetId="39" r:id="rId39"/>
    <sheet name="Monekoe(Sub-Tsp)" sheetId="40" r:id="rId40"/>
    <sheet name="Manhero (Manhyo)(Sub-Tsp)" sheetId="41" r:id="rId41"/>
    <sheet name="Pansai (Kyu Kok) (Sub-Tsp)" sheetId="42" r:id="rId42"/>
    <sheet name="Tamoenye (Sub-Tsp)" sheetId="43" r:id="rId43"/>
    <sheet name="Kyaukme" sheetId="44" r:id="rId44"/>
    <sheet name=" Naungkhio" sheetId="45" r:id="rId45"/>
    <sheet name="Hsipaw" sheetId="46" r:id="rId46"/>
    <sheet name="Namtu" sheetId="47" r:id="rId47"/>
    <sheet name="Namsan (North)" sheetId="48" r:id="rId48"/>
    <sheet name="Momeik" sheetId="49" r:id="rId49"/>
    <sheet name="Mabane" sheetId="50" r:id="rId50"/>
    <sheet name="Manton" sheetId="51" r:id="rId51"/>
    <sheet name="Minengaw(Sub-Tsp)" sheetId="52" r:id="rId52"/>
    <sheet name="Minelon(Sub-Tsp)" sheetId="53" r:id="rId53"/>
    <sheet name="Kunlon" sheetId="54" r:id="rId54"/>
    <sheet name="Laukine" sheetId="55" r:id="rId55"/>
    <sheet name="Kongyan" sheetId="56" r:id="rId56"/>
    <sheet name="Chinshwehaw(Sub-Tsp)" sheetId="57" r:id="rId57"/>
    <sheet name="Mawhtike (Sub-Tsp)" sheetId="58" r:id="rId58"/>
    <sheet name="Hopan" sheetId="88" r:id="rId59"/>
    <sheet name="Minemaw" sheetId="89" r:id="rId60"/>
    <sheet name="Panwine" sheetId="90" r:id="rId61"/>
    <sheet name="Panlon(Sub-Tsp)" sheetId="91" r:id="rId62"/>
    <sheet name="Makman" sheetId="92" r:id="rId63"/>
    <sheet name="Pan San(Pan Kham)" sheetId="93" r:id="rId64"/>
    <sheet name="Naphang" sheetId="94" r:id="rId65"/>
    <sheet name="ManKan(Sub-Tsp)" sheetId="95" r:id="rId66"/>
    <sheet name="Kengtung" sheetId="67" r:id="rId67"/>
    <sheet name="Minekat" sheetId="68" r:id="rId68"/>
    <sheet name="Mineyan" sheetId="69" r:id="rId69"/>
    <sheet name="Minelar" sheetId="70" r:id="rId70"/>
    <sheet name="Minw Pauk(Sub-Tsp)" sheetId="71" r:id="rId71"/>
    <sheet name="Minesat" sheetId="72" r:id="rId72"/>
    <sheet name="Minepyin" sheetId="73" r:id="rId73"/>
    <sheet name="Minetung" sheetId="74" r:id="rId74"/>
    <sheet name="Minekoke(Sub-Tsp)" sheetId="75" r:id="rId75"/>
    <sheet name="Tontar (Sub-Tsp)" sheetId="76" r:id="rId76"/>
    <sheet name="Ponparkyin(Sub-Tsp)" sheetId="77" r:id="rId77"/>
    <sheet name="Monehta (Subn-Tsp)" sheetId="78" r:id="rId78"/>
    <sheet name="Tachileik" sheetId="79" r:id="rId79"/>
    <sheet name="Talay (Sub-Tsp)" sheetId="80" r:id="rId80"/>
    <sheet name="Kenglat(Sub-Tsp)" sheetId="81" r:id="rId81"/>
    <sheet name="Minephyat" sheetId="82" r:id="rId82"/>
    <sheet name="Mineyaung" sheetId="83" r:id="rId83"/>
    <sheet name="Mineyu(Sub-Tsp)" sheetId="84" r:id="rId84"/>
    <sheet name="Sheet2" sheetId="85" r:id="rId85"/>
    <sheet name="Sheet3" sheetId="86" r:id="rId86"/>
  </sheets>
  <definedNames>
    <definedName name="_xlnm.Print_Titles" localSheetId="44">' Naungkhio'!$1:$5</definedName>
    <definedName name="_xlnm.Print_Titles" localSheetId="2">' Nyaungshwe'!$1:$5</definedName>
    <definedName name="_xlnm.Print_Titles" localSheetId="30">'Homane (Sub-Tsp)'!$1:$5</definedName>
    <definedName name="_xlnm.Print_Titles" localSheetId="58">Hopan!$2:$5</definedName>
    <definedName name="_xlnm.Print_Titles" localSheetId="3">Hopong!$1:$5</definedName>
    <definedName name="_xlnm.Print_Titles" localSheetId="4">Hsihseng!$1:$5</definedName>
    <definedName name="_xlnm.Print_Titles" localSheetId="45">Hsipaw!$1:$5</definedName>
    <definedName name="_xlnm.Print_Titles" localSheetId="12">'Indaw (Sub-Tsp)'!$1:$5</definedName>
    <definedName name="_xlnm.Print_Titles" localSheetId="5">Kalaw!$1:$5</definedName>
    <definedName name="_xlnm.Print_Titles" localSheetId="23">'Karli(sub-Tsp)'!$1:$5</definedName>
    <definedName name="_xlnm.Print_Titles" localSheetId="18">Kehsi!$1:$5</definedName>
    <definedName name="_xlnm.Print_Titles" localSheetId="31">'Kengtaung(Sub-Tsp)'!$1:$5</definedName>
    <definedName name="_xlnm.Print_Titles" localSheetId="66">Kengtung!$1:$5</definedName>
    <definedName name="_xlnm.Print_Titles" localSheetId="22">'Kholan(Sub-Tsp)'!$1:$5</definedName>
    <definedName name="_xlnm.Print_Titles" localSheetId="55">Kongyan!$1:$5</definedName>
    <definedName name="_xlnm.Print_Titles" localSheetId="38">Kukai!$1:$5</definedName>
    <definedName name="_xlnm.Print_Titles" localSheetId="17">Kunhing!$1:$5</definedName>
    <definedName name="_xlnm.Print_Titles" localSheetId="53">Kunlon!$1:$5</definedName>
    <definedName name="_xlnm.Print_Titles" localSheetId="43">Kyaukme!$1:$5</definedName>
    <definedName name="_xlnm.Print_Titles" localSheetId="11">'Kyauktalongyi (Sub-Tsp)'!$1:$5</definedName>
    <definedName name="_xlnm.Print_Titles" localSheetId="15">Lahecha!$1:$5</definedName>
    <definedName name="_xlnm.Print_Titles" localSheetId="32">Lashio!$1:$5</definedName>
    <definedName name="_xlnm.Print_Titles" localSheetId="54">Laukine!$1:$5</definedName>
    <definedName name="_xlnm.Print_Titles" localSheetId="26">Linkhe!$1:$5</definedName>
    <definedName name="_xlnm.Print_Titles" localSheetId="49">Mabane!$1:$5</definedName>
    <definedName name="_xlnm.Print_Titles" localSheetId="40">'Manhero (Manhyo)(Sub-Tsp)'!$1:$5</definedName>
    <definedName name="_xlnm.Print_Titles" localSheetId="50">Manton!$1:$5</definedName>
    <definedName name="_xlnm.Print_Titles" localSheetId="28">Maukme!$1:$5</definedName>
    <definedName name="_xlnm.Print_Titles" localSheetId="67">Minekat!$1:$5</definedName>
    <definedName name="_xlnm.Print_Titles" localSheetId="74">'Minekoke(Sub-Tsp)'!$1:$5</definedName>
    <definedName name="_xlnm.Print_Titles" localSheetId="69">Minelar!$1:$5</definedName>
    <definedName name="_xlnm.Print_Titles" localSheetId="52">'Minelon(Sub-Tsp)'!$1:$5</definedName>
    <definedName name="_xlnm.Print_Titles" localSheetId="59">Minemaw!$2:$5</definedName>
    <definedName name="_xlnm.Print_Titles" localSheetId="24">'Minenaung(Sub-Tsp)'!$1:$5</definedName>
    <definedName name="_xlnm.Print_Titles" localSheetId="51">'Minengaw(Sub-Tsp)'!$1:$5</definedName>
    <definedName name="_xlnm.Print_Titles" localSheetId="29">Minepan!$1:$5</definedName>
    <definedName name="_xlnm.Print_Titles" localSheetId="72">Minepyin!$1:$5</definedName>
    <definedName name="_xlnm.Print_Titles" localSheetId="25">'Minesan(Monsan)(Sub-Tsp)'!$1:$5</definedName>
    <definedName name="_xlnm.Print_Titles" localSheetId="71">Minesat!$1:$5</definedName>
    <definedName name="_xlnm.Print_Titles" localSheetId="20">Mineshu!$1:$5</definedName>
    <definedName name="_xlnm.Print_Titles" localSheetId="73">Minetung!$1:$5</definedName>
    <definedName name="_xlnm.Print_Titles" localSheetId="68">Mineyan!$1:$5</definedName>
    <definedName name="_xlnm.Print_Titles" localSheetId="82">Mineyaung!$1:$5</definedName>
    <definedName name="_xlnm.Print_Titles" localSheetId="34">Mineye!$1:$5</definedName>
    <definedName name="_xlnm.Print_Titles" localSheetId="83">'Mineyu(Sub-Tsp)'!$1:$5</definedName>
    <definedName name="_xlnm.Print_Titles" localSheetId="70">'Minw Pauk(Sub-Tsp)'!$1:$5</definedName>
    <definedName name="_xlnm.Print_Titles" localSheetId="48">Momeik!$1:$5</definedName>
    <definedName name="_xlnm.Print_Titles" localSheetId="27">Mone!$1:$5</definedName>
    <definedName name="_xlnm.Print_Titles" localSheetId="77">'Monehta (Subn-Tsp)'!$1:$5</definedName>
    <definedName name="_xlnm.Print_Titles" localSheetId="39">'Monekoe(Sub-Tsp)'!$1:$5</definedName>
    <definedName name="_xlnm.Print_Titles" localSheetId="19">Mongkai!$1:$5</definedName>
    <definedName name="_xlnm.Print_Titles" localSheetId="36">Muse!$1:$5</definedName>
    <definedName name="_xlnm.Print_Titles" localSheetId="37">Namkham!$1:$5</definedName>
    <definedName name="_xlnm.Print_Titles" localSheetId="47">'Namsan (North)'!$1:$5</definedName>
    <definedName name="_xlnm.Print_Titles" localSheetId="46">Namtu!$1:$5</definedName>
    <definedName name="_xlnm.Print_Titles" localSheetId="16">'Nanhsam(South)'!$1:$5</definedName>
    <definedName name="_xlnm.Print_Titles" localSheetId="64">Naphang!$1:$4</definedName>
    <definedName name="_xlnm.Print_Titles" localSheetId="13">'Naungtayar (Sub-Tsp)'!$1:$5</definedName>
    <definedName name="_xlnm.Print_Titles" localSheetId="63">'Pan San(Pan Kham)'!$2:$5</definedName>
    <definedName name="_xlnm.Print_Titles" localSheetId="21">'Panglong (Sub-Tsp)'!$1:$5</definedName>
    <definedName name="_xlnm.Print_Titles" localSheetId="41">'Pansai (Kyu Kok) (Sub-Tsp)'!$1:$5</definedName>
    <definedName name="_xlnm.Print_Titles" localSheetId="60">Panwine!$2:$5</definedName>
    <definedName name="_xlnm.Print_Titles" localSheetId="10">Phekon!$1:$5</definedName>
    <definedName name="_xlnm.Print_Titles" localSheetId="6">Pindaya!$1:$5</definedName>
    <definedName name="_xlnm.Print_Titles" localSheetId="9">Pinlaung!$1:$5</definedName>
    <definedName name="_xlnm.Print_Titles" localSheetId="76">'Ponparkyin(Sub-Tsp)'!$1:$5</definedName>
    <definedName name="_xlnm.Print_Titles" localSheetId="78">Tachileik!$1:$5</definedName>
    <definedName name="_xlnm.Print_Titles" localSheetId="42">'Tamoenye (Sub-Tsp)'!$1:$5</definedName>
    <definedName name="_xlnm.Print_Titles" localSheetId="35">Tantyan!$1:$5</definedName>
    <definedName name="_xlnm.Print_Titles" localSheetId="1">Taunggyi!$1:$5</definedName>
    <definedName name="_xlnm.Print_Titles" localSheetId="33">Theinni!$1:$5</definedName>
    <definedName name="_xlnm.Print_Titles" localSheetId="75">'Tontar (Sub-Tsp)'!$1:$5</definedName>
    <definedName name="_xlnm.Print_Titles" localSheetId="8">Yatsauk!$1:$5</definedName>
    <definedName name="_xlnm.Print_Titles" localSheetId="7">Ywangan!$1:$5</definedName>
  </definedNames>
  <calcPr calcId="144525" iterate="1" iterateCount="1000" calcOnSave="0"/>
</workbook>
</file>

<file path=xl/calcChain.xml><?xml version="1.0" encoding="utf-8"?>
<calcChain xmlns="http://schemas.openxmlformats.org/spreadsheetml/2006/main">
  <c r="B67" i="87" l="1"/>
  <c r="E5" i="94"/>
  <c r="D5" i="94"/>
  <c r="C5" i="94"/>
  <c r="E6" i="93"/>
  <c r="D6" i="93"/>
  <c r="C6" i="93"/>
  <c r="E10" i="92"/>
  <c r="D10" i="92"/>
  <c r="D6" i="92" s="1"/>
  <c r="C10" i="92"/>
  <c r="E7" i="92"/>
  <c r="D7" i="92"/>
  <c r="C7" i="92"/>
  <c r="C6" i="92" s="1"/>
  <c r="E6" i="92"/>
  <c r="E6" i="90"/>
  <c r="D6" i="90"/>
  <c r="C6" i="90"/>
  <c r="E6" i="89"/>
  <c r="D6" i="89"/>
  <c r="C6" i="89"/>
  <c r="B84" i="87" l="1"/>
  <c r="B83" i="87"/>
  <c r="B82" i="87"/>
  <c r="B81" i="87" l="1"/>
  <c r="B80" i="87"/>
  <c r="B79" i="87"/>
  <c r="B78" i="87"/>
  <c r="B77" i="87"/>
  <c r="B76" i="87"/>
  <c r="B75" i="87"/>
  <c r="B74" i="87"/>
  <c r="B73" i="87"/>
  <c r="B72" i="87"/>
  <c r="B71" i="87"/>
  <c r="B70" i="87"/>
  <c r="B69" i="87"/>
  <c r="B68" i="87"/>
  <c r="B58" i="87"/>
  <c r="B57" i="87"/>
  <c r="B56" i="87"/>
  <c r="B55" i="87"/>
  <c r="B54" i="87"/>
  <c r="B53" i="87"/>
  <c r="B52" i="87"/>
  <c r="B51" i="87"/>
  <c r="B50" i="87"/>
  <c r="B49" i="87"/>
  <c r="B48" i="87"/>
  <c r="B47" i="87"/>
  <c r="B46" i="87"/>
  <c r="B45" i="87"/>
  <c r="B44" i="87"/>
  <c r="B43" i="87"/>
  <c r="B42" i="87"/>
  <c r="B41" i="87"/>
  <c r="B40" i="87"/>
  <c r="B39" i="87"/>
  <c r="B38" i="87"/>
  <c r="B37" i="87"/>
  <c r="B36" i="87"/>
  <c r="B35" i="87"/>
  <c r="B34" i="87"/>
  <c r="B33" i="87"/>
  <c r="B32" i="87"/>
  <c r="B31" i="87"/>
  <c r="B30" i="87"/>
  <c r="B29" i="87"/>
  <c r="B28" i="87"/>
  <c r="B27" i="87"/>
  <c r="B26" i="87"/>
  <c r="B25" i="87"/>
  <c r="B24" i="87"/>
  <c r="B23" i="87"/>
  <c r="B22" i="87"/>
  <c r="B21" i="87"/>
  <c r="B20" i="87"/>
  <c r="B19" i="87"/>
  <c r="B18" i="87"/>
  <c r="B17" i="87"/>
  <c r="B16" i="87"/>
  <c r="B15" i="87"/>
  <c r="B14" i="87"/>
  <c r="B13" i="87"/>
  <c r="B12" i="87"/>
  <c r="B11" i="87"/>
  <c r="B10" i="87"/>
  <c r="B9" i="87"/>
  <c r="B8" i="87"/>
  <c r="B7" i="87"/>
  <c r="B6" i="87"/>
  <c r="B5" i="87"/>
  <c r="B4" i="87"/>
  <c r="B3" i="87"/>
  <c r="B2" i="87"/>
  <c r="D15" i="79" l="1"/>
  <c r="E15" i="79"/>
  <c r="D8" i="79"/>
  <c r="E8" i="79"/>
  <c r="C15" i="79"/>
  <c r="C8" i="79"/>
  <c r="D15" i="24"/>
  <c r="E15" i="24"/>
  <c r="D8" i="24"/>
  <c r="E8" i="24"/>
  <c r="C15" i="24"/>
  <c r="C8" i="24"/>
  <c r="D8" i="84"/>
  <c r="E8" i="84"/>
  <c r="D11" i="84"/>
  <c r="E11" i="84"/>
  <c r="C11" i="84"/>
  <c r="C8" i="84"/>
  <c r="D18" i="83"/>
  <c r="E18" i="83"/>
  <c r="D8" i="83"/>
  <c r="E8" i="83"/>
  <c r="C18" i="83"/>
  <c r="C8" i="83"/>
  <c r="D8" i="82"/>
  <c r="E8" i="82"/>
  <c r="D12" i="82"/>
  <c r="E12" i="82"/>
  <c r="C12" i="82"/>
  <c r="C8" i="82"/>
  <c r="D12" i="81"/>
  <c r="E12" i="81"/>
  <c r="D8" i="81"/>
  <c r="E8" i="81"/>
  <c r="C12" i="81"/>
  <c r="C8" i="81"/>
  <c r="D13" i="80"/>
  <c r="E13" i="80"/>
  <c r="D8" i="80"/>
  <c r="E8" i="80"/>
  <c r="C13" i="80"/>
  <c r="C8" i="80"/>
  <c r="D8" i="78" l="1"/>
  <c r="E8" i="78"/>
  <c r="C8" i="78"/>
  <c r="D8" i="77"/>
  <c r="E8" i="77"/>
  <c r="C8" i="77"/>
  <c r="D8" i="76"/>
  <c r="E8" i="76"/>
  <c r="D13" i="76"/>
  <c r="E13" i="76"/>
  <c r="C13" i="76"/>
  <c r="C8" i="76"/>
  <c r="D12" i="75"/>
  <c r="E12" i="75"/>
  <c r="D8" i="75"/>
  <c r="E8" i="75"/>
  <c r="C12" i="75"/>
  <c r="C8" i="75"/>
  <c r="D8" i="74"/>
  <c r="E8" i="74"/>
  <c r="C8" i="74"/>
  <c r="D12" i="72"/>
  <c r="E12" i="72"/>
  <c r="C12" i="72"/>
  <c r="D8" i="72"/>
  <c r="E8" i="72"/>
  <c r="C8" i="72"/>
  <c r="D12" i="73"/>
  <c r="E12" i="73"/>
  <c r="D8" i="73"/>
  <c r="E8" i="73"/>
  <c r="C12" i="73"/>
  <c r="C8" i="73"/>
  <c r="D8" i="70"/>
  <c r="E8" i="70"/>
  <c r="C8" i="70"/>
  <c r="D8" i="69"/>
  <c r="E8" i="69"/>
  <c r="C8" i="69"/>
  <c r="D8" i="68" l="1"/>
  <c r="E8" i="68"/>
  <c r="C8" i="68"/>
  <c r="D8" i="67" l="1"/>
  <c r="E8" i="67"/>
  <c r="D14" i="67"/>
  <c r="E14" i="67"/>
  <c r="C14" i="67"/>
  <c r="C8" i="67"/>
  <c r="D12" i="58" l="1"/>
  <c r="E12" i="58"/>
  <c r="D8" i="58"/>
  <c r="E8" i="58"/>
  <c r="C12" i="58"/>
  <c r="C8" i="58"/>
  <c r="D8" i="57"/>
  <c r="E8" i="57"/>
  <c r="D12" i="57"/>
  <c r="E12" i="57"/>
  <c r="C12" i="57"/>
  <c r="C8" i="57"/>
  <c r="D8" i="56"/>
  <c r="E8" i="56"/>
  <c r="D12" i="56"/>
  <c r="E12" i="56"/>
  <c r="C12" i="56"/>
  <c r="C8" i="56"/>
  <c r="D8" i="55"/>
  <c r="E8" i="55"/>
  <c r="D12" i="55"/>
  <c r="E12" i="55"/>
  <c r="C12" i="55"/>
  <c r="C8" i="55"/>
  <c r="D8" i="54"/>
  <c r="E8" i="54"/>
  <c r="D16" i="54"/>
  <c r="E16" i="54"/>
  <c r="C16" i="54"/>
  <c r="C8" i="54"/>
  <c r="D8" i="53"/>
  <c r="E8" i="53"/>
  <c r="D15" i="53"/>
  <c r="E15" i="53"/>
  <c r="C15" i="53"/>
  <c r="C8" i="53"/>
  <c r="D14" i="52"/>
  <c r="E14" i="52"/>
  <c r="D8" i="52"/>
  <c r="E8" i="52"/>
  <c r="C14" i="52"/>
  <c r="C8" i="52"/>
  <c r="D12" i="51"/>
  <c r="E12" i="51"/>
  <c r="C12" i="51"/>
  <c r="D8" i="51"/>
  <c r="E8" i="51"/>
  <c r="C8" i="51"/>
  <c r="E8" i="50"/>
  <c r="D8" i="50"/>
  <c r="E12" i="50"/>
  <c r="D12" i="50"/>
  <c r="C12" i="50"/>
  <c r="C8" i="50"/>
  <c r="D13" i="49"/>
  <c r="E13" i="49"/>
  <c r="C13" i="49"/>
  <c r="D8" i="49"/>
  <c r="E8" i="49"/>
  <c r="C8" i="49"/>
  <c r="D8" i="48"/>
  <c r="E8" i="48"/>
  <c r="D15" i="48"/>
  <c r="E15" i="48"/>
  <c r="C15" i="48"/>
  <c r="C8" i="48"/>
  <c r="D11" i="47"/>
  <c r="E11" i="47"/>
  <c r="C11" i="47"/>
  <c r="D8" i="47"/>
  <c r="E8" i="47"/>
  <c r="C8" i="47"/>
  <c r="D8" i="46"/>
  <c r="E8" i="46"/>
  <c r="D20" i="46"/>
  <c r="E20" i="46"/>
  <c r="C20" i="46"/>
  <c r="C8" i="46"/>
  <c r="D8" i="45"/>
  <c r="E8" i="45"/>
  <c r="D15" i="45"/>
  <c r="E15" i="45"/>
  <c r="C15" i="45"/>
  <c r="C8" i="45"/>
  <c r="D18" i="44"/>
  <c r="E18" i="44"/>
  <c r="C18" i="44"/>
  <c r="D8" i="44"/>
  <c r="E8" i="44"/>
  <c r="C8" i="44"/>
  <c r="E8" i="43"/>
  <c r="D8" i="43"/>
  <c r="D17" i="43"/>
  <c r="E17" i="43"/>
  <c r="C17" i="43"/>
  <c r="C8" i="43"/>
  <c r="D8" i="42"/>
  <c r="E8" i="42"/>
  <c r="D14" i="42"/>
  <c r="E14" i="42"/>
  <c r="C14" i="42"/>
  <c r="C8" i="42"/>
  <c r="D8" i="41"/>
  <c r="E8" i="41"/>
  <c r="D12" i="41"/>
  <c r="E12" i="41"/>
  <c r="C12" i="41"/>
  <c r="C8" i="41"/>
  <c r="D8" i="40"/>
  <c r="E8" i="40"/>
  <c r="D16" i="40"/>
  <c r="E16" i="40"/>
  <c r="C16" i="40"/>
  <c r="C8" i="40"/>
  <c r="D17" i="39"/>
  <c r="E17" i="39"/>
  <c r="D8" i="39"/>
  <c r="E8" i="39"/>
  <c r="C17" i="39"/>
  <c r="C8" i="39"/>
  <c r="D8" i="38"/>
  <c r="E8" i="38"/>
  <c r="D23" i="38"/>
  <c r="E23" i="38"/>
  <c r="C23" i="38"/>
  <c r="C8" i="38"/>
  <c r="D8" i="37"/>
  <c r="E8" i="37"/>
  <c r="D18" i="37"/>
  <c r="E18" i="37"/>
  <c r="C18" i="37"/>
  <c r="C8" i="37"/>
  <c r="D19" i="36"/>
  <c r="E19" i="36"/>
  <c r="D8" i="36"/>
  <c r="E8" i="36"/>
  <c r="C19" i="36"/>
  <c r="C8" i="36"/>
  <c r="D8" i="35"/>
  <c r="E8" i="35"/>
  <c r="D12" i="35"/>
  <c r="E12" i="35"/>
  <c r="C12" i="35"/>
  <c r="C8" i="35"/>
  <c r="D8" i="34"/>
  <c r="E8" i="34"/>
  <c r="D13" i="34"/>
  <c r="E13" i="34"/>
  <c r="C13" i="34"/>
  <c r="C8" i="34"/>
  <c r="D21" i="33"/>
  <c r="E21" i="33"/>
  <c r="C21" i="33"/>
  <c r="D8" i="33"/>
  <c r="E8" i="33"/>
  <c r="C8" i="33"/>
  <c r="D16" i="32"/>
  <c r="E16" i="32"/>
  <c r="D8" i="32"/>
  <c r="E8" i="32"/>
  <c r="C16" i="32"/>
  <c r="C8" i="32"/>
  <c r="D12" i="31" l="1"/>
  <c r="E12" i="31"/>
  <c r="D8" i="31"/>
  <c r="E8" i="31"/>
  <c r="C12" i="31"/>
  <c r="C8" i="31"/>
  <c r="D13" i="30" l="1"/>
  <c r="E13" i="30"/>
  <c r="D8" i="30"/>
  <c r="E8" i="30"/>
  <c r="C13" i="30"/>
  <c r="C8" i="30"/>
  <c r="D16" i="29"/>
  <c r="E16" i="29"/>
  <c r="D8" i="29"/>
  <c r="E8" i="29"/>
  <c r="C16" i="29"/>
  <c r="C8" i="29"/>
  <c r="D14" i="28"/>
  <c r="E14" i="28"/>
  <c r="D8" i="28"/>
  <c r="E8" i="28"/>
  <c r="C14" i="28"/>
  <c r="C8" i="28"/>
  <c r="D8" i="27" l="1"/>
  <c r="E8" i="27"/>
  <c r="D17" i="27"/>
  <c r="E17" i="27"/>
  <c r="C17" i="27"/>
  <c r="C8" i="27"/>
  <c r="D12" i="26"/>
  <c r="E12" i="26"/>
  <c r="D8" i="26"/>
  <c r="E8" i="26"/>
  <c r="C12" i="26"/>
  <c r="C8" i="26"/>
  <c r="D14" i="25"/>
  <c r="E14" i="25"/>
  <c r="D8" i="25"/>
  <c r="E8" i="25"/>
  <c r="C14" i="25"/>
  <c r="C8" i="25"/>
  <c r="D15" i="23" l="1"/>
  <c r="E15" i="23"/>
  <c r="C15" i="23"/>
  <c r="D8" i="23"/>
  <c r="E8" i="23"/>
  <c r="C8" i="23"/>
  <c r="D13" i="22" l="1"/>
  <c r="E13" i="22"/>
  <c r="C13" i="22"/>
  <c r="D8" i="22"/>
  <c r="E8" i="22"/>
  <c r="C8" i="22"/>
  <c r="D14" i="21"/>
  <c r="E14" i="21"/>
  <c r="C14" i="21"/>
  <c r="D8" i="21"/>
  <c r="E8" i="21"/>
  <c r="C8" i="21"/>
  <c r="D14" i="20"/>
  <c r="E14" i="20"/>
  <c r="C14" i="20"/>
  <c r="D8" i="20"/>
  <c r="E8" i="20"/>
  <c r="C8" i="20"/>
  <c r="D8" i="19"/>
  <c r="E8" i="19"/>
  <c r="C8" i="19"/>
  <c r="D15" i="19"/>
  <c r="E15" i="19"/>
  <c r="C15" i="19"/>
  <c r="D14" i="18" l="1"/>
  <c r="E14" i="18"/>
  <c r="C14" i="18"/>
  <c r="D8" i="18"/>
  <c r="E8" i="18"/>
  <c r="C8" i="18"/>
  <c r="D14" i="17"/>
  <c r="E14" i="17"/>
  <c r="C14" i="17"/>
  <c r="D8" i="17"/>
  <c r="E8" i="17"/>
  <c r="C8" i="17"/>
  <c r="D8" i="16"/>
  <c r="E8" i="16"/>
  <c r="D13" i="16"/>
  <c r="E13" i="16"/>
  <c r="C13" i="16"/>
  <c r="C8" i="16"/>
  <c r="D13" i="15"/>
  <c r="E13" i="15"/>
  <c r="C13" i="15"/>
  <c r="D8" i="15"/>
  <c r="E8" i="15"/>
  <c r="C8" i="15"/>
  <c r="D8" i="14"/>
  <c r="E8" i="14"/>
  <c r="D12" i="14"/>
  <c r="E12" i="14"/>
  <c r="C12" i="14"/>
  <c r="C8" i="14"/>
  <c r="D15" i="13" l="1"/>
  <c r="E15" i="13"/>
  <c r="E8" i="13"/>
  <c r="D8" i="13"/>
  <c r="C15" i="13"/>
  <c r="C8" i="13"/>
  <c r="D8" i="12"/>
  <c r="E8" i="12"/>
  <c r="D15" i="12"/>
  <c r="E15" i="12"/>
  <c r="C15" i="12"/>
  <c r="C8" i="12"/>
  <c r="D8" i="11"/>
  <c r="E8" i="11"/>
  <c r="D16" i="11"/>
  <c r="E16" i="11"/>
  <c r="C16" i="11"/>
  <c r="C8" i="11"/>
  <c r="D19" i="10"/>
  <c r="E19" i="10"/>
  <c r="C19" i="10"/>
  <c r="D8" i="10"/>
  <c r="E8" i="10"/>
  <c r="C8" i="10"/>
  <c r="D8" i="9"/>
  <c r="E8" i="9"/>
  <c r="D17" i="9"/>
  <c r="E17" i="9"/>
  <c r="C17" i="9"/>
  <c r="C8" i="9"/>
  <c r="D12" i="8"/>
  <c r="E12" i="8"/>
  <c r="C12" i="8"/>
  <c r="D8" i="8"/>
  <c r="E8" i="8"/>
  <c r="C8" i="8"/>
  <c r="D8" i="7"/>
  <c r="E8" i="7"/>
  <c r="C8" i="7"/>
  <c r="D21" i="7"/>
  <c r="E21" i="7"/>
  <c r="C21" i="7"/>
  <c r="D36" i="6"/>
  <c r="E36" i="6"/>
  <c r="C36" i="6"/>
  <c r="D23" i="6"/>
  <c r="E23" i="6"/>
  <c r="C23" i="6"/>
  <c r="D10" i="6"/>
  <c r="E10" i="6"/>
  <c r="C10" i="6"/>
  <c r="D8" i="6" l="1"/>
  <c r="C8" i="6"/>
  <c r="E8" i="6"/>
  <c r="D15" i="5"/>
  <c r="E15" i="5"/>
  <c r="C15" i="5"/>
  <c r="D8" i="5"/>
  <c r="E8" i="5"/>
  <c r="C8" i="5"/>
  <c r="D15" i="4"/>
  <c r="E15" i="4"/>
  <c r="C15" i="4"/>
  <c r="D8" i="4"/>
  <c r="E8" i="4"/>
  <c r="C8" i="4"/>
  <c r="D17" i="3"/>
  <c r="E17" i="3"/>
  <c r="C17" i="3"/>
  <c r="D8" i="3"/>
  <c r="E8" i="3"/>
  <c r="C8" i="3"/>
  <c r="D34" i="2" l="1"/>
  <c r="E34" i="2"/>
  <c r="C34" i="2"/>
  <c r="D60" i="2"/>
  <c r="E60" i="2"/>
  <c r="C60" i="2"/>
  <c r="D48" i="2"/>
  <c r="E48" i="2"/>
  <c r="C48" i="2"/>
  <c r="D10" i="2"/>
  <c r="E10" i="2"/>
  <c r="C10" i="2"/>
  <c r="C8" i="2" l="1"/>
  <c r="E8" i="2"/>
  <c r="D8" i="2"/>
</calcChain>
</file>

<file path=xl/sharedStrings.xml><?xml version="1.0" encoding="utf-8"?>
<sst xmlns="http://schemas.openxmlformats.org/spreadsheetml/2006/main" count="2660" uniqueCount="1468">
  <si>
    <t>Total</t>
  </si>
  <si>
    <t>Male</t>
  </si>
  <si>
    <t>Female</t>
  </si>
  <si>
    <t xml:space="preserve">            Nyaung Hpyu Sa Khan(W)</t>
  </si>
  <si>
    <t xml:space="preserve">            Min Ga Lar U(W)</t>
  </si>
  <si>
    <t xml:space="preserve">            Pyi Taw Thar(W)</t>
  </si>
  <si>
    <t xml:space="preserve">            Ya Da Nar Thi Ri(W)</t>
  </si>
  <si>
    <t xml:space="preserve">            Nyaung Shwe Haw Kone(W)</t>
  </si>
  <si>
    <t xml:space="preserve">            Yae Aye Kwin(W)</t>
  </si>
  <si>
    <t xml:space="preserve">            Kan Auk(W)</t>
  </si>
  <si>
    <t xml:space="preserve">            Chan Mya Thar Zi(W)</t>
  </si>
  <si>
    <t xml:space="preserve">            Zay Paing(W)</t>
  </si>
  <si>
    <t xml:space="preserve">            Shwe Taung(W)</t>
  </si>
  <si>
    <t xml:space="preserve">            Kan (East)(W)</t>
  </si>
  <si>
    <t xml:space="preserve">            Lan Ma Taw(W)</t>
  </si>
  <si>
    <t xml:space="preserve">            Haw Kone(W)</t>
  </si>
  <si>
    <t xml:space="preserve">            Sein Pan(W)</t>
  </si>
  <si>
    <t xml:space="preserve">            Kan Thar(W)</t>
  </si>
  <si>
    <t xml:space="preserve">            Myo Ma(W)</t>
  </si>
  <si>
    <t xml:space="preserve">            Thit Taw(W)</t>
  </si>
  <si>
    <t xml:space="preserve">            Chan Thar(W)</t>
  </si>
  <si>
    <t xml:space="preserve">            Kyaung Gyi Su(W)</t>
  </si>
  <si>
    <t xml:space="preserve">            Sao San Tun(W)</t>
  </si>
  <si>
    <t xml:space="preserve">            Hpa Yar Phyu(W)</t>
  </si>
  <si>
    <t xml:space="preserve">            Kan Gyi(W)</t>
  </si>
  <si>
    <t xml:space="preserve">            No(1)(W)</t>
  </si>
  <si>
    <t xml:space="preserve">            No(2)(W)</t>
  </si>
  <si>
    <t xml:space="preserve">            No(3)(W)</t>
  </si>
  <si>
    <t xml:space="preserve">            No(4)(W)</t>
  </si>
  <si>
    <t xml:space="preserve">            No(5)(W)</t>
  </si>
  <si>
    <t xml:space="preserve">            No(6)(W)</t>
  </si>
  <si>
    <t xml:space="preserve">            No(7)(W)</t>
  </si>
  <si>
    <t xml:space="preserve">            No(8)(W)</t>
  </si>
  <si>
    <t xml:space="preserve">            No(9)(W)</t>
  </si>
  <si>
    <t xml:space="preserve">            No(10)(W)</t>
  </si>
  <si>
    <t xml:space="preserve">            No(11)(W)</t>
  </si>
  <si>
    <t xml:space="preserve">            No(12)(W)</t>
  </si>
  <si>
    <t xml:space="preserve">            Hlaing Bon Thar(W)</t>
  </si>
  <si>
    <t xml:space="preserve">            Thu Kha Chan Thar(W)</t>
  </si>
  <si>
    <t xml:space="preserve">            Shwe Bon Thar(W)</t>
  </si>
  <si>
    <t xml:space="preserve">            Dana Thei Di(W)</t>
  </si>
  <si>
    <t xml:space="preserve">            Ya Da Nar(W)</t>
  </si>
  <si>
    <t xml:space="preserve">            Min Ga Lar Shwe Baho(W)</t>
  </si>
  <si>
    <t xml:space="preserve">            Ming Ga Lar Aung Myay(W)</t>
  </si>
  <si>
    <t xml:space="preserve">            Se Lel(W)</t>
  </si>
  <si>
    <t xml:space="preserve">            Sint Hal(W)</t>
  </si>
  <si>
    <t xml:space="preserve">            Aung Tha Pyay(W)</t>
  </si>
  <si>
    <t xml:space="preserve">            Min Ga Lar(W)</t>
  </si>
  <si>
    <t xml:space="preserve">            Nang Hawng(VT)</t>
  </si>
  <si>
    <t xml:space="preserve">            Loi Taw(VT)</t>
  </si>
  <si>
    <t xml:space="preserve">            Min Ga Lar(VT)</t>
  </si>
  <si>
    <t xml:space="preserve">            Nam Hu(VT)</t>
  </si>
  <si>
    <t xml:space="preserve">            Hpet Kun(VT)</t>
  </si>
  <si>
    <t xml:space="preserve">            Nawng Lay(VT)</t>
  </si>
  <si>
    <t xml:space="preserve">            Hpar Mun(VT)</t>
  </si>
  <si>
    <t xml:space="preserve">            Hti Hpawng(VT)</t>
  </si>
  <si>
    <t xml:space="preserve">            Nam See(VT)</t>
  </si>
  <si>
    <t xml:space="preserve">            Pan Tin(VT)</t>
  </si>
  <si>
    <t xml:space="preserve">            Mong Thaw (East)(VT)</t>
  </si>
  <si>
    <t xml:space="preserve">            Mong Thaw (West)(VT)</t>
  </si>
  <si>
    <t xml:space="preserve">            Ban Kway(VT)</t>
  </si>
  <si>
    <t xml:space="preserve">            Taung Lay Lone(VT)</t>
  </si>
  <si>
    <t xml:space="preserve">            Than Te(VT)</t>
  </si>
  <si>
    <t xml:space="preserve">            Kun Long(VT)</t>
  </si>
  <si>
    <t xml:space="preserve">            Kyauk Ni(VT)</t>
  </si>
  <si>
    <t xml:space="preserve">            Thar Si(W)</t>
  </si>
  <si>
    <t xml:space="preserve">            Nan Da Wun(W)</t>
  </si>
  <si>
    <t xml:space="preserve">            Myo Lel(W)</t>
  </si>
  <si>
    <t xml:space="preserve">            Win(W)</t>
  </si>
  <si>
    <t xml:space="preserve">            Nang Pang(W)</t>
  </si>
  <si>
    <t xml:space="preserve">            Mong Li(W)</t>
  </si>
  <si>
    <t xml:space="preserve">            Nan Thea(VT)</t>
  </si>
  <si>
    <t xml:space="preserve">            Kyun Gyi(VT)</t>
  </si>
  <si>
    <t xml:space="preserve">            Lin Kin(VT)</t>
  </si>
  <si>
    <t xml:space="preserve">            Khaung Taing(VT)</t>
  </si>
  <si>
    <t xml:space="preserve">            Let Maung Kway(VT)</t>
  </si>
  <si>
    <t xml:space="preserve">            Taung Poet Gyi(VT)</t>
  </si>
  <si>
    <t xml:space="preserve">            Taung Chay Myin Sa Hkunt(VT)</t>
  </si>
  <si>
    <t xml:space="preserve">            Mong Thauk(VT)</t>
  </si>
  <si>
    <t xml:space="preserve">            Ywar Thar(VT)</t>
  </si>
  <si>
    <t xml:space="preserve">            Ti Law Sa Khan Gyi(VT)</t>
  </si>
  <si>
    <t xml:space="preserve">            Min Chaung(VT)</t>
  </si>
  <si>
    <t xml:space="preserve">            Nang Pang(VT)</t>
  </si>
  <si>
    <t xml:space="preserve">            Ton Lel(VT)</t>
  </si>
  <si>
    <t xml:space="preserve">            Tha Pyay Pin(VT)</t>
  </si>
  <si>
    <t xml:space="preserve">            Nga Hpei Chaung(VT)</t>
  </si>
  <si>
    <t xml:space="preserve">            He Yar Ywar Ma(VT)</t>
  </si>
  <si>
    <t xml:space="preserve">            Thar Lay(VT)</t>
  </si>
  <si>
    <t xml:space="preserve">            Mong Pyoe(VT)</t>
  </si>
  <si>
    <t xml:space="preserve">            Nawng Taw(VT)</t>
  </si>
  <si>
    <t xml:space="preserve">            Inn Hlyar Keng Hkam(VT)</t>
  </si>
  <si>
    <t xml:space="preserve">            Taung To(VT)</t>
  </si>
  <si>
    <t xml:space="preserve">            Kyauk Taing(VT)</t>
  </si>
  <si>
    <t xml:space="preserve">            Kyay Paw Hkon(VT)</t>
  </si>
  <si>
    <t xml:space="preserve">            Inn Tein(VT)</t>
  </si>
  <si>
    <t xml:space="preserve">            Inn Chan Kay Lar(VT)</t>
  </si>
  <si>
    <t xml:space="preserve">            Inn Paw Hkon(VT)</t>
  </si>
  <si>
    <t xml:space="preserve">            Tha Le U(VT)</t>
  </si>
  <si>
    <t xml:space="preserve">            Sam Kar(VT)</t>
  </si>
  <si>
    <t xml:space="preserve">            Long Kan(VT)</t>
  </si>
  <si>
    <t xml:space="preserve">            Yae Pu(VT)</t>
  </si>
  <si>
    <t xml:space="preserve">            Lin Lan (South)(VT)</t>
  </si>
  <si>
    <t xml:space="preserve">            Inn Tan(VT)</t>
  </si>
  <si>
    <t xml:space="preserve">            Ban Pyin(VT)</t>
  </si>
  <si>
    <t xml:space="preserve">            Lin Lan (North)(VT)</t>
  </si>
  <si>
    <t xml:space="preserve">            Pont Mu(VT)</t>
  </si>
  <si>
    <t xml:space="preserve">            Myo U(W)</t>
  </si>
  <si>
    <t xml:space="preserve">            Myo U Kwet Thit(W)</t>
  </si>
  <si>
    <t xml:space="preserve">            Ah Shey(W)</t>
  </si>
  <si>
    <t xml:space="preserve">            Ah Nauk(W)</t>
  </si>
  <si>
    <t xml:space="preserve">            Taung(W)</t>
  </si>
  <si>
    <t xml:space="preserve">            Tong Hkam(W)</t>
  </si>
  <si>
    <t xml:space="preserve">            Nam Hkoke(VT)</t>
  </si>
  <si>
    <t xml:space="preserve">            Kone Keng(VT)</t>
  </si>
  <si>
    <t xml:space="preserve">            Long Hay(VT)</t>
  </si>
  <si>
    <t xml:space="preserve">            Pawng Lin(VT)</t>
  </si>
  <si>
    <t xml:space="preserve">            Sam Hpu (Me Nei Taung)(VT)</t>
  </si>
  <si>
    <t xml:space="preserve">            Sa Ngaw(VT)</t>
  </si>
  <si>
    <t xml:space="preserve">            Kyauk Tan(VT)</t>
  </si>
  <si>
    <t xml:space="preserve">            Baw Kone(VT)</t>
  </si>
  <si>
    <t xml:space="preserve">            Ti Long(VT)</t>
  </si>
  <si>
    <t xml:space="preserve">            Loi Aun(VT)</t>
  </si>
  <si>
    <t xml:space="preserve">            Le Thet(VT)</t>
  </si>
  <si>
    <t xml:space="preserve">            Long Hkoke(VT)</t>
  </si>
  <si>
    <t xml:space="preserve">            Hpet Yang(VT)</t>
  </si>
  <si>
    <t xml:space="preserve">            Nawng Day(VT)</t>
  </si>
  <si>
    <t xml:space="preserve">            Mauk Mun(VT)</t>
  </si>
  <si>
    <t xml:space="preserve">            Mong Ping(VT)</t>
  </si>
  <si>
    <t xml:space="preserve">            Nam Par Chee(VT)</t>
  </si>
  <si>
    <t xml:space="preserve">            Nar Pong(VT)</t>
  </si>
  <si>
    <t xml:space="preserve">            Hsa Nin(VT)</t>
  </si>
  <si>
    <t xml:space="preserve">            Nar Tit(VT)</t>
  </si>
  <si>
    <t xml:space="preserve">            Mong Lin(VT)</t>
  </si>
  <si>
    <t xml:space="preserve">            Nawng Lai Mu Hpeik(VT)</t>
  </si>
  <si>
    <t xml:space="preserve">            Ho Hke(W)</t>
  </si>
  <si>
    <t xml:space="preserve">            Thi Ri(W)</t>
  </si>
  <si>
    <t xml:space="preserve">            Aung Chan Thar(W)</t>
  </si>
  <si>
    <t xml:space="preserve">            Mya Kan Thar(W)</t>
  </si>
  <si>
    <t xml:space="preserve">            Hsihseng(VT)</t>
  </si>
  <si>
    <t xml:space="preserve">            Ta Bet(VT)</t>
  </si>
  <si>
    <t xml:space="preserve">            Taung (East)(VT)</t>
  </si>
  <si>
    <t xml:space="preserve">            Pin Son(VT)</t>
  </si>
  <si>
    <t xml:space="preserve">            Kone Hsut(VT)</t>
  </si>
  <si>
    <t xml:space="preserve">            Bant Bwee(VT)</t>
  </si>
  <si>
    <t xml:space="preserve">            Loi Yun Nar Than(VT)</t>
  </si>
  <si>
    <t xml:space="preserve">            Par Law Par Kei(VT)</t>
  </si>
  <si>
    <t xml:space="preserve">            Nar Hkaik(VT)</t>
  </si>
  <si>
    <t xml:space="preserve">            Pong Inn(VT)</t>
  </si>
  <si>
    <t xml:space="preserve">            Nawng Mun(VT)</t>
  </si>
  <si>
    <t xml:space="preserve">            Loi Put(VT)</t>
  </si>
  <si>
    <t xml:space="preserve">            Ban Yin(VT)</t>
  </si>
  <si>
    <t xml:space="preserve">            Nyaung Pin Htaung(W)</t>
  </si>
  <si>
    <t xml:space="preserve">            Hle Yoe(W)</t>
  </si>
  <si>
    <t xml:space="preserve">            Ywar Ngan Su(W)</t>
  </si>
  <si>
    <t xml:space="preserve">            Moe Kaung(W)</t>
  </si>
  <si>
    <t xml:space="preserve">            Let Ma Pin(W)</t>
  </si>
  <si>
    <t xml:space="preserve">            Myo Haung(W)</t>
  </si>
  <si>
    <t xml:space="preserve">            Ywar Thit(W)</t>
  </si>
  <si>
    <t xml:space="preserve">            La Mong(VT)</t>
  </si>
  <si>
    <t xml:space="preserve">            Nang Naing(VT)</t>
  </si>
  <si>
    <t xml:space="preserve">            Loi An(VT)</t>
  </si>
  <si>
    <t xml:space="preserve">            Myin Ma Hti(VT)</t>
  </si>
  <si>
    <t xml:space="preserve">            Taung Lar(VT)</t>
  </si>
  <si>
    <t xml:space="preserve">            Taung Kwe(VT)</t>
  </si>
  <si>
    <t xml:space="preserve">            Wet Hpyu Yae(VT)</t>
  </si>
  <si>
    <t xml:space="preserve">            Shwe Min Hpone(VT)</t>
  </si>
  <si>
    <t xml:space="preserve">            Nang Taing(VT)</t>
  </si>
  <si>
    <t xml:space="preserve">            Kan Bar Ni(VT)</t>
  </si>
  <si>
    <t xml:space="preserve">            Yae Cho(VT)</t>
  </si>
  <si>
    <t xml:space="preserve">            Nawng Ye(VT)</t>
  </si>
  <si>
    <t xml:space="preserve">            Thu Ye(VT)</t>
  </si>
  <si>
    <t xml:space="preserve">            Pin Hmi(VT)</t>
  </si>
  <si>
    <t xml:space="preserve">            Lel Kyar(VT)</t>
  </si>
  <si>
    <t xml:space="preserve">            Thar Mong Hkam(VT)</t>
  </si>
  <si>
    <t xml:space="preserve">            Loi Maw(VT)</t>
  </si>
  <si>
    <t xml:space="preserve">            Ngoke(VT)</t>
  </si>
  <si>
    <t xml:space="preserve">            Ngone Thon(VT)</t>
  </si>
  <si>
    <t xml:space="preserve">            He Hoe(VT)</t>
  </si>
  <si>
    <t xml:space="preserve">            Thi Hkawng(VT)</t>
  </si>
  <si>
    <t xml:space="preserve">            Kyauk Htat(VT)</t>
  </si>
  <si>
    <t xml:space="preserve">            Baw Hseng(VT)</t>
  </si>
  <si>
    <t xml:space="preserve">            Baw Nin(VT)</t>
  </si>
  <si>
    <t xml:space="preserve">            Pe Yin Taung(VT)</t>
  </si>
  <si>
    <t xml:space="preserve">            Shan(W)</t>
  </si>
  <si>
    <t xml:space="preserve">            Zay Tan(W)</t>
  </si>
  <si>
    <t xml:space="preserve">            Sin Gaung(W)</t>
  </si>
  <si>
    <t xml:space="preserve">            Aw Yaw(W)</t>
  </si>
  <si>
    <t xml:space="preserve">            Sue Bo Kone(W)</t>
  </si>
  <si>
    <t xml:space="preserve">            Ywar Nge(W)</t>
  </si>
  <si>
    <t xml:space="preserve">            Pauk Taw(W)</t>
  </si>
  <si>
    <t xml:space="preserve">            Hgnet Pyaw Taw(W)</t>
  </si>
  <si>
    <t xml:space="preserve">            Htwet Ni(VT)</t>
  </si>
  <si>
    <t xml:space="preserve">            Thit Ae Pin(VT)</t>
  </si>
  <si>
    <t xml:space="preserve">            Taung Paw Gyi(VT)</t>
  </si>
  <si>
    <t xml:space="preserve">            Yae Hpyu(VT)</t>
  </si>
  <si>
    <t xml:space="preserve">            Kyauk Su(VT)</t>
  </si>
  <si>
    <t xml:space="preserve">            Htei Thun(VT)</t>
  </si>
  <si>
    <t xml:space="preserve">            Me Nei Taung(VT)</t>
  </si>
  <si>
    <t xml:space="preserve">            Shwe Pu Htoe(VT)</t>
  </si>
  <si>
    <t xml:space="preserve">            Pan Sit(VT)</t>
  </si>
  <si>
    <t xml:space="preserve">            Thein Kone(VT)</t>
  </si>
  <si>
    <t xml:space="preserve">            Pin Pyaw(VT)</t>
  </si>
  <si>
    <t xml:space="preserve">            Taung Shey(VT)</t>
  </si>
  <si>
    <t xml:space="preserve">            Nyaung Kauk(VT)</t>
  </si>
  <si>
    <t xml:space="preserve">            Nyaung Wun(VT)</t>
  </si>
  <si>
    <t xml:space="preserve">            Mong Li(VT)</t>
  </si>
  <si>
    <t xml:space="preserve">            Pway Hla(VT)</t>
  </si>
  <si>
    <t xml:space="preserve">            Inn Nge(VT)</t>
  </si>
  <si>
    <t xml:space="preserve">            Tha Yet Kone(VT)</t>
  </si>
  <si>
    <t xml:space="preserve">            Ku Kaw(VT)</t>
  </si>
  <si>
    <t xml:space="preserve">            Ta Me(VT)</t>
  </si>
  <si>
    <t xml:space="preserve">            Shar Pyar(VT)</t>
  </si>
  <si>
    <t xml:space="preserve">            Myin Mu(VT)</t>
  </si>
  <si>
    <t xml:space="preserve">            Kyar Kone(VT)</t>
  </si>
  <si>
    <t xml:space="preserve">            Nan Kone(VT)</t>
  </si>
  <si>
    <t xml:space="preserve">            Myay Char(North)(VT)</t>
  </si>
  <si>
    <t xml:space="preserve">            Kyone(VT)</t>
  </si>
  <si>
    <t xml:space="preserve">            Myay Char Chaint(VT)</t>
  </si>
  <si>
    <t xml:space="preserve">            Myo Kone(W)</t>
  </si>
  <si>
    <t xml:space="preserve">            Ywar Ma(W)</t>
  </si>
  <si>
    <t xml:space="preserve">            Nwar Ban Gyi(VT)</t>
  </si>
  <si>
    <t xml:space="preserve">            Kyauk Hmyaung(VT)</t>
  </si>
  <si>
    <t xml:space="preserve">            Kyauk Gu Pyin(VT)</t>
  </si>
  <si>
    <t xml:space="preserve">            Doke Toe Yae(VT)</t>
  </si>
  <si>
    <t xml:space="preserve">            Lin Way(VT)</t>
  </si>
  <si>
    <t xml:space="preserve">            Ta Pin Pyaw(VT)</t>
  </si>
  <si>
    <t xml:space="preserve">            Myo Gyi(VT)</t>
  </si>
  <si>
    <t xml:space="preserve">            Inn Kone Ngar Su(VT)</t>
  </si>
  <si>
    <t xml:space="preserve">            Se(VT)</t>
  </si>
  <si>
    <t xml:space="preserve">            Htee Hlaing(VT)</t>
  </si>
  <si>
    <t xml:space="preserve">            Kyan Taw(VT)</t>
  </si>
  <si>
    <t xml:space="preserve">            Kyauk Hnget(VT)</t>
  </si>
  <si>
    <t xml:space="preserve">            Kyauk Pon(VT)</t>
  </si>
  <si>
    <t xml:space="preserve">            Kyauk Pi Zat(VT)</t>
  </si>
  <si>
    <t xml:space="preserve">            Nyaung Aing(VT)</t>
  </si>
  <si>
    <t xml:space="preserve">            Lel Kaing(VT)</t>
  </si>
  <si>
    <t xml:space="preserve">            Sat Chan(VT)</t>
  </si>
  <si>
    <t xml:space="preserve">            Ya Ne(VT)</t>
  </si>
  <si>
    <t xml:space="preserve">            Myaing(VT)</t>
  </si>
  <si>
    <t xml:space="preserve">            Ah Lel Chaung(VT)</t>
  </si>
  <si>
    <t xml:space="preserve">            Sin Ghaung(VT)</t>
  </si>
  <si>
    <t xml:space="preserve">            Myin Kya Toe(VT)</t>
  </si>
  <si>
    <t xml:space="preserve">            Myin Twin(VT)</t>
  </si>
  <si>
    <t xml:space="preserve">            Hpa Yar Gyi Kone(VT)</t>
  </si>
  <si>
    <t xml:space="preserve">            Ya Gyi(VT)</t>
  </si>
  <si>
    <t xml:space="preserve">            Nan Hkon(VT)</t>
  </si>
  <si>
    <t xml:space="preserve">            Taung Kwet Thit(W)</t>
  </si>
  <si>
    <t xml:space="preserve">            Oke Ta Tar(W)</t>
  </si>
  <si>
    <t xml:space="preserve">            Myauk Kwet Thit(W)</t>
  </si>
  <si>
    <t xml:space="preserve">            Ba Htu(W)</t>
  </si>
  <si>
    <t xml:space="preserve">            Zaw Gyi(W)</t>
  </si>
  <si>
    <t xml:space="preserve">            Myo Oo(W)</t>
  </si>
  <si>
    <t xml:space="preserve">            Loi Koe(VT)</t>
  </si>
  <si>
    <t xml:space="preserve">            Hway(VT)</t>
  </si>
  <si>
    <t xml:space="preserve">            Yan Twin Ngar Kyaung(VT)</t>
  </si>
  <si>
    <t xml:space="preserve">            Myin Taung(VT)</t>
  </si>
  <si>
    <t xml:space="preserve">            Ma Gyi Kone(VT)</t>
  </si>
  <si>
    <t xml:space="preserve">            Kaung Boet(VT)</t>
  </si>
  <si>
    <t xml:space="preserve">            Hpawng Taw(VT)</t>
  </si>
  <si>
    <t xml:space="preserve">            Kyauk Taw(VT)</t>
  </si>
  <si>
    <t xml:space="preserve">            Nan Lwe(VT)</t>
  </si>
  <si>
    <t xml:space="preserve">            Par Me(VT)</t>
  </si>
  <si>
    <t xml:space="preserve">            Mar Thea(VT)</t>
  </si>
  <si>
    <t xml:space="preserve">            Keng Hkam(VT)</t>
  </si>
  <si>
    <t xml:space="preserve">            Bant Hpei(W)</t>
  </si>
  <si>
    <t xml:space="preserve">            Hpa Yar(North)(W)</t>
  </si>
  <si>
    <t xml:space="preserve">            Yone Win(W)</t>
  </si>
  <si>
    <t xml:space="preserve">            Kan Thar Oo(W)</t>
  </si>
  <si>
    <t xml:space="preserve">            Min Ga Lar Kwet Thit(W)</t>
  </si>
  <si>
    <t xml:space="preserve">            Koe Khaung(W)</t>
  </si>
  <si>
    <t xml:space="preserve">            Yinn Hme(W)</t>
  </si>
  <si>
    <t xml:space="preserve">            Pinlaung Gyi(VT)</t>
  </si>
  <si>
    <t xml:space="preserve">            Bant Bar(VT)</t>
  </si>
  <si>
    <t xml:space="preserve">            Min Bu(VT)</t>
  </si>
  <si>
    <t xml:space="preserve">            Taung Hti Bwar(VT)</t>
  </si>
  <si>
    <t xml:space="preserve">            Hti Pawng(VT)</t>
  </si>
  <si>
    <t xml:space="preserve">            Tha Pyay Kone(VT)</t>
  </si>
  <si>
    <t xml:space="preserve">            Sin Taung(VT)</t>
  </si>
  <si>
    <t xml:space="preserve">            Long Pyin(VT)</t>
  </si>
  <si>
    <t xml:space="preserve">            Htein Pin(VT)</t>
  </si>
  <si>
    <t xml:space="preserve">            Pin Mun(VT)</t>
  </si>
  <si>
    <t xml:space="preserve">            Leint Nyar(VT)</t>
  </si>
  <si>
    <t xml:space="preserve">            Myauk Hti Bwar(VT)</t>
  </si>
  <si>
    <t xml:space="preserve">            Nang Toke(VT)</t>
  </si>
  <si>
    <t xml:space="preserve">            Hein Dhamma(W)</t>
  </si>
  <si>
    <t xml:space="preserve">            Nang Hu(W)</t>
  </si>
  <si>
    <t xml:space="preserve">            Nyaung Kone(W)</t>
  </si>
  <si>
    <t xml:space="preserve">            Zay(West)(W)</t>
  </si>
  <si>
    <t xml:space="preserve">            Zay(East)(W)</t>
  </si>
  <si>
    <t xml:space="preserve">            Moe Bye(VT)</t>
  </si>
  <si>
    <t xml:space="preserve">            Hkawng Ei(VT)</t>
  </si>
  <si>
    <t xml:space="preserve">            Kone Hson(VT)</t>
  </si>
  <si>
    <t xml:space="preserve">            Loi Paw(VT)</t>
  </si>
  <si>
    <t xml:space="preserve">            Nar Hee(VT)</t>
  </si>
  <si>
    <t xml:space="preserve">            Ku Yin(VT)</t>
  </si>
  <si>
    <t xml:space="preserve">            Yi Nwe(VT)</t>
  </si>
  <si>
    <t xml:space="preserve">            Yi Long Yi Kan(VT)</t>
  </si>
  <si>
    <t xml:space="preserve">            Thi Kyeik(VT)</t>
  </si>
  <si>
    <t xml:space="preserve">            Ah Lel Pa Daung/Ah lel Kayan(VT)</t>
  </si>
  <si>
    <t xml:space="preserve">            Byea Taik/Ka yaw(VT)</t>
  </si>
  <si>
    <t xml:space="preserve">            Pekon(Naung Hlaing)(VT)</t>
  </si>
  <si>
    <t xml:space="preserve">            Ta Pu Yway(W)</t>
  </si>
  <si>
    <t xml:space="preserve">            Don Ong(W)</t>
  </si>
  <si>
    <t xml:space="preserve">            Nawng Long(W)</t>
  </si>
  <si>
    <t xml:space="preserve">            Hti Long(W)</t>
  </si>
  <si>
    <t xml:space="preserve">            Lin Hnar(W)</t>
  </si>
  <si>
    <t xml:space="preserve">            Kaung Wein(W)</t>
  </si>
  <si>
    <t xml:space="preserve">            Nawng Kar(VT)</t>
  </si>
  <si>
    <t xml:space="preserve">            Ah Thone Taw(VT)</t>
  </si>
  <si>
    <t xml:space="preserve">            Nawng Hke(VT)</t>
  </si>
  <si>
    <t xml:space="preserve">            Kat Ku(VT)</t>
  </si>
  <si>
    <t xml:space="preserve">            Pin Tun(VT)</t>
  </si>
  <si>
    <t xml:space="preserve">            Nawng Pyit(VT)</t>
  </si>
  <si>
    <t xml:space="preserve">            Ohn Kwe(VT)</t>
  </si>
  <si>
    <t xml:space="preserve">            Nang Kaung Hmu(VT)</t>
  </si>
  <si>
    <t xml:space="preserve">            Kyauk Gu(VT)</t>
  </si>
  <si>
    <t xml:space="preserve">            Nawng Woe(VT)</t>
  </si>
  <si>
    <t xml:space="preserve">            Nawng Long(VT)</t>
  </si>
  <si>
    <t xml:space="preserve">            Thi Kyit(VT)</t>
  </si>
  <si>
    <t xml:space="preserve">            Nan Pu Lin(VT)</t>
  </si>
  <si>
    <t xml:space="preserve">            Pawt In(VT)</t>
  </si>
  <si>
    <t xml:space="preserve">            Myin Kwin(VT)</t>
  </si>
  <si>
    <t xml:space="preserve">            Lel Maw(VT)</t>
  </si>
  <si>
    <t xml:space="preserve">            Nawng Pi(VT)</t>
  </si>
  <si>
    <t xml:space="preserve">            Pawt Yar(VT)</t>
  </si>
  <si>
    <t xml:space="preserve">            Long Poe(VT)</t>
  </si>
  <si>
    <t xml:space="preserve">            Bant Pyin(VT)</t>
  </si>
  <si>
    <t xml:space="preserve">            Hpa Yar Hpyu(VT)</t>
  </si>
  <si>
    <t xml:space="preserve">            Hmway Pyin(VT)</t>
  </si>
  <si>
    <t xml:space="preserve">            Pin Hkin(VT)</t>
  </si>
  <si>
    <t xml:space="preserve">            Loilen (East)(VT)</t>
  </si>
  <si>
    <t xml:space="preserve">            Pang Woe(VT)</t>
  </si>
  <si>
    <t xml:space="preserve">            Taung Nauk(VT)</t>
  </si>
  <si>
    <t xml:space="preserve">            Mong Pun(VT)</t>
  </si>
  <si>
    <t xml:space="preserve">            Sin Chay Hpone(VT)</t>
  </si>
  <si>
    <t xml:space="preserve">            Kone Yaw(VT)</t>
  </si>
  <si>
    <t xml:space="preserve">            Hkauk Nwet(VT)</t>
  </si>
  <si>
    <t xml:space="preserve">            Hway Tauk(VT)</t>
  </si>
  <si>
    <t xml:space="preserve">            Nar Yang(VT)</t>
  </si>
  <si>
    <t xml:space="preserve">            Nam Hta Mo(VT)</t>
  </si>
  <si>
    <t xml:space="preserve">            Ho Wein Pauk Pwee(W)</t>
  </si>
  <si>
    <t xml:space="preserve">            Hing Nawng (North)(W)</t>
  </si>
  <si>
    <t xml:space="preserve">            Hing Nawng (South)(W)</t>
  </si>
  <si>
    <t xml:space="preserve">            Ho Lein Pauk Pwe(W)</t>
  </si>
  <si>
    <t xml:space="preserve">            Laikha(Myoma)(VT)</t>
  </si>
  <si>
    <t xml:space="preserve">            Nawng Kaw(VT)</t>
  </si>
  <si>
    <t xml:space="preserve">            He Hseng(VT)</t>
  </si>
  <si>
    <t xml:space="preserve">            Pang Sang(VT)</t>
  </si>
  <si>
    <t xml:space="preserve">            Wan Hai(VT)</t>
  </si>
  <si>
    <t xml:space="preserve">            Pong Nay(VT)</t>
  </si>
  <si>
    <t xml:space="preserve">            Wan Seit(VT)</t>
  </si>
  <si>
    <t xml:space="preserve">            Pong Taik(VT)</t>
  </si>
  <si>
    <t xml:space="preserve">            Nar Man(VT)</t>
  </si>
  <si>
    <t xml:space="preserve">            Wan Hti(VT)</t>
  </si>
  <si>
    <t xml:space="preserve">            Wan Sang(VT)</t>
  </si>
  <si>
    <t xml:space="preserve">            Wan Lay(VT)</t>
  </si>
  <si>
    <t xml:space="preserve">            Kat Mauk(VT)</t>
  </si>
  <si>
    <t xml:space="preserve">            Wan Pang(VT)</t>
  </si>
  <si>
    <t xml:space="preserve">            Nam Toke(VT)</t>
  </si>
  <si>
    <t xml:space="preserve">            Wan Hpai(VT)</t>
  </si>
  <si>
    <t xml:space="preserve">            Hpar Lan(VT)</t>
  </si>
  <si>
    <t xml:space="preserve">            Wan Ying(VT)</t>
  </si>
  <si>
    <t xml:space="preserve">            Pang Tan(VT)</t>
  </si>
  <si>
    <t xml:space="preserve">            Nansang/Wang Po(VT)</t>
  </si>
  <si>
    <t xml:space="preserve">            Wan Nawng(VT)</t>
  </si>
  <si>
    <t xml:space="preserve">            Loi La(VT)</t>
  </si>
  <si>
    <t xml:space="preserve">            Mat Mon Mun(VT)</t>
  </si>
  <si>
    <t xml:space="preserve">            Ah Hmat Ngar(VT)</t>
  </si>
  <si>
    <t xml:space="preserve">            Wan Ping(VT)</t>
  </si>
  <si>
    <t xml:space="preserve">            Hai Hpat(VT)</t>
  </si>
  <si>
    <t xml:space="preserve">            Loi Ye(VT)</t>
  </si>
  <si>
    <t xml:space="preserve">            Nawng Hee(VT)</t>
  </si>
  <si>
    <t xml:space="preserve">            Mong Seik(VT)</t>
  </si>
  <si>
    <t xml:space="preserve">            Nam Lit(VT)</t>
  </si>
  <si>
    <t xml:space="preserve">            Hai Nar Gyi(VT)</t>
  </si>
  <si>
    <t xml:space="preserve">            Bant Hin(VT)</t>
  </si>
  <si>
    <t xml:space="preserve">            Ping Hse(VT)</t>
  </si>
  <si>
    <t xml:space="preserve">            Ho Yang(VT)</t>
  </si>
  <si>
    <t xml:space="preserve">            Kunhing(Myoma)(VT)</t>
  </si>
  <si>
    <t xml:space="preserve">            Laik Tat(VT)</t>
  </si>
  <si>
    <t xml:space="preserve">            Kyein Hkam(VT)</t>
  </si>
  <si>
    <t xml:space="preserve">            Wan Law(VT)</t>
  </si>
  <si>
    <t xml:space="preserve">            Ngar Ngai(VT)</t>
  </si>
  <si>
    <t xml:space="preserve">            Loi Keng(VT)</t>
  </si>
  <si>
    <t xml:space="preserve">            Nar Pwe(VT)</t>
  </si>
  <si>
    <t xml:space="preserve">            Kun Pu(VT)</t>
  </si>
  <si>
    <t xml:space="preserve">            Hseng Hkawng(VT)</t>
  </si>
  <si>
    <t xml:space="preserve">            Wan Kang(W)</t>
  </si>
  <si>
    <t xml:space="preserve">            Kang Pang(W)</t>
  </si>
  <si>
    <t xml:space="preserve">            Zay(W)</t>
  </si>
  <si>
    <t xml:space="preserve">            Long Pu(W)</t>
  </si>
  <si>
    <t xml:space="preserve">            Ho Hko(W)</t>
  </si>
  <si>
    <t xml:space="preserve">            Pang Se(VT)</t>
  </si>
  <si>
    <t xml:space="preserve">            Hpet Nam(VT)</t>
  </si>
  <si>
    <t xml:space="preserve">            Pang Lawt(VT)</t>
  </si>
  <si>
    <t xml:space="preserve">            Wan Hpwee(VT)</t>
  </si>
  <si>
    <t xml:space="preserve">            Wan Hkont(VT)</t>
  </si>
  <si>
    <t xml:space="preserve">            Hseng Lai(VT)</t>
  </si>
  <si>
    <t xml:space="preserve">            Har Wan(VT)</t>
  </si>
  <si>
    <t xml:space="preserve">            Mong Nin(VT)</t>
  </si>
  <si>
    <t xml:space="preserve">            Wan Wa(VT)</t>
  </si>
  <si>
    <t xml:space="preserve">            Keng Lin(VT)</t>
  </si>
  <si>
    <t xml:space="preserve">            Wan Chin(VT)</t>
  </si>
  <si>
    <t xml:space="preserve">            Wan Wut(VT)</t>
  </si>
  <si>
    <t xml:space="preserve">            Wan Sat(VT)</t>
  </si>
  <si>
    <t xml:space="preserve">            Hkauk Sang(VT)</t>
  </si>
  <si>
    <t xml:space="preserve">            Nawng Sum(VT)</t>
  </si>
  <si>
    <t xml:space="preserve">            Mong Kawng(VT)</t>
  </si>
  <si>
    <t xml:space="preserve">            Myo Ma Sin Chay Hpone (North)(VT)</t>
  </si>
  <si>
    <t xml:space="preserve">            Myo Ma Sin Chay Hpone (East)(VT)</t>
  </si>
  <si>
    <t xml:space="preserve">            Wan Hway Aum(VT)</t>
  </si>
  <si>
    <t xml:space="preserve">            Wan Long(VT)</t>
  </si>
  <si>
    <t xml:space="preserve">            Wan Hway Long(VT)</t>
  </si>
  <si>
    <t xml:space="preserve">            Hkay Ong Awayt(VT)</t>
  </si>
  <si>
    <t xml:space="preserve">            Hsan Har(VT)</t>
  </si>
  <si>
    <t xml:space="preserve">            Yang Nang(VT)</t>
  </si>
  <si>
    <t xml:space="preserve">            Mong Hkun(VT)</t>
  </si>
  <si>
    <t xml:space="preserve">            Kone Long(VT)</t>
  </si>
  <si>
    <t xml:space="preserve">            Loke Tawng(VT)</t>
  </si>
  <si>
    <t xml:space="preserve">            Yo Nar(VT)</t>
  </si>
  <si>
    <t xml:space="preserve">            Mong Yun(VT)</t>
  </si>
  <si>
    <t xml:space="preserve">            Son Lawng(VT)</t>
  </si>
  <si>
    <t xml:space="preserve">            Par Hkawng(VT)</t>
  </si>
  <si>
    <t xml:space="preserve">            Nawng Sam Hpu(VT)</t>
  </si>
  <si>
    <t xml:space="preserve">            Loi Kon(VT)</t>
  </si>
  <si>
    <t xml:space="preserve">            Ton Law(VT)</t>
  </si>
  <si>
    <t xml:space="preserve">            Pang Kay Tu(VT)</t>
  </si>
  <si>
    <t xml:space="preserve">            Ho Hke(VT)</t>
  </si>
  <si>
    <t xml:space="preserve">            Ham Ngaing(VT)</t>
  </si>
  <si>
    <t xml:space="preserve">            Nar Hwei(VT)</t>
  </si>
  <si>
    <t xml:space="preserve">            Myoma Pang Swea(VT)</t>
  </si>
  <si>
    <t xml:space="preserve">            Nar Sang(VT)</t>
  </si>
  <si>
    <t xml:space="preserve">            Maw Mayt(VT)</t>
  </si>
  <si>
    <t xml:space="preserve">            Loi Naing(VT)</t>
  </si>
  <si>
    <t xml:space="preserve">            Nam Tawng(VT)</t>
  </si>
  <si>
    <t xml:space="preserve">            He Par(VT)</t>
  </si>
  <si>
    <t xml:space="preserve">            Wan Hsawt(VT)</t>
  </si>
  <si>
    <t xml:space="preserve">            Hpar Ya(VT)</t>
  </si>
  <si>
    <t xml:space="preserve">            Wan Loi(VT)</t>
  </si>
  <si>
    <t xml:space="preserve">            Mong Awt(VT)</t>
  </si>
  <si>
    <t xml:space="preserve">            Nar Waun(VT)</t>
  </si>
  <si>
    <t xml:space="preserve">            Nawng Et(VT)</t>
  </si>
  <si>
    <t xml:space="preserve">            Kun Kyawng(VT)</t>
  </si>
  <si>
    <t xml:space="preserve">            Pang Mont(VT)</t>
  </si>
  <si>
    <t xml:space="preserve">            Nar Tit (VT)</t>
  </si>
  <si>
    <t xml:space="preserve">            He Nang(VT)</t>
  </si>
  <si>
    <t xml:space="preserve">            Tant Ae(VT)</t>
  </si>
  <si>
    <t xml:space="preserve">            Pinlon (East)(VT)</t>
  </si>
  <si>
    <t xml:space="preserve">            Nawng Lai(VT)</t>
  </si>
  <si>
    <t xml:space="preserve">            Hsa Hawng(VT)</t>
  </si>
  <si>
    <t xml:space="preserve">            Ho Nawng (VT)</t>
  </si>
  <si>
    <t xml:space="preserve">            Hai Laik(VT)</t>
  </si>
  <si>
    <t xml:space="preserve">            Teng Huong(VT)</t>
  </si>
  <si>
    <t xml:space="preserve">            Hko Aut(VT)</t>
  </si>
  <si>
    <t xml:space="preserve">            Keng Lun(VT)</t>
  </si>
  <si>
    <t xml:space="preserve">            Ho Pang(VT)</t>
  </si>
  <si>
    <t xml:space="preserve">            Tar Kaw(VT)</t>
  </si>
  <si>
    <t xml:space="preserve">            Wan Pat(VT)</t>
  </si>
  <si>
    <t xml:space="preserve">            Wan Hpai (VT)</t>
  </si>
  <si>
    <t xml:space="preserve">            Nar Kan(VT)</t>
  </si>
  <si>
    <t xml:space="preserve">            Nawng Ae(VT)</t>
  </si>
  <si>
    <t xml:space="preserve">            Wein Kawng(VT)</t>
  </si>
  <si>
    <t xml:space="preserve">            Tu Yar(VT)</t>
  </si>
  <si>
    <t xml:space="preserve">            Mong Nang(VT)</t>
  </si>
  <si>
    <t xml:space="preserve">            Hopong(VT)</t>
  </si>
  <si>
    <t xml:space="preserve">            Mong Ye(VT)</t>
  </si>
  <si>
    <t xml:space="preserve">            Wan Ton(VT)</t>
  </si>
  <si>
    <t xml:space="preserve">            Long Yang(VT)</t>
  </si>
  <si>
    <t xml:space="preserve">            Wan Sein(VT)</t>
  </si>
  <si>
    <t xml:space="preserve">            Mong Yang(VT)</t>
  </si>
  <si>
    <t xml:space="preserve">            Mong Hsaung(VT)</t>
  </si>
  <si>
    <t xml:space="preserve">            Mong Sam(VT)</t>
  </si>
  <si>
    <t xml:space="preserve">            Ho Hseng(VT)</t>
  </si>
  <si>
    <t xml:space="preserve">            Hway Hay(VT)</t>
  </si>
  <si>
    <t xml:space="preserve">            Taung Ywar(W)</t>
  </si>
  <si>
    <t xml:space="preserve">            Wan Loi(W)</t>
  </si>
  <si>
    <t xml:space="preserve">            Ywar Ma Gyi (West)(W)</t>
  </si>
  <si>
    <t xml:space="preserve">            Ywar Ma Gyi (East)(W)</t>
  </si>
  <si>
    <t xml:space="preserve">            Min Hone(W)</t>
  </si>
  <si>
    <t xml:space="preserve">            Wan Ma Pyin(W)</t>
  </si>
  <si>
    <t xml:space="preserve">            Pin Waon(W)</t>
  </si>
  <si>
    <t xml:space="preserve">            Pong Htun(VT)</t>
  </si>
  <si>
    <t xml:space="preserve">            Dar Seik(VT)</t>
  </si>
  <si>
    <t xml:space="preserve">            Wan Sit(VT)</t>
  </si>
  <si>
    <t xml:space="preserve">            Hai Kway(VT)</t>
  </si>
  <si>
    <t xml:space="preserve">            Wan Sa Lawng(VT)</t>
  </si>
  <si>
    <t xml:space="preserve">            Loi Long(VT)</t>
  </si>
  <si>
    <t xml:space="preserve">            Wan Hat(VT)</t>
  </si>
  <si>
    <t xml:space="preserve">            Nar Kone(VT)</t>
  </si>
  <si>
    <t xml:space="preserve">            Ma Aun Lawng(VT)</t>
  </si>
  <si>
    <t xml:space="preserve">            Wan Tein(VT)</t>
  </si>
  <si>
    <t xml:space="preserve">            U Yin(W)</t>
  </si>
  <si>
    <t xml:space="preserve">            Lwe Pyay(W)</t>
  </si>
  <si>
    <t xml:space="preserve">            Pawt Mong(W)</t>
  </si>
  <si>
    <t xml:space="preserve">            Nar Hawng(W)</t>
  </si>
  <si>
    <t xml:space="preserve">            Nawng Kyawt(W)</t>
  </si>
  <si>
    <t xml:space="preserve">            Nam Maw Sum(VT)</t>
  </si>
  <si>
    <t xml:space="preserve">            Nawng Myaing(VT)</t>
  </si>
  <si>
    <t xml:space="preserve">            Wan Hay(VT)</t>
  </si>
  <si>
    <t xml:space="preserve">            Maik Hai(VT)</t>
  </si>
  <si>
    <t xml:space="preserve">            Kun Nar(VT)</t>
  </si>
  <si>
    <t xml:space="preserve">            Wan Nar(VT)</t>
  </si>
  <si>
    <t xml:space="preserve">            Kone Lun(VT)</t>
  </si>
  <si>
    <t xml:space="preserve">            Pang Sein (Kar Ha)(VT)</t>
  </si>
  <si>
    <t xml:space="preserve">            Kunlong(VT)</t>
  </si>
  <si>
    <t xml:space="preserve">            Kun Keng(W)</t>
  </si>
  <si>
    <t xml:space="preserve">            Mway Taw(W)</t>
  </si>
  <si>
    <t xml:space="preserve">            Taung Myo(W)</t>
  </si>
  <si>
    <t xml:space="preserve">            Si Son(W)</t>
  </si>
  <si>
    <t xml:space="preserve">            Maik Hone(W)</t>
  </si>
  <si>
    <t xml:space="preserve">            Kone Lan(W)</t>
  </si>
  <si>
    <t xml:space="preserve">            Nam Lut(VT)</t>
  </si>
  <si>
    <t xml:space="preserve">            Ho Loi(VT)</t>
  </si>
  <si>
    <t xml:space="preserve">            Mong Poke(VT)</t>
  </si>
  <si>
    <t xml:space="preserve">            Sint Win(VT)</t>
  </si>
  <si>
    <t xml:space="preserve">            Sint Hseng(VT)</t>
  </si>
  <si>
    <t xml:space="preserve">            Ho Nam(VT)</t>
  </si>
  <si>
    <t xml:space="preserve">            Ka Du Gyi(VT)</t>
  </si>
  <si>
    <t xml:space="preserve">            Ah Lel (W)</t>
  </si>
  <si>
    <t xml:space="preserve">            Mongpan (East)(VT)</t>
  </si>
  <si>
    <t xml:space="preserve">            Nam Tein(VT)</t>
  </si>
  <si>
    <t xml:space="preserve">            Nawng Lum(VT)</t>
  </si>
  <si>
    <t xml:space="preserve">            Woe Laing(VT)</t>
  </si>
  <si>
    <t xml:space="preserve">            Nar Law(VT)</t>
  </si>
  <si>
    <t xml:space="preserve">            Hsar War(VT)</t>
  </si>
  <si>
    <t xml:space="preserve">            Nawng Yin(VT)</t>
  </si>
  <si>
    <t xml:space="preserve">            Nar Mun(VT)</t>
  </si>
  <si>
    <t xml:space="preserve">            Naw Aww(VT)</t>
  </si>
  <si>
    <t xml:space="preserve">            Kho Lon(VT)</t>
  </si>
  <si>
    <t xml:space="preserve">            Mae Aww(VT)</t>
  </si>
  <si>
    <t xml:space="preserve">            Nar Pawt(VT)</t>
  </si>
  <si>
    <t xml:space="preserve">            Ho Ha(VT)</t>
  </si>
  <si>
    <t xml:space="preserve">            No(1)/Thi Ri Ma Har(W)</t>
  </si>
  <si>
    <t xml:space="preserve">            No(2)/Aung Myit Tar(W)</t>
  </si>
  <si>
    <t xml:space="preserve">            No(3)/Shwe Bon Thar(W)</t>
  </si>
  <si>
    <t xml:space="preserve">            No(4)/Ahr Yon Taw(W)</t>
  </si>
  <si>
    <t xml:space="preserve">            No(5)/Aung Min Ga Lar(W)</t>
  </si>
  <si>
    <t xml:space="preserve">            No(6)/Shwe Li(W)</t>
  </si>
  <si>
    <t xml:space="preserve">            No(7)/Than Lwin(W)</t>
  </si>
  <si>
    <t xml:space="preserve">            No(8)/Aung Thi Dar(W)</t>
  </si>
  <si>
    <t xml:space="preserve">            No(9)/Myanmar Khar Yoe Yar(W)</t>
  </si>
  <si>
    <t xml:space="preserve">            No(10)/Myo Wan(W)</t>
  </si>
  <si>
    <t xml:space="preserve">            No(11)/Nam Pa Hkyi(W)</t>
  </si>
  <si>
    <t xml:space="preserve">            No(12)/Lashio Gyi(W)</t>
  </si>
  <si>
    <t xml:space="preserve">            Hu Mun(VT)</t>
  </si>
  <si>
    <t xml:space="preserve">            Man Aing(VT)</t>
  </si>
  <si>
    <t xml:space="preserve">            Mae Han(VT)</t>
  </si>
  <si>
    <t xml:space="preserve">            Loi Tauk(VT)</t>
  </si>
  <si>
    <t xml:space="preserve">            Nam Tun(VT)</t>
  </si>
  <si>
    <t xml:space="preserve">            Wein Htang(VT)</t>
  </si>
  <si>
    <t xml:space="preserve">            Kone Hsar(VT)</t>
  </si>
  <si>
    <t xml:space="preserve">            Tar Pong(VT)</t>
  </si>
  <si>
    <t xml:space="preserve">            Man Kat(VT)</t>
  </si>
  <si>
    <t xml:space="preserve">            Man Pying(VT)</t>
  </si>
  <si>
    <t xml:space="preserve">            Mak Hki Nu(VT)</t>
  </si>
  <si>
    <t xml:space="preserve">            Ho Peik(VT)</t>
  </si>
  <si>
    <t xml:space="preserve">            Kawng Kye (Ei)(VT)</t>
  </si>
  <si>
    <t xml:space="preserve">            Sum Kwei(VT)</t>
  </si>
  <si>
    <t xml:space="preserve">            Ho Nar(VT)</t>
  </si>
  <si>
    <t xml:space="preserve">            Ei Naing(VT)</t>
  </si>
  <si>
    <t xml:space="preserve">            Nar Kun Long(VT)</t>
  </si>
  <si>
    <t xml:space="preserve">            Kawng Kye(Ei)(VT)</t>
  </si>
  <si>
    <t xml:space="preserve">            Nam Pawng(VT)</t>
  </si>
  <si>
    <t xml:space="preserve">            Hkon Son(VT)</t>
  </si>
  <si>
    <t xml:space="preserve">            Loke Waun(VT)</t>
  </si>
  <si>
    <t xml:space="preserve">            Man Se(VT)</t>
  </si>
  <si>
    <t xml:space="preserve">            Ho Nar Kone Hsar(VT)</t>
  </si>
  <si>
    <t xml:space="preserve">            Pang Tho Lin(VT)</t>
  </si>
  <si>
    <t xml:space="preserve">            Nam Ma Baw Da(VT)</t>
  </si>
  <si>
    <t xml:space="preserve">            Man Pyin(VT)</t>
  </si>
  <si>
    <t xml:space="preserve">            Mein Kyaing(VT)</t>
  </si>
  <si>
    <t xml:space="preserve">            Pang Huong(VT)</t>
  </si>
  <si>
    <t xml:space="preserve">            Nar Nang Man Long(VT)</t>
  </si>
  <si>
    <t xml:space="preserve">            Loi Kan(VT)</t>
  </si>
  <si>
    <t xml:space="preserve">            Se Pawng(VT)</t>
  </si>
  <si>
    <t xml:space="preserve">            Kun Hlyoe(VT)</t>
  </si>
  <si>
    <t xml:space="preserve">            Mong Pai(VT)</t>
  </si>
  <si>
    <t xml:space="preserve">            Kone Mon(VT)</t>
  </si>
  <si>
    <t xml:space="preserve">            Man Hsan Yae Kya(VT)</t>
  </si>
  <si>
    <t xml:space="preserve">            Nar Ma Khaw(VT)</t>
  </si>
  <si>
    <t xml:space="preserve">            Mauk Tawng(VT)</t>
  </si>
  <si>
    <t xml:space="preserve">            Nam Pu(VT)</t>
  </si>
  <si>
    <t xml:space="preserve">            Nawng Hpawt(VT)</t>
  </si>
  <si>
    <t xml:space="preserve">            Man Pwe Long(VT)</t>
  </si>
  <si>
    <t xml:space="preserve">            Hkay Nin(VT)</t>
  </si>
  <si>
    <t xml:space="preserve">            Se In(VT)</t>
  </si>
  <si>
    <t xml:space="preserve">            Han Nar(VT)</t>
  </si>
  <si>
    <t xml:space="preserve">            Hkar Shi(VT)</t>
  </si>
  <si>
    <t xml:space="preserve">            Mong Yaw(VT)</t>
  </si>
  <si>
    <t xml:space="preserve">            Long Mun(VT)</t>
  </si>
  <si>
    <t xml:space="preserve">            Kun Hpyu(VT)</t>
  </si>
  <si>
    <t xml:space="preserve">            Pan Tha Pyay(VT)</t>
  </si>
  <si>
    <t xml:space="preserve">            Loi Sat(VT)</t>
  </si>
  <si>
    <t xml:space="preserve">            Man Kawng(VT)</t>
  </si>
  <si>
    <t xml:space="preserve">            Kun Kyaing(VT)</t>
  </si>
  <si>
    <t xml:space="preserve">            Kawng Kaw(VT)</t>
  </si>
  <si>
    <t xml:space="preserve">            Loilen(VT)</t>
  </si>
  <si>
    <t xml:space="preserve">            Man Long(VT)</t>
  </si>
  <si>
    <t xml:space="preserve">            Nawng Aw(VT)</t>
  </si>
  <si>
    <t xml:space="preserve">            Nam Lin Hkam(VT)</t>
  </si>
  <si>
    <t xml:space="preserve">            Ho Lin(VT)</t>
  </si>
  <si>
    <t xml:space="preserve">            Loi Hkam(VT)</t>
  </si>
  <si>
    <t xml:space="preserve">            Kawng Kaw San(VT)</t>
  </si>
  <si>
    <t xml:space="preserve">            Pang Yar Yone (Taik)(VT)</t>
  </si>
  <si>
    <t xml:space="preserve">            Pang Shaw(VT)</t>
  </si>
  <si>
    <t xml:space="preserve">            Pang War(VT)</t>
  </si>
  <si>
    <t xml:space="preserve">            Hpar Hpeint(VT)</t>
  </si>
  <si>
    <t xml:space="preserve">            Nawng Wu (Nawng Woe)(VT)</t>
  </si>
  <si>
    <t xml:space="preserve">            Kawng Kye(Yaw)(VT)</t>
  </si>
  <si>
    <t xml:space="preserve">            Ho Hko(VT)</t>
  </si>
  <si>
    <t xml:space="preserve">            Pang Kawng Mu(VT)</t>
  </si>
  <si>
    <t xml:space="preserve">            Nam Maw(VT)</t>
  </si>
  <si>
    <t xml:space="preserve">            Hkam Tein(VT)</t>
  </si>
  <si>
    <t xml:space="preserve">            Kawng Haw(VT)</t>
  </si>
  <si>
    <t xml:space="preserve">            U Yin Hmu(VT)</t>
  </si>
  <si>
    <t xml:space="preserve">            Pein Hsar(VT)</t>
  </si>
  <si>
    <t xml:space="preserve">            Taing Yet(VT)</t>
  </si>
  <si>
    <t xml:space="preserve">            Ho Ton(VT)</t>
  </si>
  <si>
    <t xml:space="preserve">            Ho Pang Myin(VT)</t>
  </si>
  <si>
    <t xml:space="preserve">            Nawng Kyawng(VT)</t>
  </si>
  <si>
    <t xml:space="preserve">            Nar Hsawt(VT)</t>
  </si>
  <si>
    <t xml:space="preserve">            Nar Ngin(VT)</t>
  </si>
  <si>
    <t xml:space="preserve">            Mong Par(VT)</t>
  </si>
  <si>
    <t xml:space="preserve">            Mauk Sa Li(VT)</t>
  </si>
  <si>
    <t xml:space="preserve">            Kawng Aing(VT)</t>
  </si>
  <si>
    <t xml:space="preserve">            Kawng Mu Hpeik(VT)</t>
  </si>
  <si>
    <t xml:space="preserve">            Se Au(VT)</t>
  </si>
  <si>
    <t xml:space="preserve">            Kone Nyaung(VT)</t>
  </si>
  <si>
    <t xml:space="preserve">            Kun Kauk(VT)</t>
  </si>
  <si>
    <t xml:space="preserve">            Nam Sa Larp(VT)</t>
  </si>
  <si>
    <t xml:space="preserve">            Hway Tawng(VT)</t>
  </si>
  <si>
    <t xml:space="preserve">            Man Lin(VT)</t>
  </si>
  <si>
    <t xml:space="preserve">            Kawng Wein(VT)</t>
  </si>
  <si>
    <t xml:space="preserve">            Shan Ton Nge(VT)</t>
  </si>
  <si>
    <t xml:space="preserve">            Loi Hseng(VT)</t>
  </si>
  <si>
    <t xml:space="preserve">            Nar Tee(VT)</t>
  </si>
  <si>
    <t xml:space="preserve">            Nawnghkio(VT)</t>
  </si>
  <si>
    <t xml:space="preserve">            Pang Tee(VT)</t>
  </si>
  <si>
    <t xml:space="preserve">            Man Kan(VT)</t>
  </si>
  <si>
    <t xml:space="preserve">            Nar Hpyaing(VT)</t>
  </si>
  <si>
    <t xml:space="preserve">            Loi Hkaik(VT)</t>
  </si>
  <si>
    <t xml:space="preserve">            Nar Hko(VT)</t>
  </si>
  <si>
    <t xml:space="preserve">            Ho Ya Ywar Ma(VT)</t>
  </si>
  <si>
    <t xml:space="preserve">            Nawng Mo(VT)</t>
  </si>
  <si>
    <t xml:space="preserve">            Kawng Mawng(VT)</t>
  </si>
  <si>
    <t xml:space="preserve">            Loi Ngin(VT)</t>
  </si>
  <si>
    <t xml:space="preserve">            Man Kyawng Pang Sin(VT)</t>
  </si>
  <si>
    <t xml:space="preserve">            Man Sant(VT)</t>
  </si>
  <si>
    <t xml:space="preserve">            Nam Sum(VT)</t>
  </si>
  <si>
    <t xml:space="preserve">            Kone Son(VT)</t>
  </si>
  <si>
    <t xml:space="preserve">            Pang Lan(VT)</t>
  </si>
  <si>
    <t xml:space="preserve">            Ho Ti(VT)</t>
  </si>
  <si>
    <t xml:space="preserve">            Nar War(VT)</t>
  </si>
  <si>
    <t xml:space="preserve">            Man Pong(VT)</t>
  </si>
  <si>
    <t xml:space="preserve">            Man Hpyet(VT)</t>
  </si>
  <si>
    <t xml:space="preserve">            Man Hpai(VT)</t>
  </si>
  <si>
    <t xml:space="preserve">            Long Laing(VT)</t>
  </si>
  <si>
    <t xml:space="preserve">            Mong Ha Man Mon(VT)</t>
  </si>
  <si>
    <t xml:space="preserve">            Man Kyawng(VT)</t>
  </si>
  <si>
    <t xml:space="preserve">            Mong Hing(VT)</t>
  </si>
  <si>
    <t xml:space="preserve">            Man Kyu(VT)</t>
  </si>
  <si>
    <t xml:space="preserve">            Wein Lawng(W)</t>
  </si>
  <si>
    <t xml:space="preserve">            Man Lwe(W)</t>
  </si>
  <si>
    <t xml:space="preserve">            Nawng Mo(W)</t>
  </si>
  <si>
    <t xml:space="preserve">            Man Hsan(W)</t>
  </si>
  <si>
    <t xml:space="preserve">            Ho Nam(W)</t>
  </si>
  <si>
    <t xml:space="preserve">            Mong Pat(VT)</t>
  </si>
  <si>
    <t xml:space="preserve">            Ho Pat(VT)</t>
  </si>
  <si>
    <t xml:space="preserve">            Hko Yawng(VT)</t>
  </si>
  <si>
    <t xml:space="preserve">            Nar Ngway(VT)</t>
  </si>
  <si>
    <t xml:space="preserve">            Ho Tar(VT)</t>
  </si>
  <si>
    <t xml:space="preserve">            Long Mon(VT)</t>
  </si>
  <si>
    <t xml:space="preserve">            Hway Kyein(VT)</t>
  </si>
  <si>
    <t xml:space="preserve">            Ho Man(VT)</t>
  </si>
  <si>
    <t xml:space="preserve">            Poke Lawng(VT)</t>
  </si>
  <si>
    <t xml:space="preserve">            Mong Keng(VT)</t>
  </si>
  <si>
    <t xml:space="preserve">            Pang Nwet(VT)</t>
  </si>
  <si>
    <t xml:space="preserve">            Pang Nyawng(VT)</t>
  </si>
  <si>
    <t xml:space="preserve">            Nam Hu Loi Kar(VT)</t>
  </si>
  <si>
    <t xml:space="preserve">            Nawng Hpar(VT)</t>
  </si>
  <si>
    <t xml:space="preserve">            Man Ping(VT)</t>
  </si>
  <si>
    <t xml:space="preserve">            Nawng Hkam(VT)</t>
  </si>
  <si>
    <t xml:space="preserve">            Nar Hoke(VT)</t>
  </si>
  <si>
    <t xml:space="preserve">            Long Pong(VT)</t>
  </si>
  <si>
    <t xml:space="preserve">            Wein Mong(VT)</t>
  </si>
  <si>
    <t xml:space="preserve">            Nar Lawng(VT)</t>
  </si>
  <si>
    <t xml:space="preserve">            Loi Sae(VT)</t>
  </si>
  <si>
    <t xml:space="preserve">            Nar Kaw(VT)</t>
  </si>
  <si>
    <t xml:space="preserve">            Tawng Hyoe(VT)</t>
  </si>
  <si>
    <t xml:space="preserve">            Man Loi(VT)</t>
  </si>
  <si>
    <t xml:space="preserve">            Nam Sai(VT)</t>
  </si>
  <si>
    <t xml:space="preserve">            Pang Hpi(VT)</t>
  </si>
  <si>
    <t xml:space="preserve">            Hkam Kone(VT)</t>
  </si>
  <si>
    <t xml:space="preserve">            Nam Aun(VT)</t>
  </si>
  <si>
    <t xml:space="preserve">            Par Hsan(VT)</t>
  </si>
  <si>
    <t xml:space="preserve">            Hse Hi(VT)</t>
  </si>
  <si>
    <t xml:space="preserve">            Nawng Sant(VT)</t>
  </si>
  <si>
    <t xml:space="preserve">            Nar Han(VT)</t>
  </si>
  <si>
    <t xml:space="preserve">            Nam Lan(VT)</t>
  </si>
  <si>
    <t xml:space="preserve">            Kawng Lan(VT)</t>
  </si>
  <si>
    <t xml:space="preserve">            Kawng San(VT)</t>
  </si>
  <si>
    <t xml:space="preserve">            Nam Hu(Nam Hu Naung Lai)(VT)</t>
  </si>
  <si>
    <t xml:space="preserve">            Pang Lawng (Hpar Hpein)(VT)</t>
  </si>
  <si>
    <t xml:space="preserve">            Nawng Hkam (Mong Htwun)(VT)</t>
  </si>
  <si>
    <t xml:space="preserve">            Man Kawng Mu(VT)</t>
  </si>
  <si>
    <t xml:space="preserve">            Nawng Hkam (Mong Mar)(VT)</t>
  </si>
  <si>
    <t xml:space="preserve">            Nam Muse(VT)</t>
  </si>
  <si>
    <t xml:space="preserve">            Loi Waw(VT)</t>
  </si>
  <si>
    <t xml:space="preserve">            Loi Pyet(VT)</t>
  </si>
  <si>
    <t xml:space="preserve">            Christan(W)</t>
  </si>
  <si>
    <t xml:space="preserve">            Ho Mun(W)</t>
  </si>
  <si>
    <t xml:space="preserve">            Myauk(W)</t>
  </si>
  <si>
    <t xml:space="preserve">            Kawng Nawng(W)</t>
  </si>
  <si>
    <t xml:space="preserve">            Swei Taw(W)</t>
  </si>
  <si>
    <t xml:space="preserve">            Taw Ywet(W)</t>
  </si>
  <si>
    <t xml:space="preserve">            Kaung Hmu Ton(W)</t>
  </si>
  <si>
    <t xml:space="preserve">            Nam Pang(VT)</t>
  </si>
  <si>
    <t xml:space="preserve">            Se Lant(VT)</t>
  </si>
  <si>
    <t xml:space="preserve">            Hpai Kyawng(VT)</t>
  </si>
  <si>
    <t xml:space="preserve">            Nawng Hseng(VT)</t>
  </si>
  <si>
    <t xml:space="preserve">            Nawng Lawng(VT)</t>
  </si>
  <si>
    <t xml:space="preserve">            Pang Hkam(VT)</t>
  </si>
  <si>
    <t xml:space="preserve">            Teing Long (East)(VT)</t>
  </si>
  <si>
    <t xml:space="preserve">            Mone Yu Tit Yar Ngar Maing(VT)</t>
  </si>
  <si>
    <t xml:space="preserve">            Tont Hkan Nay(VT)</t>
  </si>
  <si>
    <t xml:space="preserve">            Maw Tawng Ywar Ma(VT)</t>
  </si>
  <si>
    <t xml:space="preserve">            Man Mai(VT)</t>
  </si>
  <si>
    <t xml:space="preserve">            Man Hai(VT)</t>
  </si>
  <si>
    <t xml:space="preserve">            Hpar Hpeik(VT)</t>
  </si>
  <si>
    <t xml:space="preserve">            No(13)(W)</t>
  </si>
  <si>
    <t xml:space="preserve">            No(14)(W)</t>
  </si>
  <si>
    <t xml:space="preserve">            Mant Nawng(VT)</t>
  </si>
  <si>
    <t xml:space="preserve">            Se Hai(VT)</t>
  </si>
  <si>
    <t xml:space="preserve">            Nawng Hkan(VT)</t>
  </si>
  <si>
    <t xml:space="preserve">            Hat Hin(VT)</t>
  </si>
  <si>
    <t xml:space="preserve">            Kun Haing(VT)</t>
  </si>
  <si>
    <t xml:space="preserve">            Man Sum(VT)</t>
  </si>
  <si>
    <t xml:space="preserve">            Man Hawng(VT)</t>
  </si>
  <si>
    <t xml:space="preserve">            Nam Tee(VT)</t>
  </si>
  <si>
    <t xml:space="preserve">            Kawng Waing(VT)</t>
  </si>
  <si>
    <t xml:space="preserve">            Awe Law Man Sang(VT)</t>
  </si>
  <si>
    <t xml:space="preserve">            Pang Hkar (Loi)(VT)</t>
  </si>
  <si>
    <t xml:space="preserve">            Hsar Lu(VT)</t>
  </si>
  <si>
    <t xml:space="preserve">            Man Awng(VT)</t>
  </si>
  <si>
    <t xml:space="preserve">            Hpar Lin(VT)</t>
  </si>
  <si>
    <t xml:space="preserve">            Nam Hsee Ree(VT)</t>
  </si>
  <si>
    <t xml:space="preserve">            Loi Lum (Li Shaw)(VT)</t>
  </si>
  <si>
    <t xml:space="preserve">            Kawng Kat(VT)</t>
  </si>
  <si>
    <t xml:space="preserve">            Pat Mar Dein Hsar(VT)</t>
  </si>
  <si>
    <t xml:space="preserve">            Tar Kun(VT)</t>
  </si>
  <si>
    <t xml:space="preserve">            Man Sat(VT)</t>
  </si>
  <si>
    <t xml:space="preserve">            Pang Hsay (Man Sat)(VT)</t>
  </si>
  <si>
    <t xml:space="preserve">            Man Pu(VT)</t>
  </si>
  <si>
    <t xml:space="preserve">            Hin Long(VT)</t>
  </si>
  <si>
    <t xml:space="preserve">            Mu Kawng(VT)</t>
  </si>
  <si>
    <t xml:space="preserve">            Yant Wu(VT)</t>
  </si>
  <si>
    <t xml:space="preserve">            Maw Hsway(VT)</t>
  </si>
  <si>
    <t xml:space="preserve">            Loi Yaing(VT)</t>
  </si>
  <si>
    <t xml:space="preserve">            Loi Chet(VT)</t>
  </si>
  <si>
    <t xml:space="preserve">            Mong Wee(VT)</t>
  </si>
  <si>
    <t xml:space="preserve">            Loi Hum (Pa Laung)(VT)</t>
  </si>
  <si>
    <t xml:space="preserve">            Lawt Naw(VT)</t>
  </si>
  <si>
    <t xml:space="preserve">            Man Hun (Loi)(VT)</t>
  </si>
  <si>
    <t xml:space="preserve">            Se Nay (Loi)(VT)</t>
  </si>
  <si>
    <t xml:space="preserve">            Man Pang (Loi)(VT)</t>
  </si>
  <si>
    <t xml:space="preserve">            Pang Yoke (Upper)(VT)</t>
  </si>
  <si>
    <t xml:space="preserve">            Tun Huong (Kachin)(VT)</t>
  </si>
  <si>
    <t xml:space="preserve">            Hpat Yaing Pying Hoi(VT)</t>
  </si>
  <si>
    <t xml:space="preserve">            Kawng Hkar Man Pying(VT)</t>
  </si>
  <si>
    <t xml:space="preserve">            En Man Ho Kyan(VT)</t>
  </si>
  <si>
    <t xml:space="preserve">            Man Sark(VT)</t>
  </si>
  <si>
    <t xml:space="preserve">            Kar Lai Kone Hsar(VT)</t>
  </si>
  <si>
    <t xml:space="preserve">            Nar Nwet(VT)</t>
  </si>
  <si>
    <t xml:space="preserve">            Nam Hpat Lun(VT)</t>
  </si>
  <si>
    <t xml:space="preserve">            Kawng Lein(VT)</t>
  </si>
  <si>
    <t xml:space="preserve">            Ho Hpyet Man Ping(VT)</t>
  </si>
  <si>
    <t xml:space="preserve">            Maw Han(VT)</t>
  </si>
  <si>
    <t xml:space="preserve">            Thone Se Shit Maing Man Pying(VT)</t>
  </si>
  <si>
    <t xml:space="preserve">            Kawng Hkar(VT)</t>
  </si>
  <si>
    <t xml:space="preserve">            Loi Hkan(VT)</t>
  </si>
  <si>
    <t xml:space="preserve">            Ho Nawng(VT)</t>
  </si>
  <si>
    <t xml:space="preserve">            Pang Ku(VT)</t>
  </si>
  <si>
    <t xml:space="preserve">            Kyein Mun(VT)</t>
  </si>
  <si>
    <t xml:space="preserve">            Nam Hpat Kar(VT)</t>
  </si>
  <si>
    <t xml:space="preserve">            Pang Sa Lorp(VT)</t>
  </si>
  <si>
    <t xml:space="preserve">            Au Rar Bum Man Pying(VT)</t>
  </si>
  <si>
    <t xml:space="preserve">            Au Rar Bum Kawng Lein(VT)</t>
  </si>
  <si>
    <t xml:space="preserve">            Pang Kai (Lower)(VT)</t>
  </si>
  <si>
    <t xml:space="preserve">            Pang Kai Pang Lawt(VT)</t>
  </si>
  <si>
    <t xml:space="preserve">            Mong Yu(VT)</t>
  </si>
  <si>
    <t xml:space="preserve">            Man Nein Aum(VT)</t>
  </si>
  <si>
    <t xml:space="preserve">            Nam Ngun(VT)</t>
  </si>
  <si>
    <t xml:space="preserve">            Ho Maw Man Nein (Pa Laung)(VT)</t>
  </si>
  <si>
    <t xml:space="preserve">            Ho Maw Lawt Khum(VT)</t>
  </si>
  <si>
    <t xml:space="preserve">            Ho Maw Hopong(VT)</t>
  </si>
  <si>
    <t xml:space="preserve">            Nein Lum Hko Mone(VT)</t>
  </si>
  <si>
    <t xml:space="preserve">            Pyin Pun(VT)</t>
  </si>
  <si>
    <t xml:space="preserve">            Ho Kyeint(VT)</t>
  </si>
  <si>
    <t xml:space="preserve">            Dein Ga Ri(VT)</t>
  </si>
  <si>
    <t xml:space="preserve">            Mong Ya(VT)</t>
  </si>
  <si>
    <t xml:space="preserve">            Mong Ya Pang Hsat(VT)</t>
  </si>
  <si>
    <t xml:space="preserve">            Ton Aw(VT)</t>
  </si>
  <si>
    <t xml:space="preserve">            Kaung Kwe(VT)</t>
  </si>
  <si>
    <t xml:space="preserve">            Mine Lon(VT)</t>
  </si>
  <si>
    <t xml:space="preserve">            Kawng Lon(VT)</t>
  </si>
  <si>
    <t xml:space="preserve">            Pang Lum(VT)</t>
  </si>
  <si>
    <t xml:space="preserve">            Nawt Ko(VT)</t>
  </si>
  <si>
    <t xml:space="preserve">            Hpaw Maw(VT)</t>
  </si>
  <si>
    <t xml:space="preserve">            Man Kan(Mone Koe)(VT)</t>
  </si>
  <si>
    <t xml:space="preserve">            Man Gyat(VT)</t>
  </si>
  <si>
    <t xml:space="preserve">            Pang Tawng(VT)</t>
  </si>
  <si>
    <t xml:space="preserve">            Pu Wan(VT)</t>
  </si>
  <si>
    <t xml:space="preserve">            Man Kan(Ho Nar)(VT)</t>
  </si>
  <si>
    <t xml:space="preserve">            Hpawng Hseng (VT)</t>
  </si>
  <si>
    <t xml:space="preserve">            Man Yang(VT)</t>
  </si>
  <si>
    <t xml:space="preserve">            Loi Wein(VT)</t>
  </si>
  <si>
    <t xml:space="preserve">            Loi Hsar(VT)</t>
  </si>
  <si>
    <t xml:space="preserve">            Wein Hseng(VT)</t>
  </si>
  <si>
    <t xml:space="preserve">            Loi Lum(VT)</t>
  </si>
  <si>
    <t xml:space="preserve">            Loi Ma Kauk(VT)</t>
  </si>
  <si>
    <t xml:space="preserve">            Nam Lar Hawt(VT)</t>
  </si>
  <si>
    <t xml:space="preserve">            Yaut Shwe Sin(Man Kan)(VT)</t>
  </si>
  <si>
    <t xml:space="preserve">            Nawng Hkaw(VT)</t>
  </si>
  <si>
    <t xml:space="preserve">            Nawng Hin(VT)</t>
  </si>
  <si>
    <t xml:space="preserve">            Kauk Kwet(VT)</t>
  </si>
  <si>
    <t xml:space="preserve">            Nawng Hpai (VT)</t>
  </si>
  <si>
    <t xml:space="preserve">            Kyein Yang Ton(VT)</t>
  </si>
  <si>
    <t xml:space="preserve">            Yi Hku(VT)</t>
  </si>
  <si>
    <t xml:space="preserve">            Mone Paw Nam Chet (Zay)(VT)</t>
  </si>
  <si>
    <t xml:space="preserve">            Mong Hpan(VT)</t>
  </si>
  <si>
    <t xml:space="preserve">            Nam Chet Ywar Ma(VT)</t>
  </si>
  <si>
    <t xml:space="preserve">            Man Nway(VT)</t>
  </si>
  <si>
    <t xml:space="preserve">            Ho Pong(VT)</t>
  </si>
  <si>
    <t xml:space="preserve">            Hko Pyin(VT)</t>
  </si>
  <si>
    <t xml:space="preserve">            Man Kyei(VT)</t>
  </si>
  <si>
    <t xml:space="preserve">            Ban Nwet(VT)</t>
  </si>
  <si>
    <t xml:space="preserve">            Long Waun Nam Rein(VT)</t>
  </si>
  <si>
    <t xml:space="preserve">            Daung Naw(VT)</t>
  </si>
  <si>
    <t xml:space="preserve">            Mong See Wein Mai(VT)</t>
  </si>
  <si>
    <t xml:space="preserve">            Ho Et(VT)</t>
  </si>
  <si>
    <t xml:space="preserve">            Man Tet(VT)</t>
  </si>
  <si>
    <t xml:space="preserve">            Mong Paw(VT)</t>
  </si>
  <si>
    <t xml:space="preserve">            Man Lawng(VT)</t>
  </si>
  <si>
    <t xml:space="preserve">            Nam Kan Long(VT)</t>
  </si>
  <si>
    <t xml:space="preserve">            Nawng Long Ywar Ma(VT)</t>
  </si>
  <si>
    <t xml:space="preserve">            King Hon Ping Hkam(VT)</t>
  </si>
  <si>
    <t xml:space="preserve">            Ban Kaw(VT)</t>
  </si>
  <si>
    <t xml:space="preserve">            Ban Long(VT)</t>
  </si>
  <si>
    <t xml:space="preserve">            Mong Htan(VT)</t>
  </si>
  <si>
    <t xml:space="preserve">            Yone Maw(VT)</t>
  </si>
  <si>
    <t xml:space="preserve">            Nawng Kan(VT)</t>
  </si>
  <si>
    <t xml:space="preserve">            Tat Naing(VT)</t>
  </si>
  <si>
    <t xml:space="preserve">            Long Htan(VT)</t>
  </si>
  <si>
    <t xml:space="preserve">            Nam Pa Yon(VT)</t>
  </si>
  <si>
    <t xml:space="preserve">            Shaw Haw(VT)</t>
  </si>
  <si>
    <t xml:space="preserve">            Man Wein(VT)</t>
  </si>
  <si>
    <t xml:space="preserve">            Mong Hum(VT)</t>
  </si>
  <si>
    <t xml:space="preserve">            Nam Hu Tawng(VT)</t>
  </si>
  <si>
    <t xml:space="preserve">            Man Kyawng (Kywe Kone)(VT)</t>
  </si>
  <si>
    <t xml:space="preserve">            Hko Mone(VT)</t>
  </si>
  <si>
    <t xml:space="preserve">            Nar Pying(VT)</t>
  </si>
  <si>
    <t xml:space="preserve">            Nar Hkaw(VT)</t>
  </si>
  <si>
    <t xml:space="preserve">            Kyaukme Gyi(VT)</t>
  </si>
  <si>
    <t xml:space="preserve">            Man Kyawng (Kyaukme Gyi)(VT)</t>
  </si>
  <si>
    <t xml:space="preserve">            Pein Hne Kone(VT)</t>
  </si>
  <si>
    <t xml:space="preserve">            Kyu Shaw(VT)</t>
  </si>
  <si>
    <t xml:space="preserve">            Ta Khun Taing(VT)</t>
  </si>
  <si>
    <t xml:space="preserve">            Mong Tin(VT)</t>
  </si>
  <si>
    <t xml:space="preserve">            Taung Say Leik(VT)</t>
  </si>
  <si>
    <t xml:space="preserve">            Nar Aik Hkant(VT)</t>
  </si>
  <si>
    <t xml:space="preserve">            Sa Khan Thar(VT)</t>
  </si>
  <si>
    <t xml:space="preserve">            Nawng Pein(VT)</t>
  </si>
  <si>
    <t xml:space="preserve">            Pin Tein(VT)</t>
  </si>
  <si>
    <t xml:space="preserve">            Pin Paw(VT)</t>
  </si>
  <si>
    <t xml:space="preserve">            Hke Hnin(VT)</t>
  </si>
  <si>
    <t xml:space="preserve">            Maw Mar(VT)</t>
  </si>
  <si>
    <t xml:space="preserve">            Pang Wun(VT)</t>
  </si>
  <si>
    <t xml:space="preserve">            Pying Sint(VT)</t>
  </si>
  <si>
    <t xml:space="preserve">            Pang Kun(VT)</t>
  </si>
  <si>
    <t xml:space="preserve">            Hu Kut(VT)</t>
  </si>
  <si>
    <t xml:space="preserve">            Hu Sun(VT)</t>
  </si>
  <si>
    <t xml:space="preserve">            Pang Lin(VT)</t>
  </si>
  <si>
    <t xml:space="preserve">            Chaung Chauk(VT)</t>
  </si>
  <si>
    <t xml:space="preserve">            Kun Kaw(VT)</t>
  </si>
  <si>
    <t xml:space="preserve">            Pong Woe(VT)</t>
  </si>
  <si>
    <t xml:space="preserve">            Kun Hin(VT)</t>
  </si>
  <si>
    <t xml:space="preserve">            Nawng Kun(VT)</t>
  </si>
  <si>
    <t xml:space="preserve">            Pang Sam(VT)</t>
  </si>
  <si>
    <t xml:space="preserve">            Nawng Shin(VT)</t>
  </si>
  <si>
    <t xml:space="preserve">            Nar Aw(VT)</t>
  </si>
  <si>
    <t xml:space="preserve">            Taung Hteik(VT)</t>
  </si>
  <si>
    <t xml:space="preserve">            Hkant Hke Pawt Inn(VT)</t>
  </si>
  <si>
    <t xml:space="preserve">            He Kwi(VT)</t>
  </si>
  <si>
    <t xml:space="preserve">            Loi Saunt(VT)</t>
  </si>
  <si>
    <t xml:space="preserve">            Bu Tar(W)</t>
  </si>
  <si>
    <t xml:space="preserve">            Pa Hat(W)</t>
  </si>
  <si>
    <t xml:space="preserve">            Tha Pyay Yay(W)</t>
  </si>
  <si>
    <t xml:space="preserve">            Nar Sho(W)</t>
  </si>
  <si>
    <t xml:space="preserve">            Kone Sam(VT)</t>
  </si>
  <si>
    <t xml:space="preserve">            Long Yon(VT)</t>
  </si>
  <si>
    <t xml:space="preserve">            Ngoke Ka Lay(VT)</t>
  </si>
  <si>
    <t xml:space="preserve">            Long Wei(VT)</t>
  </si>
  <si>
    <t xml:space="preserve">            Nyan Taw(VT)</t>
  </si>
  <si>
    <t xml:space="preserve">            Kan Gyi(VT)</t>
  </si>
  <si>
    <t xml:space="preserve">            Shwe Moke Htaw(VT)</t>
  </si>
  <si>
    <t xml:space="preserve">            Yae Twin Gyi(VT)</t>
  </si>
  <si>
    <t xml:space="preserve">            Inn Hpo(VT)</t>
  </si>
  <si>
    <t xml:space="preserve">            Me Poke(VT)</t>
  </si>
  <si>
    <t xml:space="preserve">            Thone Se(VT)</t>
  </si>
  <si>
    <t xml:space="preserve">            Hsam Ma Hse(VT)</t>
  </si>
  <si>
    <t xml:space="preserve">            Ong Ma Hkar(VT)</t>
  </si>
  <si>
    <t xml:space="preserve">            Pin Tee(VT)</t>
  </si>
  <si>
    <t xml:space="preserve">            Bant Bway(VT)</t>
  </si>
  <si>
    <t xml:space="preserve">            Kone Gyi Ywar Ma(VT)</t>
  </si>
  <si>
    <t xml:space="preserve">            Kyein Ga Naing(VT)</t>
  </si>
  <si>
    <t xml:space="preserve">            Ah Nauk Kyu Inn(VT)</t>
  </si>
  <si>
    <t xml:space="preserve">            Nyaung Tauk(VT)</t>
  </si>
  <si>
    <t xml:space="preserve">            Hko Ong(VT)</t>
  </si>
  <si>
    <t xml:space="preserve">            Kone Thar(VT)</t>
  </si>
  <si>
    <t xml:space="preserve">            Seik Hpu(VT)</t>
  </si>
  <si>
    <t xml:space="preserve">            Ku Lar Kwe(VT)</t>
  </si>
  <si>
    <t xml:space="preserve">            Doe Pin(VT)</t>
  </si>
  <si>
    <t xml:space="preserve">            Kyauk Gyi(VT)</t>
  </si>
  <si>
    <t xml:space="preserve">            Bant Bway Kyin(VT)</t>
  </si>
  <si>
    <t xml:space="preserve">            Ho Hko (North)(VT)</t>
  </si>
  <si>
    <t xml:space="preserve">            Hsi Hson(VT)</t>
  </si>
  <si>
    <t xml:space="preserve">            Kone Gyi(VT)</t>
  </si>
  <si>
    <t xml:space="preserve">            Than Bo(VT)</t>
  </si>
  <si>
    <t xml:space="preserve">            Ah Htet Kyu Inn(VT)</t>
  </si>
  <si>
    <t xml:space="preserve">            Myanmar(W)</t>
  </si>
  <si>
    <t xml:space="preserve">            Pan Tein (North)(W)</t>
  </si>
  <si>
    <t xml:space="preserve">            Pan Tein (South)(W)</t>
  </si>
  <si>
    <t xml:space="preserve">            Zat Su (W)</t>
  </si>
  <si>
    <t xml:space="preserve">            Shwe Kyaung Ward(W)</t>
  </si>
  <si>
    <t xml:space="preserve">            Oke Kyin Ward(W)</t>
  </si>
  <si>
    <t xml:space="preserve">            Taung Myo Ward(W)</t>
  </si>
  <si>
    <t xml:space="preserve">            Mee Ya Htar Ward(W)</t>
  </si>
  <si>
    <t xml:space="preserve">            Tein San(VT)</t>
  </si>
  <si>
    <t xml:space="preserve">            Man He(VT)</t>
  </si>
  <si>
    <t xml:space="preserve">            Sam Hpeik(VT)</t>
  </si>
  <si>
    <t xml:space="preserve">            Ywar Thit(VT)</t>
  </si>
  <si>
    <t xml:space="preserve">            Ton Sint(VT)</t>
  </si>
  <si>
    <t xml:space="preserve">            Sun Long(VT)</t>
  </si>
  <si>
    <t xml:space="preserve">            Pang Soa Ming(VT)</t>
  </si>
  <si>
    <t xml:space="preserve">            Nawng An(VT)</t>
  </si>
  <si>
    <t xml:space="preserve">            Pang Meik(VT)</t>
  </si>
  <si>
    <t xml:space="preserve">            Kun Hkaik(VT)</t>
  </si>
  <si>
    <t xml:space="preserve">            Kyin Thi(VT)</t>
  </si>
  <si>
    <t xml:space="preserve">            Baw Kyo(VT)</t>
  </si>
  <si>
    <t xml:space="preserve">            Lawng Hkun(VT)</t>
  </si>
  <si>
    <t xml:space="preserve">            Saung Kye(VT)</t>
  </si>
  <si>
    <t xml:space="preserve">            Tun Kyaing(VT)</t>
  </si>
  <si>
    <t xml:space="preserve">            Nawng Ton(VT)</t>
  </si>
  <si>
    <t xml:space="preserve">            Ong Mu(VT)</t>
  </si>
  <si>
    <t xml:space="preserve">            Man Pyit(VT)</t>
  </si>
  <si>
    <t xml:space="preserve">            Pang Hkan(VT)</t>
  </si>
  <si>
    <t xml:space="preserve">            Moe Tay(VT)</t>
  </si>
  <si>
    <t xml:space="preserve">            Man Sang(VT)</t>
  </si>
  <si>
    <t xml:space="preserve">            Sin Kyawt(VT)</t>
  </si>
  <si>
    <t xml:space="preserve">            Nar Taunt(VT)</t>
  </si>
  <si>
    <t xml:space="preserve">            Ma Hkaw(VT)</t>
  </si>
  <si>
    <t xml:space="preserve">            Nam Ma(VT)</t>
  </si>
  <si>
    <t xml:space="preserve">            Hu Mye(VT)</t>
  </si>
  <si>
    <t xml:space="preserve">            Kun Hauk(VT)</t>
  </si>
  <si>
    <t xml:space="preserve">            Man Hkaing Hsi Htauk(VT)</t>
  </si>
  <si>
    <t xml:space="preserve">            Mant Mun Man Kyawng(VT)</t>
  </si>
  <si>
    <t xml:space="preserve">            Kawng Hkan(VT)</t>
  </si>
  <si>
    <t xml:space="preserve">            Man Li(VT)</t>
  </si>
  <si>
    <t xml:space="preserve">            Nam Maw Shwe(VT)</t>
  </si>
  <si>
    <t xml:space="preserve">            Nar Lay (Li)(VT)</t>
  </si>
  <si>
    <t xml:space="preserve">            Kone Yone(VT)</t>
  </si>
  <si>
    <t xml:space="preserve">            Nar Ma Hkaw(VT)</t>
  </si>
  <si>
    <t xml:space="preserve">            Se Hkan(VT)</t>
  </si>
  <si>
    <t xml:space="preserve">            Kone Hsawt(VT)</t>
  </si>
  <si>
    <t xml:space="preserve">            Nam Yang(VT)</t>
  </si>
  <si>
    <t xml:space="preserve">            Mong Hkay(VT)</t>
  </si>
  <si>
    <t xml:space="preserve">            Man Mun Hkay(VT)</t>
  </si>
  <si>
    <t xml:space="preserve">            Nar Lay Hkay(VT)</t>
  </si>
  <si>
    <t xml:space="preserve">            Man Pang(VT)</t>
  </si>
  <si>
    <t xml:space="preserve">            Pying Nyawng(VT)</t>
  </si>
  <si>
    <t xml:space="preserve">            Ho Aun(VT)</t>
  </si>
  <si>
    <t xml:space="preserve">            Mong Ton(VT)</t>
  </si>
  <si>
    <t xml:space="preserve">            Kun Hkar(VT)</t>
  </si>
  <si>
    <t xml:space="preserve">            Hsut Ton(VT)</t>
  </si>
  <si>
    <t xml:space="preserve">            Man Pat(VT)</t>
  </si>
  <si>
    <t xml:space="preserve">            Man Maw(VT)</t>
  </si>
  <si>
    <t xml:space="preserve">            Mong Lar(VT)</t>
  </si>
  <si>
    <t xml:space="preserve">            Long Tawng(VT)</t>
  </si>
  <si>
    <t xml:space="preserve">            Nar Hpwei(VT)</t>
  </si>
  <si>
    <t xml:space="preserve">            Namtu(W)</t>
  </si>
  <si>
    <t xml:space="preserve">            Pang Haik(W)</t>
  </si>
  <si>
    <t xml:space="preserve">            Kyu Hsawt(VT)</t>
  </si>
  <si>
    <t xml:space="preserve">            Hsaik Hkawng(VT)</t>
  </si>
  <si>
    <t xml:space="preserve">            Hko Mo(VT)</t>
  </si>
  <si>
    <t xml:space="preserve">            Baw Twin(VT)</t>
  </si>
  <si>
    <t xml:space="preserve">            Hu Hsar(VT)</t>
  </si>
  <si>
    <t xml:space="preserve">            Hin Poke(VT)</t>
  </si>
  <si>
    <t xml:space="preserve">            Man San(VT)</t>
  </si>
  <si>
    <t xml:space="preserve">            Nam Taung Kone(VT)</t>
  </si>
  <si>
    <t xml:space="preserve">            Pang Hsawt(VT)</t>
  </si>
  <si>
    <t xml:space="preserve">            Mong Mu(VT)</t>
  </si>
  <si>
    <t xml:space="preserve">            Pang Long(VT)</t>
  </si>
  <si>
    <t xml:space="preserve">            Shaung Hsar(VT)</t>
  </si>
  <si>
    <t xml:space="preserve">            Loi Pyay(VT)</t>
  </si>
  <si>
    <t xml:space="preserve">            Mong Tat(VT)</t>
  </si>
  <si>
    <t xml:space="preserve">            Loi Ngin Nam Hmyaw(VT)</t>
  </si>
  <si>
    <t xml:space="preserve">            Nar Hseng(VT)</t>
  </si>
  <si>
    <t xml:space="preserve">            Pang Chin(VT)</t>
  </si>
  <si>
    <t xml:space="preserve">            Mong Yin(VT)</t>
  </si>
  <si>
    <t xml:space="preserve">            Wein Nang(VT)</t>
  </si>
  <si>
    <t xml:space="preserve">            Man Hsar Long(VT)</t>
  </si>
  <si>
    <t xml:space="preserve">            Hpar Sum(VT)</t>
  </si>
  <si>
    <t xml:space="preserve">            Nam Waw(W)</t>
  </si>
  <si>
    <t xml:space="preserve">            Man Hkaik (W)</t>
  </si>
  <si>
    <t xml:space="preserve">            Moe Ge (W)</t>
  </si>
  <si>
    <t xml:space="preserve">            Man Mai (W)</t>
  </si>
  <si>
    <t xml:space="preserve">            Ngun Hseng(VT)</t>
  </si>
  <si>
    <t xml:space="preserve">            Man Loi(W)</t>
  </si>
  <si>
    <t xml:space="preserve">            Nam Len(VT)</t>
  </si>
  <si>
    <t xml:space="preserve">            Hkay Hkin(W)</t>
  </si>
  <si>
    <t xml:space="preserve">            Taung Kyaw(VT)</t>
  </si>
  <si>
    <t xml:space="preserve">            Ahr Ram(W)</t>
  </si>
  <si>
    <t xml:space="preserve">            Hu Hkin(VT)</t>
  </si>
  <si>
    <t xml:space="preserve">            Hu Man(VT)</t>
  </si>
  <si>
    <t xml:space="preserve">            Za Yang(VT)</t>
  </si>
  <si>
    <t xml:space="preserve">            Kayah Lan(VT)</t>
  </si>
  <si>
    <t xml:space="preserve">            Kayah Gyi(VT)</t>
  </si>
  <si>
    <t xml:space="preserve">            Kyauk Hpyu(VT)</t>
  </si>
  <si>
    <t xml:space="preserve">            Hpa Yar Gyi(VT)</t>
  </si>
  <si>
    <t xml:space="preserve">            Long Tauk(VT)</t>
  </si>
  <si>
    <t xml:space="preserve">            Taung Ma(VT)</t>
  </si>
  <si>
    <t xml:space="preserve">            Li Lu(VT)</t>
  </si>
  <si>
    <t xml:space="preserve">            Ah Nauk Kin(VT)</t>
  </si>
  <si>
    <t xml:space="preserve">            Kun Hei(VT)</t>
  </si>
  <si>
    <t xml:space="preserve">            Man Nauk(VT)</t>
  </si>
  <si>
    <t xml:space="preserve">            Myot Thit(VT)</t>
  </si>
  <si>
    <t xml:space="preserve">            Ohn Ma Sum(VT)</t>
  </si>
  <si>
    <t xml:space="preserve">            Pan Nin(VT)</t>
  </si>
  <si>
    <t xml:space="preserve">            Kyauk Hpyu Lay(VT)</t>
  </si>
  <si>
    <t xml:space="preserve">            Nam Tway(VT)</t>
  </si>
  <si>
    <t xml:space="preserve">            Taung Paing(W)</t>
  </si>
  <si>
    <t xml:space="preserve">            Myauk Paing(W)</t>
  </si>
  <si>
    <t xml:space="preserve">            Let Khoke Tan(W)</t>
  </si>
  <si>
    <t xml:space="preserve">            Haw Kone (Haw Nan)(W)</t>
  </si>
  <si>
    <t xml:space="preserve">            Taung Kaing(VT)</t>
  </si>
  <si>
    <t xml:space="preserve">            Let Khoke Pin(VT)</t>
  </si>
  <si>
    <t xml:space="preserve">            Myit Son(VT)</t>
  </si>
  <si>
    <t xml:space="preserve">            Shwe Zar Li(VT)</t>
  </si>
  <si>
    <t xml:space="preserve">            Thea Ni(VT)</t>
  </si>
  <si>
    <t xml:space="preserve">            Lel Gyi(VT)</t>
  </si>
  <si>
    <t xml:space="preserve">            Ma Gyi Pin(VT)</t>
  </si>
  <si>
    <t xml:space="preserve">            Pa Thin(VT)</t>
  </si>
  <si>
    <t xml:space="preserve">            Moe Hauk(VT)</t>
  </si>
  <si>
    <t xml:space="preserve">            Nam Hput(VT)</t>
  </si>
  <si>
    <t xml:space="preserve">            Thit Seint Kone(VT)</t>
  </si>
  <si>
    <t xml:space="preserve">            Pa Dan(VT)</t>
  </si>
  <si>
    <t xml:space="preserve">            Moe Bon(VT)</t>
  </si>
  <si>
    <t xml:space="preserve">            Sin Kin(VT)</t>
  </si>
  <si>
    <t xml:space="preserve">            Loi Hsar (loi Saw)(VT)</t>
  </si>
  <si>
    <t xml:space="preserve">            Shwe Nyaung Pin(VT)</t>
  </si>
  <si>
    <t xml:space="preserve">            Nar Hkar Long(VT)</t>
  </si>
  <si>
    <t xml:space="preserve">            Hin Hkoke(VT)</t>
  </si>
  <si>
    <t xml:space="preserve">            Moe Lo(VT)</t>
  </si>
  <si>
    <t xml:space="preserve">            He Htin(VT)</t>
  </si>
  <si>
    <t xml:space="preserve">            Kyu Hsar(VT)</t>
  </si>
  <si>
    <t xml:space="preserve">            Loi Yar(VT)</t>
  </si>
  <si>
    <t xml:space="preserve">            Man Yun Au Yar(VT)</t>
  </si>
  <si>
    <t xml:space="preserve">            Tone Gyi(VT)</t>
  </si>
  <si>
    <t xml:space="preserve">            Yae Pone(VT)</t>
  </si>
  <si>
    <t xml:space="preserve">            Taik Kone(W)</t>
  </si>
  <si>
    <t xml:space="preserve">            Kone Hkar (W)</t>
  </si>
  <si>
    <t xml:space="preserve">            Hko Tar(VT)</t>
  </si>
  <si>
    <t xml:space="preserve">            Ma Hlaing Kone(VT)</t>
  </si>
  <si>
    <t xml:space="preserve">            Ba He(VT)</t>
  </si>
  <si>
    <t xml:space="preserve">            Nam Pong Pong(VT)</t>
  </si>
  <si>
    <t xml:space="preserve">            La War(VT)</t>
  </si>
  <si>
    <t xml:space="preserve">            Si Ping(VT)</t>
  </si>
  <si>
    <t xml:space="preserve">            Ton Kwar(VT)</t>
  </si>
  <si>
    <t xml:space="preserve">            Ma Au Kone(VT)</t>
  </si>
  <si>
    <t xml:space="preserve">            Me Sa Li(VT)</t>
  </si>
  <si>
    <t xml:space="preserve">            Yan Bo(VT)</t>
  </si>
  <si>
    <t xml:space="preserve">            Kun Chaung(VT)</t>
  </si>
  <si>
    <t xml:space="preserve">            Moe Lone(VT)</t>
  </si>
  <si>
    <t xml:space="preserve">            Chaung Wa(VT)</t>
  </si>
  <si>
    <t xml:space="preserve">            Nga Oe(VT)</t>
  </si>
  <si>
    <t xml:space="preserve">            Hkat Hkon(VT)</t>
  </si>
  <si>
    <t xml:space="preserve">            Ngoet Sin(VT)</t>
  </si>
  <si>
    <t xml:space="preserve">            Nam Hai(VT)</t>
  </si>
  <si>
    <t xml:space="preserve">            Nawng Sang(VT)</t>
  </si>
  <si>
    <t xml:space="preserve">            Mong Yoke(VT)</t>
  </si>
  <si>
    <t xml:space="preserve">            Tun Hsay(VT)</t>
  </si>
  <si>
    <t xml:space="preserve">            Pang Nang(VT)</t>
  </si>
  <si>
    <t xml:space="preserve">            Loi Kyu(VT)</t>
  </si>
  <si>
    <t xml:space="preserve">            Tawng Hson(VT)</t>
  </si>
  <si>
    <t xml:space="preserve">            Hawng Kan(VT)</t>
  </si>
  <si>
    <t xml:space="preserve">            Pang Hsan(a)Nam Hu Hseng Hkawng(VT)</t>
  </si>
  <si>
    <t xml:space="preserve">            Nam Nat(VT)</t>
  </si>
  <si>
    <t xml:space="preserve">            Hseng Lein (Ka)(VT)</t>
  </si>
  <si>
    <t xml:space="preserve">            Manton (Kachin)(VT)</t>
  </si>
  <si>
    <t xml:space="preserve">            Manton (Pa Laung)(VT)</t>
  </si>
  <si>
    <t xml:space="preserve">            Man Pun (Kachin)(VT)</t>
  </si>
  <si>
    <t xml:space="preserve">            Man Pun (Pa Laung)(VT)</t>
  </si>
  <si>
    <t xml:space="preserve">            Maw Long(VT)</t>
  </si>
  <si>
    <t xml:space="preserve">            Man Kyawt(VT)</t>
  </si>
  <si>
    <t xml:space="preserve">            Pang Kone(VT)</t>
  </si>
  <si>
    <t xml:space="preserve">            Man Mauk(VT)</t>
  </si>
  <si>
    <t xml:space="preserve">            Man Nar(VT)</t>
  </si>
  <si>
    <t xml:space="preserve">            Say Kaw(VT)</t>
  </si>
  <si>
    <t xml:space="preserve">            Hu Lein(VT)</t>
  </si>
  <si>
    <t xml:space="preserve">            Man Kaw(VT)</t>
  </si>
  <si>
    <t xml:space="preserve">            Mone Hka(VT)</t>
  </si>
  <si>
    <t xml:space="preserve">            Mong Ngawt Zay(W)</t>
  </si>
  <si>
    <t xml:space="preserve">            Pang Long(W)</t>
  </si>
  <si>
    <t xml:space="preserve">            Tar Long(W)</t>
  </si>
  <si>
    <t xml:space="preserve">            Pang Hpat Hpar(W)</t>
  </si>
  <si>
    <t xml:space="preserve">            Man Kawng(W)</t>
  </si>
  <si>
    <t xml:space="preserve">            Man Hkauk(VT)</t>
  </si>
  <si>
    <t xml:space="preserve">            Kawng Ka Law(VT)</t>
  </si>
  <si>
    <t xml:space="preserve">            He Hkam(VT)</t>
  </si>
  <si>
    <t xml:space="preserve">            Pong Long(VT)</t>
  </si>
  <si>
    <t xml:space="preserve">            Chone(VT)</t>
  </si>
  <si>
    <t xml:space="preserve">            Kun Sa Lan(VT)</t>
  </si>
  <si>
    <t xml:space="preserve">            Hkun Hkwa(VT)</t>
  </si>
  <si>
    <t xml:space="preserve">            Pang Kwe(VT)</t>
  </si>
  <si>
    <t xml:space="preserve">            Kyauk Lone Gyi(VT)</t>
  </si>
  <si>
    <t xml:space="preserve">            Ah Htet Pine(W)</t>
  </si>
  <si>
    <t xml:space="preserve">            Ah Lal Pine(W)</t>
  </si>
  <si>
    <t xml:space="preserve">            Auk Pine(W)</t>
  </si>
  <si>
    <t xml:space="preserve">            Hkan Ti(W)</t>
  </si>
  <si>
    <t xml:space="preserve">            Namt Paing(W)</t>
  </si>
  <si>
    <t xml:space="preserve">            Kaw Pawng(VT)</t>
  </si>
  <si>
    <t xml:space="preserve">            Tawt Sang(VT)</t>
  </si>
  <si>
    <t xml:space="preserve">            Nyaung Maung(VT)</t>
  </si>
  <si>
    <t xml:space="preserve">            Pang Hu(VT)</t>
  </si>
  <si>
    <t xml:space="preserve">            Mone Pyin(VT)</t>
  </si>
  <si>
    <t xml:space="preserve">            Myo Haung(VT)</t>
  </si>
  <si>
    <t xml:space="preserve">            Taung Ni(Mong Long Sub-Township)(VT)</t>
  </si>
  <si>
    <t xml:space="preserve">            Man Sin (a) Pa Zi(VT)</t>
  </si>
  <si>
    <t xml:space="preserve">            Min Kone(VT)</t>
  </si>
  <si>
    <t xml:space="preserve">            Par Hlaing(VT)</t>
  </si>
  <si>
    <t xml:space="preserve">            Nam Hkun(VT)</t>
  </si>
  <si>
    <t xml:space="preserve">            Nam Hpan(VT)</t>
  </si>
  <si>
    <t xml:space="preserve">            Kant Kan(VT)</t>
  </si>
  <si>
    <t xml:space="preserve">            Sant Hing(VT)</t>
  </si>
  <si>
    <t xml:space="preserve">            Hko Long(a)Myo Ma (W)</t>
  </si>
  <si>
    <t xml:space="preserve">            Nyar Na Theik Pan(W)</t>
  </si>
  <si>
    <t xml:space="preserve">            Shan Ywar Ma(W)</t>
  </si>
  <si>
    <t xml:space="preserve">            Baw Ga(W)</t>
  </si>
  <si>
    <t xml:space="preserve">            Wun Htan(W)</t>
  </si>
  <si>
    <t xml:space="preserve">            Kan Thar Yar(W)</t>
  </si>
  <si>
    <t xml:space="preserve">            Aung Mingalar New(W)</t>
  </si>
  <si>
    <t xml:space="preserve">            Pang Sang Nam(VT)</t>
  </si>
  <si>
    <t xml:space="preserve">            Ton Kyet(VT)</t>
  </si>
  <si>
    <t xml:space="preserve">            Kawng Kye(VT)</t>
  </si>
  <si>
    <t xml:space="preserve">            San Pya(VT)</t>
  </si>
  <si>
    <t xml:space="preserve">            Mant Hkar(VT)</t>
  </si>
  <si>
    <t xml:space="preserve">            Shaung Ti Lin(VT)</t>
  </si>
  <si>
    <t xml:space="preserve">            Tar Hon Ma Shu(VT)</t>
  </si>
  <si>
    <t xml:space="preserve">            Wawt Chone(VT)</t>
  </si>
  <si>
    <t xml:space="preserve">            Nam Sun(VT)</t>
  </si>
  <si>
    <t xml:space="preserve">            Tar Pawng Pawng(VT)</t>
  </si>
  <si>
    <t xml:space="preserve">            Pying Ye(VT)</t>
  </si>
  <si>
    <t xml:space="preserve">            Tar Shwe Htan(VT)</t>
  </si>
  <si>
    <t xml:space="preserve">            Kan Mong(VT)</t>
  </si>
  <si>
    <t xml:space="preserve">            Ho Li(VT)</t>
  </si>
  <si>
    <t xml:space="preserve">            Nam Kyin San(VT)</t>
  </si>
  <si>
    <t xml:space="preserve">            Pang Ma(VT)</t>
  </si>
  <si>
    <t xml:space="preserve">            Tat Tu(VT)</t>
  </si>
  <si>
    <t xml:space="preserve">            Wa Soke(VT)</t>
  </si>
  <si>
    <t xml:space="preserve">            Pang Hai(VT)</t>
  </si>
  <si>
    <t xml:space="preserve">            Hpar Hpein(VT)</t>
  </si>
  <si>
    <t xml:space="preserve">            Tauk Shwe(VT)</t>
  </si>
  <si>
    <t xml:space="preserve">            Htin Par Keng(VT)</t>
  </si>
  <si>
    <t xml:space="preserve">            Shwe Yin See(VT)</t>
  </si>
  <si>
    <t xml:space="preserve">            Man Ton Par(VT)</t>
  </si>
  <si>
    <t xml:space="preserve">            Kyar Zi Shu(VT)</t>
  </si>
  <si>
    <t xml:space="preserve">            Man Law(VT)</t>
  </si>
  <si>
    <t xml:space="preserve">            Tar Kon Kyan(VT)</t>
  </si>
  <si>
    <t xml:space="preserve">            Kyum Htaik (Lan Hpyi Lin)(VT)</t>
  </si>
  <si>
    <t xml:space="preserve">            Shauk Kai(VT)</t>
  </si>
  <si>
    <t xml:space="preserve">            Shin Hwar (Shin Hpyin Kai)(VT)</t>
  </si>
  <si>
    <t xml:space="preserve">            Sone Kan(VT)</t>
  </si>
  <si>
    <t xml:space="preserve">            Min Hwar Lin(VT)</t>
  </si>
  <si>
    <t xml:space="preserve">            Hon Aik(VT)</t>
  </si>
  <si>
    <t xml:space="preserve">            Shin Htan(VT)</t>
  </si>
  <si>
    <t xml:space="preserve">            Yang Law(VT)</t>
  </si>
  <si>
    <t xml:space="preserve">            Nawng Kon(VT)</t>
  </si>
  <si>
    <t xml:space="preserve">            Kat Htaik(VT)</t>
  </si>
  <si>
    <t xml:space="preserve">            Pang Mat(VT)</t>
  </si>
  <si>
    <t xml:space="preserve">            Mong Pang (Middle)(VT)</t>
  </si>
  <si>
    <t xml:space="preserve">            Pang Kyu(VT)</t>
  </si>
  <si>
    <t xml:space="preserve">            Nam Hkat(VT)</t>
  </si>
  <si>
    <t xml:space="preserve">            Mong Inn(VT)</t>
  </si>
  <si>
    <t xml:space="preserve">            Nawng Tawng(VT)</t>
  </si>
  <si>
    <t xml:space="preserve">            Nam Inn(VT)</t>
  </si>
  <si>
    <t xml:space="preserve">            Nar Paw(VT)</t>
  </si>
  <si>
    <t xml:space="preserve">            Mong Da Hkun(VT)</t>
  </si>
  <si>
    <t xml:space="preserve">            Hway Kwei(VT)</t>
  </si>
  <si>
    <t xml:space="preserve">            Mong Zin(VT)</t>
  </si>
  <si>
    <t xml:space="preserve">            Mong Lat(VT)</t>
  </si>
  <si>
    <t xml:space="preserve">            Mong Lan(VT)</t>
  </si>
  <si>
    <t xml:space="preserve">            Kat Taung(VT)</t>
  </si>
  <si>
    <t xml:space="preserve">            Wut Sawng(VT)</t>
  </si>
  <si>
    <t xml:space="preserve">            Pin Tauk(VT)</t>
  </si>
  <si>
    <t xml:space="preserve">            Yang Kying(VT)</t>
  </si>
  <si>
    <t xml:space="preserve">            Kat Hpa(VT)</t>
  </si>
  <si>
    <t xml:space="preserve">            Loi Mway(VT)</t>
  </si>
  <si>
    <t xml:space="preserve">            Yang Hka(VT)</t>
  </si>
  <si>
    <t xml:space="preserve">            Nam Ni/Nam Long(VT)</t>
  </si>
  <si>
    <t xml:space="preserve">            Mong Kai(VT)</t>
  </si>
  <si>
    <t xml:space="preserve">            Mong Naw/Hpar Ta(VT)</t>
  </si>
  <si>
    <t xml:space="preserve">            Mong Ngun(VT)</t>
  </si>
  <si>
    <t xml:space="preserve">            Mong Pat (Lower)(VT)</t>
  </si>
  <si>
    <t xml:space="preserve">            Mong Pat (Upper)(VT)</t>
  </si>
  <si>
    <t xml:space="preserve">            Tar Lay(VT)</t>
  </si>
  <si>
    <t xml:space="preserve">            Mun Ke(W)</t>
  </si>
  <si>
    <t xml:space="preserve">            Haw Ke(W)</t>
  </si>
  <si>
    <t xml:space="preserve">            Haw Haik(W)</t>
  </si>
  <si>
    <t xml:space="preserve">            Ping Leik(W)</t>
  </si>
  <si>
    <t xml:space="preserve">            Ho Kat(W)</t>
  </si>
  <si>
    <t xml:space="preserve">            Kyein Hin(W)</t>
  </si>
  <si>
    <t xml:space="preserve">            Mauk Mai(W)</t>
  </si>
  <si>
    <t xml:space="preserve">            Par Mai(W)</t>
  </si>
  <si>
    <t xml:space="preserve">            Mong Ping(W)</t>
  </si>
  <si>
    <t xml:space="preserve">            Par Nwan(W)</t>
  </si>
  <si>
    <t xml:space="preserve">            Mong Lway(VT)</t>
  </si>
  <si>
    <t xml:space="preserve">            Mine Lar Myo Paw 1(W)</t>
  </si>
  <si>
    <t xml:space="preserve">            Mine Lar Myo Paw 2(W)</t>
  </si>
  <si>
    <t xml:space="preserve">            Wan Kaung(W)</t>
  </si>
  <si>
    <t xml:space="preserve">            Mae Swei (North)(W)</t>
  </si>
  <si>
    <t xml:space="preserve">            Mae Swei (South)(W)</t>
  </si>
  <si>
    <t xml:space="preserve">            Myo Thit(W)</t>
  </si>
  <si>
    <t xml:space="preserve">            Mae Nin(VT)</t>
  </si>
  <si>
    <t xml:space="preserve">            Kya Dei(VT)</t>
  </si>
  <si>
    <t xml:space="preserve">            Mae Hsat(VT)</t>
  </si>
  <si>
    <t xml:space="preserve">            Wein Nay(VT)</t>
  </si>
  <si>
    <t xml:space="preserve">            Kawng Hmu Kan(VT)</t>
  </si>
  <si>
    <t xml:space="preserve">            Hsan Kan(VT)</t>
  </si>
  <si>
    <t xml:space="preserve">            Mae Pu Long(VT)</t>
  </si>
  <si>
    <t xml:space="preserve">            Mong Tun (Taung Paw)(VT)</t>
  </si>
  <si>
    <t xml:space="preserve">            Sa Tone(VT)</t>
  </si>
  <si>
    <t xml:space="preserve">            Ma Oht(VT)</t>
  </si>
  <si>
    <t xml:space="preserve">            Wan Ton (Mong Twin)(VT)</t>
  </si>
  <si>
    <t xml:space="preserve">            Ma Huong Kan(VT)</t>
  </si>
  <si>
    <t xml:space="preserve">            Ma Huong Loi(VT)</t>
  </si>
  <si>
    <t xml:space="preserve">            Mong Yun (Tar Ku)(VT)</t>
  </si>
  <si>
    <t xml:space="preserve">            Loi Lan(VT)</t>
  </si>
  <si>
    <t xml:space="preserve">            Mae Sum Taung(VT)</t>
  </si>
  <si>
    <t xml:space="preserve">            Mong Hta Lang(VT)</t>
  </si>
  <si>
    <t xml:space="preserve">            Mong Yun(Tar Ku)(VT)</t>
  </si>
  <si>
    <t xml:space="preserve">            Ping Sang(W)</t>
  </si>
  <si>
    <t xml:space="preserve">            Auk Zay Tan(W)</t>
  </si>
  <si>
    <t xml:space="preserve">            Ah Lel Paing(W)</t>
  </si>
  <si>
    <t xml:space="preserve">            Mongping(VT)</t>
  </si>
  <si>
    <t xml:space="preserve">            Wan Hpyit(VT)</t>
  </si>
  <si>
    <t xml:space="preserve">            Yang Hkam(VT)</t>
  </si>
  <si>
    <t xml:space="preserve">            Mong Pu Aun(VT)</t>
  </si>
  <si>
    <t xml:space="preserve">            Mong Man(VT)</t>
  </si>
  <si>
    <t xml:space="preserve">            Mong Hlan(VT)</t>
  </si>
  <si>
    <t xml:space="preserve">            Wan Tar Hket(VT)</t>
  </si>
  <si>
    <t xml:space="preserve">            Hpar Hkam(VT)</t>
  </si>
  <si>
    <t xml:space="preserve">            Nawng Khit(VT)</t>
  </si>
  <si>
    <t xml:space="preserve">            Hsin Mawng(VT)</t>
  </si>
  <si>
    <t xml:space="preserve">            Pyet Kant(VT)</t>
  </si>
  <si>
    <t xml:space="preserve">            Htam Yang(VT)</t>
  </si>
  <si>
    <t xml:space="preserve">            Nar Kyawng(VT)</t>
  </si>
  <si>
    <t xml:space="preserve">            War Ton (Wan Ton)(VT)</t>
  </si>
  <si>
    <t xml:space="preserve">            Nawng Pa Yin(W)</t>
  </si>
  <si>
    <t xml:space="preserve">            Wan Mai(W)</t>
  </si>
  <si>
    <t xml:space="preserve">            Tant Hseng(VT)</t>
  </si>
  <si>
    <t xml:space="preserve">            Loi Hsawng(VT)</t>
  </si>
  <si>
    <t xml:space="preserve">            Hpan Hpu(VT)</t>
  </si>
  <si>
    <t xml:space="preserve">            Nang Mun(VT)</t>
  </si>
  <si>
    <t xml:space="preserve">            Wan Kawng(VT)</t>
  </si>
  <si>
    <t xml:space="preserve">            Mong Long(VT)</t>
  </si>
  <si>
    <t xml:space="preserve">            Mong Shan(VT)</t>
  </si>
  <si>
    <t xml:space="preserve">            Wan Mat Long(VT)</t>
  </si>
  <si>
    <t xml:space="preserve">            Hpar Waw(VT)</t>
  </si>
  <si>
    <t xml:space="preserve">            Nam Sho(VT)</t>
  </si>
  <si>
    <t xml:space="preserve">            Pang Nawng Long (Thit)(VT)</t>
  </si>
  <si>
    <t xml:space="preserve">            Nawng Kwe(VT)</t>
  </si>
  <si>
    <t xml:space="preserve">            Pangwaun(VT)</t>
  </si>
  <si>
    <t xml:space="preserve">            Pone Tun(W)</t>
  </si>
  <si>
    <t xml:space="preserve">            Tar Lawt(W)</t>
  </si>
  <si>
    <t xml:space="preserve">            Ma Ka Ho Hkam(W)</t>
  </si>
  <si>
    <t xml:space="preserve">            Sang Hseng(W)</t>
  </si>
  <si>
    <t xml:space="preserve">            Mae Khawng(W)</t>
  </si>
  <si>
    <t xml:space="preserve">            Loi Taw Hkam(VT)</t>
  </si>
  <si>
    <t xml:space="preserve">            Hawng Leik(VT)</t>
  </si>
  <si>
    <t xml:space="preserve">            Mong He(VT)</t>
  </si>
  <si>
    <t xml:space="preserve">            Mong Koe(VT)</t>
  </si>
  <si>
    <t xml:space="preserve">            Hpan Min(VT)</t>
  </si>
  <si>
    <t xml:space="preserve">            Mong Hpone (Ka)(VT)</t>
  </si>
  <si>
    <t xml:space="preserve">            Mong Hpone (Kha)(VT)</t>
  </si>
  <si>
    <t xml:space="preserve">            Nar Yawng(VT)</t>
  </si>
  <si>
    <t xml:space="preserve">            Mong Lin(West)(VT)</t>
  </si>
  <si>
    <t xml:space="preserve">            Mong Lin(East)(VT)</t>
  </si>
  <si>
    <t xml:space="preserve">            Nam Hkin(VT)</t>
  </si>
  <si>
    <t xml:space="preserve">            Mong Pa Hlyo(VT)</t>
  </si>
  <si>
    <t xml:space="preserve">            Kyar Hkam Kyauk(VT)</t>
  </si>
  <si>
    <t xml:space="preserve">            Wan Whay(W)</t>
  </si>
  <si>
    <t xml:space="preserve">            Mong Hpyat(VT)</t>
  </si>
  <si>
    <t xml:space="preserve">            Nam Kone(VT)</t>
  </si>
  <si>
    <t xml:space="preserve">            Nam Lauk(VT)</t>
  </si>
  <si>
    <t xml:space="preserve">            Nam Nang(VT)</t>
  </si>
  <si>
    <t xml:space="preserve">            Mun Kar Kyawng(VT)</t>
  </si>
  <si>
    <t xml:space="preserve">            Hsi Mun(VT)</t>
  </si>
  <si>
    <t xml:space="preserve">            Wan Pong(VT)</t>
  </si>
  <si>
    <t xml:space="preserve">            Aik Long(VT)</t>
  </si>
  <si>
    <t xml:space="preserve">            Aik Ngu(VT)</t>
  </si>
  <si>
    <t xml:space="preserve">            Hway Sho(VT)</t>
  </si>
  <si>
    <t xml:space="preserve">            Taw Nyu Nam Hkam (Lower)(VT)</t>
  </si>
  <si>
    <t xml:space="preserve">            Nam Yun(VT)</t>
  </si>
  <si>
    <t xml:space="preserve">            Kawng Mu(VT)</t>
  </si>
  <si>
    <t xml:space="preserve">            Lan Hsat(VT)</t>
  </si>
  <si>
    <t xml:space="preserve">            Nam Het Pong(VT)</t>
  </si>
  <si>
    <t xml:space="preserve">            Wan Boe(VT)</t>
  </si>
  <si>
    <t xml:space="preserve">            Hawng Kyant(VT)</t>
  </si>
  <si>
    <t xml:space="preserve">            Mong Laik(VT)</t>
  </si>
  <si>
    <t xml:space="preserve">            Wan Tat(VT)</t>
  </si>
  <si>
    <t xml:space="preserve">            Wan Man(VT)</t>
  </si>
  <si>
    <t xml:space="preserve">            Wan Par Hoke(VT)</t>
  </si>
  <si>
    <t xml:space="preserve">            Hway Hpa(VT)</t>
  </si>
  <si>
    <t xml:space="preserve">            Wan Inn(VT)</t>
  </si>
  <si>
    <t xml:space="preserve">            Mongyu Myoma(W)</t>
  </si>
  <si>
    <t xml:space="preserve">            Wan Htan Kyant(VT)</t>
  </si>
  <si>
    <t xml:space="preserve">            Wan Tun Nwet(VT)</t>
  </si>
  <si>
    <t xml:space="preserve">            Wan Maing Phar Kyan(VT)</t>
  </si>
  <si>
    <t xml:space="preserve">            Me Kaung(VT)</t>
  </si>
  <si>
    <t xml:space="preserve">            Wan Kho(VT)</t>
  </si>
  <si>
    <t xml:space="preserve">            Maing khan(VT)</t>
  </si>
  <si>
    <t xml:space="preserve">            Keng Htam(VT)</t>
  </si>
  <si>
    <t xml:space="preserve">            WeinLone(VT)</t>
  </si>
  <si>
    <t xml:space="preserve">            WanMaiLone(VT)</t>
  </si>
  <si>
    <t xml:space="preserve">            Mong Hsaw(VT)</t>
  </si>
  <si>
    <t xml:space="preserve">            DiShee(VT)</t>
  </si>
  <si>
    <t xml:space="preserve">            HparLo(VT)</t>
  </si>
  <si>
    <t xml:space="preserve">            GyoWai(VT)</t>
  </si>
  <si>
    <t>Ward</t>
  </si>
  <si>
    <t>Sr</t>
  </si>
  <si>
    <t>Population</t>
  </si>
  <si>
    <t>29-3-2014</t>
  </si>
  <si>
    <t>Shan State,Taunggyi District,Nyaungshwe Township</t>
  </si>
  <si>
    <t>Shan State,Taunggyi District,  Hsihseng Township</t>
  </si>
  <si>
    <t>Shan State,Taunggyi District,Taunggyi Township</t>
  </si>
  <si>
    <t>Shan State,Taunggyi District, Kalaw Township</t>
  </si>
  <si>
    <t>Shan State,Taunggyi District, Ywarngan Township</t>
  </si>
  <si>
    <t>Shan State,Taunggyi District, Yatsauk Township</t>
  </si>
  <si>
    <t>Shan State,Taunggyi District,  Pinlaung Township</t>
  </si>
  <si>
    <t>Shan State,Taunggyi District,Indaw(Sub-Township)</t>
  </si>
  <si>
    <t>Shan State,Taunggyi District, Naungtayar(Sub-Township)</t>
  </si>
  <si>
    <t>Shan State,  Loilem District, Loilem Township</t>
  </si>
  <si>
    <t>Shan State,  Loilem District, Le`char Township</t>
  </si>
  <si>
    <t>Shan State,  Loilem District,  Nanhsam(South) Township</t>
  </si>
  <si>
    <t>Shan State,  Loilem District, Kunhing Township</t>
  </si>
  <si>
    <t>Shan State,  Loilem District,  Kehsi Township</t>
  </si>
  <si>
    <t>Shan State,  Loilem District,  Mongkai Township</t>
  </si>
  <si>
    <t>Shan State,  Loilem District,  Mineshu Township</t>
  </si>
  <si>
    <t>Shan State,  Loilem District,  Panglong(Sub-Township)</t>
  </si>
  <si>
    <t>Shan State,  Loilem District,  Karli(Sub-Township)</t>
  </si>
  <si>
    <t>Shan State,  Loilem District,   Kholan(Sub-Township)</t>
  </si>
  <si>
    <t>Shan State,Taunggyi District,  Pindaya Township</t>
  </si>
  <si>
    <t>Shan State,Taunggyi District, Phekon Township</t>
  </si>
  <si>
    <t>Shan State,  Loilem District, Minenaung(Sub-Township)</t>
  </si>
  <si>
    <t>Shan State, Linkhe` District, Linkhe` Township</t>
  </si>
  <si>
    <t>Shan State, Linkhe` District,   Mone Township</t>
  </si>
  <si>
    <t>Shan State, Linkhe` District, Maukme Township</t>
  </si>
  <si>
    <t>Shan State, Linkhe` District,   Minepan Township</t>
  </si>
  <si>
    <t>Shan State, Linkhe` District,  Homane(Sub- Township)</t>
  </si>
  <si>
    <t>Shan State, Linkhe` District, Kengtaung(Sub--Township)</t>
  </si>
  <si>
    <t>Shan State,  Lashio District, Lashio Township</t>
  </si>
  <si>
    <t>Shan State,  Lashio District, Mineye` Township</t>
  </si>
  <si>
    <t>Shan State,  Lashio District,Tantyan Township</t>
  </si>
  <si>
    <t>Shan State, MuSe District,  MuSe Township</t>
  </si>
  <si>
    <t>Shan State, MuSe District, Namkham Township</t>
  </si>
  <si>
    <t>Shan State, MuSe District,  Kukai Township</t>
  </si>
  <si>
    <t>Shan State, MuSe District,    Monekoe(Sub-Township)</t>
  </si>
  <si>
    <t>Shan State, MuSe District, Manhero(Manhyo)Sub-Township</t>
  </si>
  <si>
    <t>Shan State, MuSe District,  Pansai(Kyu Kok) Sub-Township</t>
  </si>
  <si>
    <t>Shan State, MuSe District,   Tamoenye(Sub-Township)</t>
  </si>
  <si>
    <t>Shan State, Kyaukme District,  KyaukmeTownship</t>
  </si>
  <si>
    <t>Shan State, Kyaukme District,  Naungkhio Township</t>
  </si>
  <si>
    <t>Shan State, Kyaukme District, Manton  Township</t>
  </si>
  <si>
    <t>Shan State, Kyaukme District,   Minengaw(Sub-Township)</t>
  </si>
  <si>
    <t>Shan State, Kyaukme District, Minelon (Sub-Township)</t>
  </si>
  <si>
    <t>Shan State, Kunlon District,  Kunlon Township</t>
  </si>
  <si>
    <t>Shan State, LaukineDistrict,  Laukine Township</t>
  </si>
  <si>
    <t>Shan State, LaukineDistrict,  Kongyan Township</t>
  </si>
  <si>
    <t>Shan State, Laukine District,  Chinshwehaw(Sub- Township)</t>
  </si>
  <si>
    <t>Shan State, Laukine District, Mawhtike (Sub- Township)</t>
  </si>
  <si>
    <t>Shan State, Kengtung District, Kengtung Township</t>
  </si>
  <si>
    <t>Shan State, Kengtung District, Minekat Township</t>
  </si>
  <si>
    <t>Shan State, Minesat  District, Tontar(Sub-Township)</t>
  </si>
  <si>
    <t>Shan State, Minesat  District,  Monehta(Sub- Township)</t>
  </si>
  <si>
    <t>Shan State, Tachileik  District, Tachileik Township</t>
  </si>
  <si>
    <t>Shan State, Tachileik  District, Talay(Sub- Township)</t>
  </si>
  <si>
    <t>Shan State, Minephyat  District,  Minephyat Township</t>
  </si>
  <si>
    <t>Shan State, Minephyat  District, Mineyaung Township</t>
  </si>
  <si>
    <t>Shan State, Minephyat  District, Mineyu(Sub- Township)</t>
  </si>
  <si>
    <t>Shan State, Minesat  District, Minekoke(Sub-Township)</t>
  </si>
  <si>
    <t>Shan State,  Loilem District, Minesan (Monsan)Sub-Township</t>
  </si>
  <si>
    <t>Shan State,  Lashio District,  Theinni Township</t>
  </si>
  <si>
    <t>Shan State, Kengtung District, Minelar Township</t>
  </si>
  <si>
    <t>Shan State, Kengtung District, Mine Pauk(Sub-Township)</t>
  </si>
  <si>
    <t>Shan State, Minesat District, Minesat Township</t>
  </si>
  <si>
    <t>Shan State, Minesat  District, Minepyin Township</t>
  </si>
  <si>
    <t>Shan State, Minesat  District, Ponparkyin(Sub- Township)</t>
  </si>
  <si>
    <t>Shan State, Tachileik  District, Kenglat(Sub-Township)</t>
  </si>
  <si>
    <t>Shan State,Taunggyi District,Kyauktalongyi (Sub-Township)</t>
  </si>
  <si>
    <t>Shan State, Kengtung District,   Mineyan Township</t>
  </si>
  <si>
    <t>Village Tract</t>
  </si>
  <si>
    <t xml:space="preserve">   Taunggyi Town</t>
  </si>
  <si>
    <t xml:space="preserve">Aye Thar Yar Town </t>
  </si>
  <si>
    <t>Shwe Nyaung Town</t>
  </si>
  <si>
    <t>Aung Pann Town</t>
  </si>
  <si>
    <t>Kalaw Town</t>
  </si>
  <si>
    <t>Shan State, Minesat  District, Minetung  Township</t>
  </si>
  <si>
    <t>Shan State, Kyaukme District,Mabane  Township</t>
  </si>
  <si>
    <t>Shan State, Kyaukme District,Momeik Township</t>
  </si>
  <si>
    <t>Shan State, Kyaukme District, Namsan(North) Township</t>
  </si>
  <si>
    <t>Shan State, Kyaukme District,Namtu Township</t>
  </si>
  <si>
    <t>Shan State, Kyaukme District,Hsipaw Township</t>
  </si>
  <si>
    <t>Ward/Village Tract</t>
  </si>
  <si>
    <t>Shan State, Hopan District, Hopan Township</t>
  </si>
  <si>
    <t>Shan State,Hopan District, Minemaw Township</t>
  </si>
  <si>
    <t>Shan State, Hopan District, Panwine Township</t>
  </si>
  <si>
    <t>Shan State, Hopan District, Panlon (Sub- Township)</t>
  </si>
  <si>
    <t>Shan State, Makman District, Makman Township</t>
  </si>
  <si>
    <t>Shan State, Makman District, Pansan(Pan Kham) Township</t>
  </si>
  <si>
    <t>Shan State, Makman District, Naphang Township</t>
  </si>
  <si>
    <t>Shan State, Makman District, Mankan (Sub- Township)</t>
  </si>
  <si>
    <t>Hopan</t>
  </si>
  <si>
    <t>ward</t>
  </si>
  <si>
    <t>Hopang (w)</t>
  </si>
  <si>
    <t>Kawng Hone(w)</t>
  </si>
  <si>
    <t>Man Khun(W)</t>
  </si>
  <si>
    <t>Pang Long Lan(w)</t>
  </si>
  <si>
    <t>Yone Kone(w)</t>
  </si>
  <si>
    <t>Mein Pan(W)</t>
  </si>
  <si>
    <t>Nam Hlan(W)</t>
  </si>
  <si>
    <t>Man Mai(w)</t>
  </si>
  <si>
    <t>Mong Pan (Lwe La)(W)</t>
  </si>
  <si>
    <t>Namtik</t>
  </si>
  <si>
    <t>Zay(W)</t>
  </si>
  <si>
    <t>Shan State, Hopan District, Minemaw Township</t>
  </si>
  <si>
    <t>Shan State, Hopan District, Panlon(Sub- Township)</t>
  </si>
  <si>
    <t>No(1)(W)</t>
  </si>
  <si>
    <t>No(2)(W)</t>
  </si>
  <si>
    <t>No(3)(W)</t>
  </si>
  <si>
    <t>No(4)(W)</t>
  </si>
  <si>
    <t>No(5)(W)</t>
  </si>
  <si>
    <t>No(6)(W)</t>
  </si>
  <si>
    <t>No(7)(W)</t>
  </si>
  <si>
    <t>No(8)(W)</t>
  </si>
  <si>
    <t>Aye kyant(VT)</t>
  </si>
  <si>
    <t>Kawng Lan(VT)</t>
  </si>
  <si>
    <t>Hnget Yawng</t>
  </si>
  <si>
    <t>Nam Taw(VT)</t>
  </si>
  <si>
    <t>Hsut Woe(VT)</t>
  </si>
  <si>
    <t>Man Wein(VT)</t>
  </si>
  <si>
    <t>Yawng Au(VT)</t>
  </si>
  <si>
    <t>Tar Kaw Lay(VT)</t>
  </si>
  <si>
    <t>Wein Nawng(VT)</t>
  </si>
  <si>
    <t>Min Yan Aung(VT)</t>
  </si>
  <si>
    <t>Wan Sa Lawng(VT)</t>
  </si>
  <si>
    <t>Shan State, Makman District, Pan San (Pan Kham) Township</t>
  </si>
  <si>
    <t>Shan State, Makman District, Mankan(Sub-Township)</t>
  </si>
  <si>
    <t>Shan State,Taunggyi District,  Hopong Township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</si>
</sst>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[$-10000455]0"/>
  </numFmts>
  <fonts count="33" x14ac:knownFonts="1">
    <font>
      <sz val="11"/>
      <color theme="1"/>
      <name val="Calibri"/>
      <family val="2"/>
      <scheme val="minor"/>
    </font>
    <font>
      <b/>
      <sz val="16"/>
      <color theme="1"/>
      <name val="Myanmar2"/>
      <family val="2"/>
    </font>
    <font>
      <sz val="10"/>
      <name val="Arial"/>
      <family val="2"/>
    </font>
    <font>
      <b/>
      <sz val="16"/>
      <color theme="1"/>
      <name val="Myanmar2ex"/>
      <family val="2"/>
    </font>
    <font>
      <sz val="16"/>
      <color theme="1"/>
      <name val="Myanmar2ex"/>
      <family val="2"/>
    </font>
    <font>
      <sz val="16"/>
      <color theme="1"/>
      <name val="Myanmar2"/>
      <family val="2"/>
    </font>
    <font>
      <sz val="16"/>
      <color theme="1"/>
      <name val="Calibri"/>
      <family val="2"/>
      <scheme val="minor"/>
    </font>
    <font>
      <b/>
      <sz val="16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Myanmar2ex"/>
      <family val="2"/>
    </font>
    <font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Myanmar2"/>
      <family val="2"/>
    </font>
    <font>
      <u/>
      <sz val="11"/>
      <color theme="10"/>
      <name val="Calibri"/>
      <family val="2"/>
      <scheme val="minor"/>
    </font>
    <font>
      <u/>
      <sz val="14"/>
      <color theme="10"/>
      <name val="Times New Roman"/>
      <family val="1"/>
    </font>
    <font>
      <sz val="11"/>
      <color theme="1"/>
      <name val="Calibri"/>
      <family val="2"/>
      <scheme val="minor"/>
    </font>
    <font>
      <sz val="16"/>
      <color indexed="8"/>
      <name val="Myanmar2"/>
      <family val="2"/>
    </font>
    <font>
      <sz val="10"/>
      <color indexed="8"/>
      <name val="Arial"/>
      <family val="2"/>
    </font>
    <font>
      <b/>
      <sz val="16"/>
      <color indexed="8"/>
      <name val="Myanmar2"/>
      <family val="2"/>
    </font>
    <font>
      <sz val="14"/>
      <color theme="1"/>
      <name val="Myanmar2"/>
      <family val="2"/>
    </font>
    <font>
      <sz val="16"/>
      <name val="Myanmar2"/>
      <family val="2"/>
    </font>
    <font>
      <sz val="16"/>
      <color indexed="8"/>
      <name val="Myanmar2ex"/>
      <family val="2"/>
    </font>
    <font>
      <sz val="16"/>
      <name val="Myanmar2ex"/>
      <family val="2"/>
    </font>
    <font>
      <b/>
      <sz val="16"/>
      <name val="Myanmar2ex"/>
      <family val="2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1"/>
      <name val="Myanmar2"/>
      <family val="2"/>
    </font>
    <font>
      <u/>
      <sz val="14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auto="1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 applyNumberFormat="0" applyFill="0" applyBorder="0" applyAlignment="0" applyProtection="0"/>
    <xf numFmtId="43" fontId="20" fillId="0" borderId="0" applyFont="0" applyFill="0" applyBorder="0" applyAlignment="0" applyProtection="0"/>
    <xf numFmtId="0" fontId="22" fillId="0" borderId="0"/>
  </cellStyleXfs>
  <cellXfs count="194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/>
    <xf numFmtId="0" fontId="3" fillId="0" borderId="0" xfId="0" applyFont="1" applyAlignment="1">
      <alignment horizontal="center"/>
    </xf>
    <xf numFmtId="0" fontId="0" fillId="0" borderId="0" xfId="0" applyFill="1"/>
    <xf numFmtId="0" fontId="0" fillId="0" borderId="0" xfId="0" applyBorder="1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Alignment="1"/>
    <xf numFmtId="0" fontId="6" fillId="0" borderId="8" xfId="0" applyFont="1" applyBorder="1"/>
    <xf numFmtId="0" fontId="6" fillId="0" borderId="5" xfId="0" applyFont="1" applyBorder="1"/>
    <xf numFmtId="0" fontId="3" fillId="0" borderId="5" xfId="0" applyFont="1" applyBorder="1"/>
    <xf numFmtId="0" fontId="4" fillId="0" borderId="5" xfId="0" applyFont="1" applyBorder="1"/>
    <xf numFmtId="0" fontId="4" fillId="0" borderId="8" xfId="0" applyFont="1" applyBorder="1"/>
    <xf numFmtId="0" fontId="0" fillId="0" borderId="5" xfId="0" applyBorder="1"/>
    <xf numFmtId="0" fontId="9" fillId="0" borderId="0" xfId="0" applyFont="1"/>
    <xf numFmtId="0" fontId="10" fillId="0" borderId="0" xfId="0" applyFont="1"/>
    <xf numFmtId="0" fontId="10" fillId="0" borderId="3" xfId="0" applyFont="1" applyBorder="1" applyAlignment="1">
      <alignment horizontal="center"/>
    </xf>
    <xf numFmtId="0" fontId="9" fillId="0" borderId="5" xfId="0" applyFont="1" applyBorder="1"/>
    <xf numFmtId="0" fontId="10" fillId="0" borderId="5" xfId="0" applyFont="1" applyBorder="1"/>
    <xf numFmtId="0" fontId="11" fillId="0" borderId="5" xfId="0" applyFont="1" applyBorder="1"/>
    <xf numFmtId="0" fontId="10" fillId="0" borderId="8" xfId="0" applyFont="1" applyFill="1" applyBorder="1"/>
    <xf numFmtId="0" fontId="9" fillId="0" borderId="5" xfId="0" applyFont="1" applyFill="1" applyBorder="1"/>
    <xf numFmtId="0" fontId="9" fillId="0" borderId="7" xfId="0" applyFont="1" applyBorder="1"/>
    <xf numFmtId="0" fontId="9" fillId="0" borderId="7" xfId="0" applyFont="1" applyFill="1" applyBorder="1"/>
    <xf numFmtId="0" fontId="12" fillId="0" borderId="5" xfId="0" applyFont="1" applyBorder="1"/>
    <xf numFmtId="0" fontId="14" fillId="0" borderId="5" xfId="0" applyFont="1" applyBorder="1"/>
    <xf numFmtId="0" fontId="16" fillId="0" borderId="5" xfId="0" applyFont="1" applyFill="1" applyBorder="1"/>
    <xf numFmtId="0" fontId="16" fillId="0" borderId="7" xfId="0" applyFont="1" applyFill="1" applyBorder="1"/>
    <xf numFmtId="0" fontId="15" fillId="0" borderId="5" xfId="0" applyFont="1" applyBorder="1"/>
    <xf numFmtId="0" fontId="15" fillId="0" borderId="7" xfId="0" applyFont="1" applyBorder="1"/>
    <xf numFmtId="0" fontId="15" fillId="0" borderId="6" xfId="0" applyFont="1" applyFill="1" applyBorder="1"/>
    <xf numFmtId="0" fontId="15" fillId="0" borderId="10" xfId="0" applyFont="1" applyBorder="1"/>
    <xf numFmtId="0" fontId="15" fillId="0" borderId="5" xfId="0" applyFont="1" applyFill="1" applyBorder="1"/>
    <xf numFmtId="0" fontId="10" fillId="0" borderId="0" xfId="0" applyFont="1" applyFill="1" applyBorder="1"/>
    <xf numFmtId="0" fontId="4" fillId="0" borderId="0" xfId="0" applyFont="1" applyBorder="1"/>
    <xf numFmtId="0" fontId="13" fillId="0" borderId="0" xfId="0" applyFont="1"/>
    <xf numFmtId="0" fontId="15" fillId="0" borderId="0" xfId="0" applyFont="1"/>
    <xf numFmtId="0" fontId="14" fillId="0" borderId="8" xfId="0" applyFont="1" applyBorder="1"/>
    <xf numFmtId="0" fontId="14" fillId="0" borderId="8" xfId="0" applyFont="1" applyFill="1" applyBorder="1"/>
    <xf numFmtId="0" fontId="15" fillId="0" borderId="7" xfId="0" applyFont="1" applyFill="1" applyBorder="1"/>
    <xf numFmtId="0" fontId="15" fillId="0" borderId="8" xfId="0" applyFont="1" applyBorder="1"/>
    <xf numFmtId="0" fontId="14" fillId="0" borderId="5" xfId="0" applyFont="1" applyFill="1" applyBorder="1"/>
    <xf numFmtId="0" fontId="9" fillId="0" borderId="8" xfId="0" applyFont="1" applyBorder="1"/>
    <xf numFmtId="0" fontId="10" fillId="0" borderId="5" xfId="0" applyFont="1" applyFill="1" applyBorder="1"/>
    <xf numFmtId="0" fontId="8" fillId="0" borderId="5" xfId="0" applyFont="1" applyBorder="1"/>
    <xf numFmtId="0" fontId="10" fillId="0" borderId="8" xfId="0" applyFont="1" applyBorder="1"/>
    <xf numFmtId="0" fontId="7" fillId="0" borderId="0" xfId="0" applyFont="1" applyFill="1" applyBorder="1" applyAlignment="1">
      <alignment horizontal="center"/>
    </xf>
    <xf numFmtId="0" fontId="0" fillId="0" borderId="8" xfId="0" applyBorder="1"/>
    <xf numFmtId="0" fontId="0" fillId="0" borderId="5" xfId="0" applyFill="1" applyBorder="1"/>
    <xf numFmtId="0" fontId="0" fillId="0" borderId="7" xfId="0" applyBorder="1"/>
    <xf numFmtId="0" fontId="0" fillId="0" borderId="7" xfId="0" applyFill="1" applyBorder="1"/>
    <xf numFmtId="0" fontId="8" fillId="0" borderId="8" xfId="0" applyFont="1" applyFill="1" applyBorder="1"/>
    <xf numFmtId="0" fontId="9" fillId="0" borderId="5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9" fillId="0" borderId="8" xfId="0" applyFont="1" applyBorder="1" applyAlignment="1"/>
    <xf numFmtId="0" fontId="9" fillId="0" borderId="5" xfId="0" applyFont="1" applyBorder="1" applyAlignment="1"/>
    <xf numFmtId="0" fontId="10" fillId="0" borderId="5" xfId="0" applyFont="1" applyBorder="1" applyAlignment="1"/>
    <xf numFmtId="0" fontId="9" fillId="0" borderId="7" xfId="0" applyFont="1" applyBorder="1" applyAlignment="1"/>
    <xf numFmtId="0" fontId="10" fillId="0" borderId="1" xfId="0" applyFont="1" applyBorder="1" applyAlignment="1">
      <alignment horizontal="center"/>
    </xf>
    <xf numFmtId="0" fontId="10" fillId="0" borderId="9" xfId="0" applyFont="1" applyBorder="1" applyAlignment="1"/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/>
    <xf numFmtId="0" fontId="9" fillId="0" borderId="8" xfId="0" applyFont="1" applyBorder="1" applyAlignment="1">
      <alignment vertical="center"/>
    </xf>
    <xf numFmtId="0" fontId="9" fillId="0" borderId="10" xfId="0" applyFont="1" applyFill="1" applyBorder="1"/>
    <xf numFmtId="0" fontId="10" fillId="0" borderId="0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0" xfId="0" applyFont="1" applyBorder="1" applyAlignment="1">
      <alignment horizontal="right"/>
    </xf>
    <xf numFmtId="0" fontId="10" fillId="0" borderId="0" xfId="0" applyFont="1" applyAlignment="1">
      <alignment horizontal="right"/>
    </xf>
    <xf numFmtId="0" fontId="10" fillId="0" borderId="6" xfId="0" applyFont="1" applyBorder="1"/>
    <xf numFmtId="0" fontId="15" fillId="0" borderId="4" xfId="0" applyFont="1" applyBorder="1"/>
    <xf numFmtId="0" fontId="10" fillId="0" borderId="6" xfId="0" applyFont="1" applyFill="1" applyBorder="1"/>
    <xf numFmtId="0" fontId="17" fillId="0" borderId="0" xfId="0" applyFont="1" applyAlignment="1">
      <alignment horizontal="right"/>
    </xf>
    <xf numFmtId="0" fontId="18" fillId="0" borderId="0" xfId="5"/>
    <xf numFmtId="0" fontId="3" fillId="0" borderId="0" xfId="0" applyFont="1" applyFill="1" applyAlignment="1">
      <alignment vertical="center"/>
    </xf>
    <xf numFmtId="0" fontId="3" fillId="0" borderId="0" xfId="0" applyFont="1" applyFill="1" applyAlignment="1"/>
    <xf numFmtId="0" fontId="4" fillId="0" borderId="0" xfId="0" applyFont="1" applyFill="1"/>
    <xf numFmtId="0" fontId="1" fillId="0" borderId="0" xfId="0" applyFont="1" applyFill="1" applyAlignment="1">
      <alignment horizontal="left"/>
    </xf>
    <xf numFmtId="0" fontId="21" fillId="0" borderId="0" xfId="0" applyFont="1" applyFill="1" applyBorder="1" applyAlignment="1">
      <alignment wrapText="1"/>
    </xf>
    <xf numFmtId="0" fontId="5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3" fillId="0" borderId="0" xfId="0" applyFont="1" applyBorder="1"/>
    <xf numFmtId="0" fontId="5" fillId="0" borderId="0" xfId="0" quotePrefix="1" applyFont="1" applyFill="1" applyBorder="1" applyAlignment="1">
      <alignment horizontal="left"/>
    </xf>
    <xf numFmtId="0" fontId="23" fillId="0" borderId="0" xfId="0" applyFont="1" applyFill="1" applyBorder="1" applyAlignment="1"/>
    <xf numFmtId="0" fontId="24" fillId="0" borderId="0" xfId="0" applyFont="1" applyFill="1" applyBorder="1"/>
    <xf numFmtId="0" fontId="1" fillId="0" borderId="0" xfId="0" applyFont="1" applyFill="1" applyAlignment="1"/>
    <xf numFmtId="0" fontId="21" fillId="0" borderId="0" xfId="0" applyFont="1" applyFill="1" applyBorder="1" applyAlignment="1"/>
    <xf numFmtId="0" fontId="25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23" fillId="0" borderId="0" xfId="0" quotePrefix="1" applyFont="1" applyFill="1" applyBorder="1" applyAlignment="1">
      <alignment horizontal="left" vertical="center" wrapText="1" indent="1"/>
    </xf>
    <xf numFmtId="0" fontId="3" fillId="0" borderId="0" xfId="0" applyFont="1" applyFill="1" applyBorder="1" applyAlignment="1"/>
    <xf numFmtId="0" fontId="23" fillId="0" borderId="0" xfId="0" quotePrefix="1" applyFont="1" applyFill="1" applyBorder="1" applyAlignment="1">
      <alignment vertical="top" wrapText="1"/>
    </xf>
    <xf numFmtId="0" fontId="4" fillId="0" borderId="0" xfId="0" applyFont="1" applyFill="1" applyBorder="1" applyAlignment="1"/>
    <xf numFmtId="0" fontId="26" fillId="0" borderId="0" xfId="0" applyFont="1" applyFill="1" applyBorder="1" applyAlignment="1"/>
    <xf numFmtId="0" fontId="23" fillId="0" borderId="0" xfId="0" quotePrefix="1" applyFont="1" applyFill="1" applyBorder="1" applyAlignment="1">
      <alignment vertical="top"/>
    </xf>
    <xf numFmtId="0" fontId="27" fillId="0" borderId="0" xfId="0" applyFont="1" applyFill="1" applyBorder="1"/>
    <xf numFmtId="0" fontId="28" fillId="0" borderId="0" xfId="0" applyFont="1" applyFill="1" applyBorder="1"/>
    <xf numFmtId="0" fontId="8" fillId="0" borderId="0" xfId="0" applyFont="1"/>
    <xf numFmtId="0" fontId="23" fillId="0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vertical="center" wrapText="1"/>
    </xf>
    <xf numFmtId="0" fontId="5" fillId="0" borderId="0" xfId="0" applyFont="1" applyBorder="1"/>
    <xf numFmtId="0" fontId="25" fillId="0" borderId="0" xfId="0" applyFont="1" applyBorder="1"/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/>
    <xf numFmtId="164" fontId="4" fillId="0" borderId="0" xfId="6" applyNumberFormat="1" applyFont="1" applyBorder="1"/>
    <xf numFmtId="164" fontId="4" fillId="0" borderId="0" xfId="6" applyNumberFormat="1" applyFont="1" applyFill="1" applyBorder="1"/>
    <xf numFmtId="164" fontId="3" fillId="0" borderId="0" xfId="6" applyNumberFormat="1" applyFont="1" applyBorder="1"/>
    <xf numFmtId="164" fontId="10" fillId="0" borderId="8" xfId="6" applyNumberFormat="1" applyFont="1" applyFill="1" applyBorder="1" applyAlignment="1">
      <alignment vertical="center"/>
    </xf>
    <xf numFmtId="164" fontId="9" fillId="0" borderId="5" xfId="6" applyNumberFormat="1" applyFont="1" applyBorder="1"/>
    <xf numFmtId="164" fontId="10" fillId="0" borderId="5" xfId="6" applyNumberFormat="1" applyFont="1" applyBorder="1"/>
    <xf numFmtId="164" fontId="9" fillId="0" borderId="0" xfId="6" applyNumberFormat="1" applyFont="1" applyFill="1" applyBorder="1"/>
    <xf numFmtId="164" fontId="9" fillId="0" borderId="14" xfId="6" applyNumberFormat="1" applyFont="1" applyFill="1" applyBorder="1"/>
    <xf numFmtId="0" fontId="9" fillId="0" borderId="8" xfId="0" applyFont="1" applyBorder="1" applyAlignment="1">
      <alignment horizontal="right" vertical="center"/>
    </xf>
    <xf numFmtId="0" fontId="9" fillId="0" borderId="5" xfId="0" applyFont="1" applyBorder="1" applyAlignment="1">
      <alignment horizontal="right" vertical="center"/>
    </xf>
    <xf numFmtId="165" fontId="9" fillId="0" borderId="5" xfId="0" applyNumberFormat="1" applyFont="1" applyBorder="1"/>
    <xf numFmtId="165" fontId="9" fillId="0" borderId="7" xfId="0" applyNumberFormat="1" applyFont="1" applyBorder="1"/>
    <xf numFmtId="164" fontId="6" fillId="0" borderId="0" xfId="6" applyNumberFormat="1" applyFont="1" applyFill="1" applyBorder="1" applyAlignment="1">
      <alignment vertical="center"/>
    </xf>
    <xf numFmtId="0" fontId="31" fillId="0" borderId="8" xfId="0" applyFont="1" applyBorder="1" applyAlignment="1">
      <alignment horizontal="right" vertical="center"/>
    </xf>
    <xf numFmtId="164" fontId="10" fillId="0" borderId="8" xfId="6" applyNumberFormat="1" applyFont="1" applyBorder="1" applyAlignment="1">
      <alignment vertical="center"/>
    </xf>
    <xf numFmtId="0" fontId="9" fillId="0" borderId="15" xfId="0" applyFont="1" applyBorder="1"/>
    <xf numFmtId="164" fontId="9" fillId="0" borderId="5" xfId="6" applyNumberFormat="1" applyFont="1" applyBorder="1" applyAlignment="1">
      <alignment vertical="center"/>
    </xf>
    <xf numFmtId="0" fontId="9" fillId="0" borderId="16" xfId="0" applyFont="1" applyBorder="1"/>
    <xf numFmtId="164" fontId="9" fillId="0" borderId="7" xfId="6" applyNumberFormat="1" applyFont="1" applyBorder="1" applyAlignment="1">
      <alignment vertical="center"/>
    </xf>
    <xf numFmtId="0" fontId="10" fillId="0" borderId="8" xfId="0" applyFont="1" applyFill="1" applyBorder="1" applyAlignment="1"/>
    <xf numFmtId="164" fontId="10" fillId="0" borderId="8" xfId="6" applyNumberFormat="1" applyFont="1" applyFill="1" applyBorder="1" applyAlignment="1"/>
    <xf numFmtId="164" fontId="10" fillId="0" borderId="5" xfId="6" applyNumberFormat="1" applyFont="1" applyFill="1" applyBorder="1" applyAlignment="1"/>
    <xf numFmtId="0" fontId="29" fillId="0" borderId="5" xfId="7" applyFont="1" applyFill="1" applyBorder="1" applyAlignment="1">
      <alignment horizontal="left"/>
    </xf>
    <xf numFmtId="0" fontId="10" fillId="0" borderId="5" xfId="0" applyFont="1" applyFill="1" applyBorder="1" applyAlignment="1"/>
    <xf numFmtId="0" fontId="30" fillId="0" borderId="5" xfId="0" applyFont="1" applyFill="1" applyBorder="1" applyAlignment="1">
      <alignment horizontal="left" wrapText="1"/>
    </xf>
    <xf numFmtId="164" fontId="9" fillId="0" borderId="5" xfId="6" applyNumberFormat="1" applyFont="1" applyBorder="1" applyAlignment="1"/>
    <xf numFmtId="0" fontId="29" fillId="0" borderId="5" xfId="0" applyFont="1" applyFill="1" applyBorder="1" applyAlignment="1">
      <alignment horizontal="left" wrapText="1"/>
    </xf>
    <xf numFmtId="164" fontId="10" fillId="0" borderId="5" xfId="6" applyNumberFormat="1" applyFont="1" applyBorder="1" applyAlignment="1"/>
    <xf numFmtId="0" fontId="29" fillId="0" borderId="7" xfId="0" applyFont="1" applyFill="1" applyBorder="1" applyAlignment="1">
      <alignment horizontal="left" wrapText="1"/>
    </xf>
    <xf numFmtId="164" fontId="10" fillId="0" borderId="7" xfId="6" applyNumberFormat="1" applyFont="1" applyBorder="1" applyAlignment="1"/>
    <xf numFmtId="164" fontId="10" fillId="0" borderId="8" xfId="6" applyNumberFormat="1" applyFont="1" applyBorder="1" applyAlignment="1"/>
    <xf numFmtId="0" fontId="29" fillId="0" borderId="7" xfId="7" applyFont="1" applyFill="1" applyBorder="1" applyAlignment="1">
      <alignment horizontal="left"/>
    </xf>
    <xf numFmtId="164" fontId="9" fillId="0" borderId="7" xfId="6" applyNumberFormat="1" applyFont="1" applyBorder="1" applyAlignment="1"/>
    <xf numFmtId="164" fontId="9" fillId="0" borderId="0" xfId="6" applyNumberFormat="1" applyFont="1" applyFill="1" applyBorder="1" applyAlignment="1">
      <alignment horizontal="right" vertical="center"/>
    </xf>
    <xf numFmtId="0" fontId="6" fillId="0" borderId="8" xfId="0" applyFont="1" applyBorder="1" applyAlignment="1">
      <alignment horizontal="right" vertical="center"/>
    </xf>
    <xf numFmtId="164" fontId="10" fillId="0" borderId="8" xfId="6" applyNumberFormat="1" applyFont="1" applyBorder="1" applyAlignment="1">
      <alignment horizontal="right" vertical="center"/>
    </xf>
    <xf numFmtId="164" fontId="9" fillId="0" borderId="5" xfId="6" applyNumberFormat="1" applyFont="1" applyBorder="1" applyAlignment="1">
      <alignment horizontal="right" vertical="center"/>
    </xf>
    <xf numFmtId="164" fontId="9" fillId="0" borderId="7" xfId="6" applyNumberFormat="1" applyFont="1" applyBorder="1" applyAlignment="1">
      <alignment horizontal="right" vertical="center"/>
    </xf>
    <xf numFmtId="164" fontId="9" fillId="0" borderId="15" xfId="6" applyNumberFormat="1" applyFont="1" applyFill="1" applyBorder="1" applyAlignment="1">
      <alignment horizontal="right"/>
    </xf>
    <xf numFmtId="164" fontId="9" fillId="0" borderId="16" xfId="6" applyNumberFormat="1" applyFont="1" applyFill="1" applyBorder="1" applyAlignment="1">
      <alignment horizontal="right"/>
    </xf>
    <xf numFmtId="0" fontId="9" fillId="0" borderId="8" xfId="0" applyFont="1" applyBorder="1" applyAlignment="1">
      <alignment horizontal="right"/>
    </xf>
    <xf numFmtId="164" fontId="10" fillId="0" borderId="8" xfId="6" applyNumberFormat="1" applyFont="1" applyBorder="1" applyAlignment="1">
      <alignment horizontal="right"/>
    </xf>
    <xf numFmtId="0" fontId="9" fillId="0" borderId="5" xfId="0" applyFont="1" applyBorder="1" applyAlignment="1">
      <alignment horizontal="right"/>
    </xf>
    <xf numFmtId="164" fontId="10" fillId="0" borderId="5" xfId="6" applyNumberFormat="1" applyFont="1" applyBorder="1" applyAlignment="1">
      <alignment horizontal="right"/>
    </xf>
    <xf numFmtId="164" fontId="9" fillId="0" borderId="14" xfId="6" applyNumberFormat="1" applyFont="1" applyFill="1" applyBorder="1" applyAlignment="1">
      <alignment horizontal="right"/>
    </xf>
    <xf numFmtId="0" fontId="9" fillId="0" borderId="5" xfId="0" applyFont="1" applyBorder="1" applyAlignment="1">
      <alignment horizontal="left"/>
    </xf>
    <xf numFmtId="164" fontId="9" fillId="0" borderId="5" xfId="6" applyNumberFormat="1" applyFont="1" applyBorder="1" applyAlignment="1">
      <alignment horizontal="right"/>
    </xf>
    <xf numFmtId="164" fontId="10" fillId="0" borderId="7" xfId="6" applyNumberFormat="1" applyFont="1" applyBorder="1" applyAlignment="1">
      <alignment horizontal="left"/>
    </xf>
    <xf numFmtId="164" fontId="10" fillId="0" borderId="7" xfId="6" applyNumberFormat="1" applyFont="1" applyBorder="1" applyAlignment="1">
      <alignment horizontal="right"/>
    </xf>
    <xf numFmtId="164" fontId="9" fillId="0" borderId="8" xfId="6" applyNumberFormat="1" applyFont="1" applyBorder="1" applyAlignment="1">
      <alignment horizontal="right" vertical="center"/>
    </xf>
    <xf numFmtId="164" fontId="10" fillId="0" borderId="8" xfId="6" applyNumberFormat="1" applyFont="1" applyBorder="1"/>
    <xf numFmtId="0" fontId="30" fillId="0" borderId="5" xfId="0" applyFont="1" applyFill="1" applyBorder="1" applyAlignment="1"/>
    <xf numFmtId="164" fontId="9" fillId="0" borderId="5" xfId="6" applyNumberFormat="1" applyFont="1" applyFill="1" applyBorder="1"/>
    <xf numFmtId="164" fontId="10" fillId="0" borderId="9" xfId="6" applyNumberFormat="1" applyFont="1" applyBorder="1"/>
    <xf numFmtId="0" fontId="30" fillId="0" borderId="5" xfId="0" applyFont="1" applyFill="1" applyBorder="1" applyAlignment="1">
      <alignment wrapText="1"/>
    </xf>
    <xf numFmtId="0" fontId="30" fillId="0" borderId="7" xfId="0" applyFont="1" applyFill="1" applyBorder="1" applyAlignment="1">
      <alignment wrapText="1"/>
    </xf>
    <xf numFmtId="164" fontId="9" fillId="0" borderId="7" xfId="6" applyNumberFormat="1" applyFont="1" applyBorder="1"/>
    <xf numFmtId="0" fontId="9" fillId="0" borderId="8" xfId="0" applyFont="1" applyBorder="1" applyAlignment="1">
      <alignment horizontal="center" vertical="center"/>
    </xf>
    <xf numFmtId="164" fontId="9" fillId="0" borderId="5" xfId="6" applyNumberFormat="1" applyFont="1" applyBorder="1" applyAlignment="1">
      <alignment horizontal="center" vertical="center"/>
    </xf>
    <xf numFmtId="164" fontId="9" fillId="0" borderId="7" xfId="6" applyNumberFormat="1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164" fontId="9" fillId="0" borderId="5" xfId="6" applyNumberFormat="1" applyFont="1" applyFill="1" applyBorder="1" applyAlignment="1">
      <alignment vertical="center"/>
    </xf>
    <xf numFmtId="164" fontId="9" fillId="0" borderId="7" xfId="6" applyNumberFormat="1" applyFont="1" applyFill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9" fillId="0" borderId="0" xfId="5" applyFont="1" applyBorder="1" applyAlignment="1">
      <alignment horizontal="center" vertical="center"/>
    </xf>
    <xf numFmtId="0" fontId="19" fillId="0" borderId="0" xfId="5" applyFont="1" applyFill="1" applyBorder="1" applyAlignment="1">
      <alignment horizontal="center"/>
    </xf>
    <xf numFmtId="0" fontId="32" fillId="0" borderId="0" xfId="5" applyFont="1" applyAlignment="1">
      <alignment horizontal="center"/>
    </xf>
    <xf numFmtId="0" fontId="19" fillId="0" borderId="0" xfId="5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2" fillId="0" borderId="0" xfId="5" applyFont="1" applyAlignment="1">
      <alignment horizontal="center" vertical="center"/>
    </xf>
    <xf numFmtId="0" fontId="32" fillId="0" borderId="0" xfId="5" applyFont="1" applyFill="1" applyAlignment="1">
      <alignment horizontal="center" vertical="center"/>
    </xf>
    <xf numFmtId="0" fontId="18" fillId="0" borderId="0" xfId="5" applyAlignment="1">
      <alignment horizontal="center"/>
    </xf>
    <xf numFmtId="0" fontId="10" fillId="0" borderId="7" xfId="0" applyFont="1" applyBorder="1"/>
    <xf numFmtId="0" fontId="9" fillId="0" borderId="3" xfId="0" applyFont="1" applyBorder="1"/>
    <xf numFmtId="0" fontId="10" fillId="0" borderId="3" xfId="0" applyFont="1" applyFill="1" applyBorder="1"/>
    <xf numFmtId="0" fontId="0" fillId="0" borderId="17" xfId="0" applyBorder="1"/>
    <xf numFmtId="0" fontId="0" fillId="0" borderId="3" xfId="0" applyBorder="1"/>
    <xf numFmtId="0" fontId="8" fillId="0" borderId="7" xfId="0" applyFont="1" applyBorder="1"/>
    <xf numFmtId="0" fontId="10" fillId="0" borderId="7" xfId="0" applyFont="1" applyBorder="1" applyAlignment="1">
      <alignment vertical="center"/>
    </xf>
    <xf numFmtId="0" fontId="10" fillId="0" borderId="7" xfId="0" applyFont="1" applyFill="1" applyBorder="1"/>
  </cellXfs>
  <cellStyles count="8">
    <cellStyle name="Comma" xfId="6" builtinId="3"/>
    <cellStyle name="Hyperlink" xfId="5" builtinId="8"/>
    <cellStyle name="Normal" xfId="0" builtinId="0"/>
    <cellStyle name="Normal 2 2" xfId="2"/>
    <cellStyle name="Normal 2 3" xfId="1"/>
    <cellStyle name="Normal 3" xfId="7"/>
    <cellStyle name="Normal 4" xfId="4"/>
    <cellStyle name="Normal 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13_Shan%20Without%20Hopan%20and%20Makman%20District%20.xlsx" TargetMode="External"/><Relationship Id="rId3" Type="http://schemas.openxmlformats.org/officeDocument/2006/relationships/hyperlink" Target="13_Shan%20Without%20Hopan%20and%20Makman%20District%20.xlsx" TargetMode="External"/><Relationship Id="rId7" Type="http://schemas.openxmlformats.org/officeDocument/2006/relationships/hyperlink" Target="13_Shan%20Without%20Hopan%20and%20Makman%20District%20.xlsx" TargetMode="External"/><Relationship Id="rId2" Type="http://schemas.openxmlformats.org/officeDocument/2006/relationships/hyperlink" Target="13_Shan%20Without%20Hopan%20and%20Makman%20District%20.xlsx" TargetMode="External"/><Relationship Id="rId1" Type="http://schemas.openxmlformats.org/officeDocument/2006/relationships/hyperlink" Target="13_Shan%20Without%20Hopan%20and%20Makman%20District%20.xlsx" TargetMode="External"/><Relationship Id="rId6" Type="http://schemas.openxmlformats.org/officeDocument/2006/relationships/hyperlink" Target="13_Shan%20Without%20Hopan%20and%20Makman%20District%20.xlsx" TargetMode="External"/><Relationship Id="rId5" Type="http://schemas.openxmlformats.org/officeDocument/2006/relationships/hyperlink" Target="13_Shan%20Without%20Hopan%20and%20Makman%20District%20.xlsx" TargetMode="External"/><Relationship Id="rId4" Type="http://schemas.openxmlformats.org/officeDocument/2006/relationships/hyperlink" Target="13_Shan%20Without%20Hopan%20and%20Makman%20District%20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13_Shan%20Without%20Hopan%20and%20Makman%20District%20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8.bin"/><Relationship Id="rId1" Type="http://schemas.openxmlformats.org/officeDocument/2006/relationships/hyperlink" Target="13_Shan%20Without%20Hopan%20and%20Makman%20District%20.xlsx" TargetMode="Externa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9.bin"/><Relationship Id="rId1" Type="http://schemas.openxmlformats.org/officeDocument/2006/relationships/hyperlink" Target="13_Shan%20Without%20Hopan%20and%20Makman%20District%20.xlsx" TargetMode="Externa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0.bin"/><Relationship Id="rId1" Type="http://schemas.openxmlformats.org/officeDocument/2006/relationships/hyperlink" Target="13_Shan%20Without%20Hopan%20and%20Makman%20District%20.xlsx" TargetMode="Externa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1.bin"/><Relationship Id="rId1" Type="http://schemas.openxmlformats.org/officeDocument/2006/relationships/hyperlink" Target="13_Shan%20Without%20Hopan%20and%20Makman%20District%20.xlsx" TargetMode="Externa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2.bin"/><Relationship Id="rId1" Type="http://schemas.openxmlformats.org/officeDocument/2006/relationships/hyperlink" Target="13_Shan%20Without%20Hopan%20and%20Makman%20District%20.xlsx" TargetMode="Externa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3.bin"/><Relationship Id="rId1" Type="http://schemas.openxmlformats.org/officeDocument/2006/relationships/hyperlink" Target="13_Shan%20Without%20Hopan%20and%20Makman%20District%20.xlsx" TargetMode="External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4.bin"/><Relationship Id="rId1" Type="http://schemas.openxmlformats.org/officeDocument/2006/relationships/hyperlink" Target="13_Shan%20Without%20Hopan%20and%20Makman%20District%20.xlsx" TargetMode="Externa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5.bin"/><Relationship Id="rId1" Type="http://schemas.openxmlformats.org/officeDocument/2006/relationships/hyperlink" Target="13_Shan%20Without%20Hopan%20and%20Makman%20District%20.xlsx" TargetMode="Externa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84"/>
  <sheetViews>
    <sheetView topLeftCell="A46" zoomScale="130" zoomScaleNormal="130" workbookViewId="0">
      <selection activeCell="D54" sqref="D54"/>
    </sheetView>
  </sheetViews>
  <sheetFormatPr defaultRowHeight="15" customHeight="1" x14ac:dyDescent="0.25"/>
  <cols>
    <col min="1" max="1" width="8.5703125" customWidth="1"/>
    <col min="2" max="2" width="56" bestFit="1" customWidth="1"/>
  </cols>
  <sheetData>
    <row r="2" spans="1:2" ht="15" customHeight="1" x14ac:dyDescent="0.25">
      <c r="A2">
        <v>1</v>
      </c>
      <c r="B2" s="79" t="str">
        <f>Taunggyi!A1</f>
        <v>Shan State,Taunggyi District,Taunggyi Township</v>
      </c>
    </row>
    <row r="3" spans="1:2" ht="15" customHeight="1" x14ac:dyDescent="0.25">
      <c r="A3">
        <v>2</v>
      </c>
      <c r="B3" s="79" t="str">
        <f>' Nyaungshwe'!A1</f>
        <v>Shan State,Taunggyi District,Nyaungshwe Township</v>
      </c>
    </row>
    <row r="4" spans="1:2" ht="15" customHeight="1" x14ac:dyDescent="0.25">
      <c r="A4">
        <v>3</v>
      </c>
      <c r="B4" s="79" t="str">
        <f>Hopong!A1</f>
        <v>Shan State,Taunggyi District,  Hopong Township</v>
      </c>
    </row>
    <row r="5" spans="1:2" ht="15" customHeight="1" x14ac:dyDescent="0.25">
      <c r="A5">
        <v>4</v>
      </c>
      <c r="B5" s="79" t="str">
        <f>Hsihseng!A1</f>
        <v>Shan State,Taunggyi District,  Hsihseng Township</v>
      </c>
    </row>
    <row r="6" spans="1:2" ht="15" customHeight="1" x14ac:dyDescent="0.25">
      <c r="A6">
        <v>5</v>
      </c>
      <c r="B6" s="79" t="str">
        <f>Kalaw!A1</f>
        <v>Shan State,Taunggyi District, Kalaw Township</v>
      </c>
    </row>
    <row r="7" spans="1:2" ht="15" customHeight="1" x14ac:dyDescent="0.25">
      <c r="A7">
        <v>6</v>
      </c>
      <c r="B7" s="79" t="str">
        <f>Pindaya!A1</f>
        <v>Shan State,Taunggyi District,  Pindaya Township</v>
      </c>
    </row>
    <row r="8" spans="1:2" ht="15" customHeight="1" x14ac:dyDescent="0.25">
      <c r="A8">
        <v>7</v>
      </c>
      <c r="B8" s="79" t="str">
        <f>Ywangan!A1</f>
        <v>Shan State,Taunggyi District, Ywarngan Township</v>
      </c>
    </row>
    <row r="9" spans="1:2" ht="15" customHeight="1" x14ac:dyDescent="0.25">
      <c r="A9">
        <v>8</v>
      </c>
      <c r="B9" s="79" t="str">
        <f>Yatsauk!A1</f>
        <v>Shan State,Taunggyi District, Yatsauk Township</v>
      </c>
    </row>
    <row r="10" spans="1:2" ht="15" customHeight="1" x14ac:dyDescent="0.25">
      <c r="A10">
        <v>9</v>
      </c>
      <c r="B10" s="79" t="str">
        <f>Pinlaung!A1</f>
        <v>Shan State,Taunggyi District,  Pinlaung Township</v>
      </c>
    </row>
    <row r="11" spans="1:2" ht="15" customHeight="1" x14ac:dyDescent="0.25">
      <c r="A11">
        <v>10</v>
      </c>
      <c r="B11" s="79" t="str">
        <f>Phekon!A1</f>
        <v>Shan State,Taunggyi District, Phekon Township</v>
      </c>
    </row>
    <row r="12" spans="1:2" ht="15" customHeight="1" x14ac:dyDescent="0.25">
      <c r="A12">
        <v>11</v>
      </c>
      <c r="B12" s="79" t="str">
        <f>'Kyauktalongyi (Sub-Tsp)'!A1</f>
        <v>Shan State,Taunggyi District,Kyauktalongyi (Sub-Township)</v>
      </c>
    </row>
    <row r="13" spans="1:2" ht="15" customHeight="1" x14ac:dyDescent="0.25">
      <c r="A13">
        <v>12</v>
      </c>
      <c r="B13" s="79" t="str">
        <f>'Indaw (Sub-Tsp)'!A1</f>
        <v>Shan State,Taunggyi District,Indaw(Sub-Township)</v>
      </c>
    </row>
    <row r="14" spans="1:2" ht="15" customHeight="1" x14ac:dyDescent="0.25">
      <c r="A14">
        <v>13</v>
      </c>
      <c r="B14" s="79" t="str">
        <f>'Naungtayar (Sub-Tsp)'!A1</f>
        <v>Shan State,Taunggyi District, Naungtayar(Sub-Township)</v>
      </c>
    </row>
    <row r="15" spans="1:2" ht="15" customHeight="1" x14ac:dyDescent="0.25">
      <c r="A15">
        <v>14</v>
      </c>
      <c r="B15" s="79" t="str">
        <f>Loilem!A1</f>
        <v>Shan State,  Loilem District, Loilem Township</v>
      </c>
    </row>
    <row r="16" spans="1:2" ht="15" customHeight="1" x14ac:dyDescent="0.25">
      <c r="A16">
        <v>15</v>
      </c>
      <c r="B16" s="79" t="str">
        <f>Lahecha!A1</f>
        <v>Shan State,  Loilem District, Le`char Township</v>
      </c>
    </row>
    <row r="17" spans="1:2" ht="15" customHeight="1" x14ac:dyDescent="0.25">
      <c r="A17">
        <v>16</v>
      </c>
      <c r="B17" s="79" t="str">
        <f>'Nanhsam(South)'!A1</f>
        <v>Shan State,  Loilem District,  Nanhsam(South) Township</v>
      </c>
    </row>
    <row r="18" spans="1:2" ht="15" customHeight="1" x14ac:dyDescent="0.25">
      <c r="A18">
        <v>17</v>
      </c>
      <c r="B18" s="79" t="str">
        <f>Kunhing!A1</f>
        <v>Shan State,  Loilem District, Kunhing Township</v>
      </c>
    </row>
    <row r="19" spans="1:2" ht="15" customHeight="1" x14ac:dyDescent="0.25">
      <c r="A19">
        <v>18</v>
      </c>
      <c r="B19" s="79" t="str">
        <f>Kehsi!A1</f>
        <v>Shan State,  Loilem District,  Kehsi Township</v>
      </c>
    </row>
    <row r="20" spans="1:2" ht="15" customHeight="1" x14ac:dyDescent="0.25">
      <c r="A20">
        <v>19</v>
      </c>
      <c r="B20" s="79" t="str">
        <f>Mongkai!A1</f>
        <v>Shan State,  Loilem District,  Mongkai Township</v>
      </c>
    </row>
    <row r="21" spans="1:2" ht="15" customHeight="1" x14ac:dyDescent="0.25">
      <c r="A21">
        <v>20</v>
      </c>
      <c r="B21" s="79" t="str">
        <f>Mineshu!A1</f>
        <v>Shan State,  Loilem District,  Mineshu Township</v>
      </c>
    </row>
    <row r="22" spans="1:2" ht="15" customHeight="1" x14ac:dyDescent="0.25">
      <c r="A22">
        <v>21</v>
      </c>
      <c r="B22" s="79" t="str">
        <f>'Panglong (Sub-Tsp)'!A1</f>
        <v>Shan State,  Loilem District,  Panglong(Sub-Township)</v>
      </c>
    </row>
    <row r="23" spans="1:2" ht="15" customHeight="1" x14ac:dyDescent="0.25">
      <c r="A23">
        <v>22</v>
      </c>
      <c r="B23" s="79" t="str">
        <f>'Kholan(Sub-Tsp)'!A1</f>
        <v>Shan State,  Loilem District,   Kholan(Sub-Township)</v>
      </c>
    </row>
    <row r="24" spans="1:2" ht="15" customHeight="1" x14ac:dyDescent="0.25">
      <c r="A24">
        <v>23</v>
      </c>
      <c r="B24" s="79" t="str">
        <f>'Karli(sub-Tsp)'!A1</f>
        <v>Shan State,  Loilem District,  Karli(Sub-Township)</v>
      </c>
    </row>
    <row r="25" spans="1:2" ht="15" customHeight="1" x14ac:dyDescent="0.25">
      <c r="A25">
        <v>24</v>
      </c>
      <c r="B25" s="79" t="str">
        <f>'Minenaung(Sub-Tsp)'!A1</f>
        <v>Shan State,  Loilem District, Minenaung(Sub-Township)</v>
      </c>
    </row>
    <row r="26" spans="1:2" ht="15" customHeight="1" x14ac:dyDescent="0.25">
      <c r="A26">
        <v>25</v>
      </c>
      <c r="B26" s="79" t="str">
        <f>'Minesan(Monsan)(Sub-Tsp)'!A1</f>
        <v>Shan State,  Loilem District, Minesan (Monsan)Sub-Township</v>
      </c>
    </row>
    <row r="27" spans="1:2" ht="15" customHeight="1" x14ac:dyDescent="0.25">
      <c r="A27">
        <v>26</v>
      </c>
      <c r="B27" s="79" t="str">
        <f>Linkhe!A1</f>
        <v>Shan State, Linkhe` District, Linkhe` Township</v>
      </c>
    </row>
    <row r="28" spans="1:2" ht="15" customHeight="1" x14ac:dyDescent="0.25">
      <c r="A28">
        <v>27</v>
      </c>
      <c r="B28" s="79" t="str">
        <f>Mone!A1</f>
        <v>Shan State, Linkhe` District,   Mone Township</v>
      </c>
    </row>
    <row r="29" spans="1:2" ht="15" customHeight="1" x14ac:dyDescent="0.25">
      <c r="A29">
        <v>28</v>
      </c>
      <c r="B29" s="79" t="str">
        <f>Maukme!A1</f>
        <v>Shan State, Linkhe` District, Maukme Township</v>
      </c>
    </row>
    <row r="30" spans="1:2" ht="15" customHeight="1" x14ac:dyDescent="0.25">
      <c r="A30">
        <v>29</v>
      </c>
      <c r="B30" s="79" t="str">
        <f>Minepan!A1</f>
        <v>Shan State, Linkhe` District,   Minepan Township</v>
      </c>
    </row>
    <row r="31" spans="1:2" ht="15" customHeight="1" x14ac:dyDescent="0.25">
      <c r="A31">
        <v>30</v>
      </c>
      <c r="B31" s="79" t="str">
        <f>'Homane (Sub-Tsp)'!A1</f>
        <v>Shan State, Linkhe` District,  Homane(Sub- Township)</v>
      </c>
    </row>
    <row r="32" spans="1:2" ht="15" customHeight="1" x14ac:dyDescent="0.25">
      <c r="A32">
        <v>31</v>
      </c>
      <c r="B32" s="79" t="str">
        <f>'Kengtaung(Sub-Tsp)'!A1</f>
        <v>Shan State, Linkhe` District, Kengtaung(Sub--Township)</v>
      </c>
    </row>
    <row r="33" spans="1:2" ht="15" customHeight="1" x14ac:dyDescent="0.25">
      <c r="A33">
        <v>32</v>
      </c>
      <c r="B33" s="79" t="str">
        <f>Lashio!A1</f>
        <v>Shan State,  Lashio District, Lashio Township</v>
      </c>
    </row>
    <row r="34" spans="1:2" ht="15" customHeight="1" x14ac:dyDescent="0.25">
      <c r="A34">
        <v>33</v>
      </c>
      <c r="B34" s="79" t="str">
        <f>Theinni!A1</f>
        <v>Shan State,  Lashio District,  Theinni Township</v>
      </c>
    </row>
    <row r="35" spans="1:2" ht="15" customHeight="1" x14ac:dyDescent="0.25">
      <c r="A35">
        <v>34</v>
      </c>
      <c r="B35" s="79" t="str">
        <f>Mineye!A1</f>
        <v>Shan State,  Lashio District, Mineye` Township</v>
      </c>
    </row>
    <row r="36" spans="1:2" ht="15" customHeight="1" x14ac:dyDescent="0.25">
      <c r="A36">
        <v>35</v>
      </c>
      <c r="B36" s="79" t="str">
        <f>Tantyan!A1</f>
        <v>Shan State,  Lashio District,Tantyan Township</v>
      </c>
    </row>
    <row r="37" spans="1:2" ht="15" customHeight="1" x14ac:dyDescent="0.25">
      <c r="A37">
        <v>36</v>
      </c>
      <c r="B37" s="79" t="str">
        <f>Muse!A1</f>
        <v>Shan State, MuSe District,  MuSe Township</v>
      </c>
    </row>
    <row r="38" spans="1:2" ht="15" customHeight="1" x14ac:dyDescent="0.25">
      <c r="A38">
        <v>37</v>
      </c>
      <c r="B38" s="79" t="str">
        <f>Namkham!A1</f>
        <v>Shan State, MuSe District, Namkham Township</v>
      </c>
    </row>
    <row r="39" spans="1:2" ht="15" customHeight="1" x14ac:dyDescent="0.25">
      <c r="A39">
        <v>38</v>
      </c>
      <c r="B39" s="79" t="str">
        <f>Kukai!A1</f>
        <v>Shan State, MuSe District,  Kukai Township</v>
      </c>
    </row>
    <row r="40" spans="1:2" ht="15" customHeight="1" x14ac:dyDescent="0.25">
      <c r="A40">
        <v>39</v>
      </c>
      <c r="B40" s="79" t="str">
        <f>'Monekoe(Sub-Tsp)'!A1</f>
        <v>Shan State, MuSe District,    Monekoe(Sub-Township)</v>
      </c>
    </row>
    <row r="41" spans="1:2" ht="15" customHeight="1" x14ac:dyDescent="0.25">
      <c r="A41">
        <v>40</v>
      </c>
      <c r="B41" s="79" t="str">
        <f>'Manhero (Manhyo)(Sub-Tsp)'!A1</f>
        <v>Shan State, MuSe District, Manhero(Manhyo)Sub-Township</v>
      </c>
    </row>
    <row r="42" spans="1:2" ht="15" customHeight="1" x14ac:dyDescent="0.25">
      <c r="A42">
        <v>41</v>
      </c>
      <c r="B42" s="79" t="str">
        <f>'Pansai (Kyu Kok) (Sub-Tsp)'!A1</f>
        <v>Shan State, MuSe District,  Pansai(Kyu Kok) Sub-Township</v>
      </c>
    </row>
    <row r="43" spans="1:2" ht="15" customHeight="1" x14ac:dyDescent="0.25">
      <c r="A43">
        <v>42</v>
      </c>
      <c r="B43" s="79" t="str">
        <f>'Tamoenye (Sub-Tsp)'!A1</f>
        <v>Shan State, MuSe District,   Tamoenye(Sub-Township)</v>
      </c>
    </row>
    <row r="44" spans="1:2" ht="15" customHeight="1" x14ac:dyDescent="0.25">
      <c r="A44">
        <v>43</v>
      </c>
      <c r="B44" s="79" t="str">
        <f>Kyaukme!A1</f>
        <v>Shan State, Kyaukme District,  KyaukmeTownship</v>
      </c>
    </row>
    <row r="45" spans="1:2" ht="15" customHeight="1" x14ac:dyDescent="0.25">
      <c r="A45">
        <v>44</v>
      </c>
      <c r="B45" s="79" t="str">
        <f>' Naungkhio'!A1</f>
        <v>Shan State, Kyaukme District,  Naungkhio Township</v>
      </c>
    </row>
    <row r="46" spans="1:2" ht="15" customHeight="1" x14ac:dyDescent="0.25">
      <c r="A46">
        <v>45</v>
      </c>
      <c r="B46" s="79" t="str">
        <f>Hsipaw!A1</f>
        <v>Shan State, Kyaukme District,Hsipaw Township</v>
      </c>
    </row>
    <row r="47" spans="1:2" ht="15" customHeight="1" x14ac:dyDescent="0.25">
      <c r="A47">
        <v>46</v>
      </c>
      <c r="B47" s="79" t="str">
        <f>Namtu!A1</f>
        <v>Shan State, Kyaukme District,Namtu Township</v>
      </c>
    </row>
    <row r="48" spans="1:2" ht="15" customHeight="1" x14ac:dyDescent="0.25">
      <c r="A48">
        <v>47</v>
      </c>
      <c r="B48" s="79" t="str">
        <f>'Namsan (North)'!A1</f>
        <v>Shan State, Kyaukme District, Namsan(North) Township</v>
      </c>
    </row>
    <row r="49" spans="1:2" ht="15" customHeight="1" x14ac:dyDescent="0.25">
      <c r="A49">
        <v>48</v>
      </c>
      <c r="B49" s="79" t="str">
        <f>Momeik!A1</f>
        <v>Shan State, Kyaukme District,Momeik Township</v>
      </c>
    </row>
    <row r="50" spans="1:2" ht="15" customHeight="1" x14ac:dyDescent="0.25">
      <c r="A50">
        <v>49</v>
      </c>
      <c r="B50" s="79" t="str">
        <f>Mabane!A1</f>
        <v>Shan State, Kyaukme District,Mabane  Township</v>
      </c>
    </row>
    <row r="51" spans="1:2" ht="15" customHeight="1" x14ac:dyDescent="0.25">
      <c r="A51">
        <v>50</v>
      </c>
      <c r="B51" s="79" t="str">
        <f>Manton!A1</f>
        <v>Shan State, Kyaukme District, Manton  Township</v>
      </c>
    </row>
    <row r="52" spans="1:2" ht="15" customHeight="1" x14ac:dyDescent="0.25">
      <c r="A52">
        <v>51</v>
      </c>
      <c r="B52" s="79" t="str">
        <f>'Minengaw(Sub-Tsp)'!A1</f>
        <v>Shan State, Kyaukme District,   Minengaw(Sub-Township)</v>
      </c>
    </row>
    <row r="53" spans="1:2" ht="15" customHeight="1" x14ac:dyDescent="0.25">
      <c r="A53">
        <v>52</v>
      </c>
      <c r="B53" s="79" t="str">
        <f>'Minelon(Sub-Tsp)'!A1</f>
        <v>Shan State, Kyaukme District, Minelon (Sub-Township)</v>
      </c>
    </row>
    <row r="54" spans="1:2" ht="15" customHeight="1" x14ac:dyDescent="0.25">
      <c r="A54">
        <v>53</v>
      </c>
      <c r="B54" s="79" t="str">
        <f>Kunlon!A1</f>
        <v>Shan State, Kunlon District,  Kunlon Township</v>
      </c>
    </row>
    <row r="55" spans="1:2" ht="15" customHeight="1" x14ac:dyDescent="0.25">
      <c r="A55">
        <v>54</v>
      </c>
      <c r="B55" s="79" t="str">
        <f>Laukine!A1</f>
        <v>Shan State, LaukineDistrict,  Laukine Township</v>
      </c>
    </row>
    <row r="56" spans="1:2" ht="15" customHeight="1" x14ac:dyDescent="0.25">
      <c r="A56">
        <v>55</v>
      </c>
      <c r="B56" s="79" t="str">
        <f>Kongyan!A1</f>
        <v>Shan State, LaukineDistrict,  Kongyan Township</v>
      </c>
    </row>
    <row r="57" spans="1:2" ht="15" customHeight="1" x14ac:dyDescent="0.25">
      <c r="A57">
        <v>56</v>
      </c>
      <c r="B57" s="79" t="str">
        <f>'Chinshwehaw(Sub-Tsp)'!A1</f>
        <v>Shan State, Laukine District,  Chinshwehaw(Sub- Township)</v>
      </c>
    </row>
    <row r="58" spans="1:2" ht="15" customHeight="1" x14ac:dyDescent="0.25">
      <c r="A58">
        <v>57</v>
      </c>
      <c r="B58" s="79" t="str">
        <f>'Mawhtike (Sub-Tsp)'!A1</f>
        <v>Shan State, Laukine District, Mawhtike (Sub- Township)</v>
      </c>
    </row>
    <row r="59" spans="1:2" ht="15" customHeight="1" x14ac:dyDescent="0.25">
      <c r="A59">
        <v>58</v>
      </c>
      <c r="B59" s="79" t="s">
        <v>1423</v>
      </c>
    </row>
    <row r="60" spans="1:2" ht="15" customHeight="1" x14ac:dyDescent="0.25">
      <c r="A60">
        <v>59</v>
      </c>
      <c r="B60" s="79" t="s">
        <v>1424</v>
      </c>
    </row>
    <row r="61" spans="1:2" ht="15" customHeight="1" x14ac:dyDescent="0.25">
      <c r="A61">
        <v>60</v>
      </c>
      <c r="B61" s="79" t="s">
        <v>1425</v>
      </c>
    </row>
    <row r="62" spans="1:2" ht="15" customHeight="1" x14ac:dyDescent="0.25">
      <c r="A62">
        <v>61</v>
      </c>
      <c r="B62" s="79" t="s">
        <v>1426</v>
      </c>
    </row>
    <row r="63" spans="1:2" ht="15" customHeight="1" x14ac:dyDescent="0.25">
      <c r="A63">
        <v>62</v>
      </c>
      <c r="B63" s="79" t="s">
        <v>1427</v>
      </c>
    </row>
    <row r="64" spans="1:2" ht="15" customHeight="1" x14ac:dyDescent="0.25">
      <c r="A64">
        <v>63</v>
      </c>
      <c r="B64" s="79" t="s">
        <v>1428</v>
      </c>
    </row>
    <row r="65" spans="1:2" ht="15" customHeight="1" x14ac:dyDescent="0.25">
      <c r="A65">
        <v>64</v>
      </c>
      <c r="B65" s="79" t="s">
        <v>1429</v>
      </c>
    </row>
    <row r="66" spans="1:2" ht="15" customHeight="1" x14ac:dyDescent="0.25">
      <c r="A66">
        <v>65</v>
      </c>
      <c r="B66" s="79" t="s">
        <v>1430</v>
      </c>
    </row>
    <row r="67" spans="1:2" ht="15" customHeight="1" x14ac:dyDescent="0.25">
      <c r="A67">
        <v>66</v>
      </c>
      <c r="B67" s="79" t="str">
        <f>Kengtung!A1</f>
        <v>Shan State, Kengtung District, Kengtung Township</v>
      </c>
    </row>
    <row r="68" spans="1:2" ht="15" customHeight="1" x14ac:dyDescent="0.25">
      <c r="A68">
        <v>67</v>
      </c>
      <c r="B68" s="79" t="str">
        <f>Minekat!A1</f>
        <v>Shan State, Kengtung District, Minekat Township</v>
      </c>
    </row>
    <row r="69" spans="1:2" ht="15" customHeight="1" x14ac:dyDescent="0.25">
      <c r="A69">
        <v>68</v>
      </c>
      <c r="B69" s="79" t="str">
        <f>Mineyan!A1</f>
        <v>Shan State, Kengtung District,   Mineyan Township</v>
      </c>
    </row>
    <row r="70" spans="1:2" ht="15" customHeight="1" x14ac:dyDescent="0.25">
      <c r="A70">
        <v>69</v>
      </c>
      <c r="B70" s="79" t="str">
        <f>Minelar!A1</f>
        <v>Shan State, Kengtung District, Minelar Township</v>
      </c>
    </row>
    <row r="71" spans="1:2" ht="15" customHeight="1" x14ac:dyDescent="0.25">
      <c r="A71">
        <v>70</v>
      </c>
      <c r="B71" s="79" t="str">
        <f>'Minw Pauk(Sub-Tsp)'!A1</f>
        <v>Shan State, Kengtung District, Mine Pauk(Sub-Township)</v>
      </c>
    </row>
    <row r="72" spans="1:2" ht="15" customHeight="1" x14ac:dyDescent="0.25">
      <c r="A72">
        <v>71</v>
      </c>
      <c r="B72" s="79" t="str">
        <f>Minesat!A1</f>
        <v>Shan State, Minesat District, Minesat Township</v>
      </c>
    </row>
    <row r="73" spans="1:2" ht="15" customHeight="1" x14ac:dyDescent="0.25">
      <c r="A73">
        <v>72</v>
      </c>
      <c r="B73" s="79" t="str">
        <f>Minepyin!A1</f>
        <v>Shan State, Minesat  District, Minepyin Township</v>
      </c>
    </row>
    <row r="74" spans="1:2" ht="15" customHeight="1" x14ac:dyDescent="0.25">
      <c r="A74">
        <v>73</v>
      </c>
      <c r="B74" s="79" t="str">
        <f>Minetung!A1</f>
        <v>Shan State, Minesat  District, Minetung  Township</v>
      </c>
    </row>
    <row r="75" spans="1:2" ht="15" customHeight="1" x14ac:dyDescent="0.25">
      <c r="A75">
        <v>74</v>
      </c>
      <c r="B75" s="79" t="str">
        <f>'Minekoke(Sub-Tsp)'!A1</f>
        <v>Shan State, Minesat  District, Minekoke(Sub-Township)</v>
      </c>
    </row>
    <row r="76" spans="1:2" ht="15" customHeight="1" x14ac:dyDescent="0.25">
      <c r="A76">
        <v>75</v>
      </c>
      <c r="B76" s="79" t="str">
        <f>'Tontar (Sub-Tsp)'!A1</f>
        <v>Shan State, Minesat  District, Tontar(Sub-Township)</v>
      </c>
    </row>
    <row r="77" spans="1:2" ht="15" customHeight="1" x14ac:dyDescent="0.25">
      <c r="A77">
        <v>76</v>
      </c>
      <c r="B77" s="79" t="str">
        <f>'Ponparkyin(Sub-Tsp)'!A1</f>
        <v>Shan State, Minesat  District, Ponparkyin(Sub- Township)</v>
      </c>
    </row>
    <row r="78" spans="1:2" ht="15" customHeight="1" x14ac:dyDescent="0.25">
      <c r="A78">
        <v>77</v>
      </c>
      <c r="B78" s="79" t="str">
        <f>'Monehta (Subn-Tsp)'!A1</f>
        <v>Shan State, Minesat  District,  Monehta(Sub- Township)</v>
      </c>
    </row>
    <row r="79" spans="1:2" ht="15" customHeight="1" x14ac:dyDescent="0.25">
      <c r="A79">
        <v>78</v>
      </c>
      <c r="B79" s="79" t="str">
        <f>Tachileik!A1</f>
        <v>Shan State, Tachileik  District, Tachileik Township</v>
      </c>
    </row>
    <row r="80" spans="1:2" ht="15" customHeight="1" x14ac:dyDescent="0.25">
      <c r="A80">
        <v>79</v>
      </c>
      <c r="B80" s="79" t="str">
        <f>'Talay (Sub-Tsp)'!A1</f>
        <v>Shan State, Tachileik  District, Talay(Sub- Township)</v>
      </c>
    </row>
    <row r="81" spans="1:2" ht="15" customHeight="1" x14ac:dyDescent="0.25">
      <c r="A81">
        <v>80</v>
      </c>
      <c r="B81" s="79" t="str">
        <f>'Kenglat(Sub-Tsp)'!A1</f>
        <v>Shan State, Tachileik  District, Kenglat(Sub-Township)</v>
      </c>
    </row>
    <row r="82" spans="1:2" ht="15" customHeight="1" x14ac:dyDescent="0.25">
      <c r="A82">
        <v>81</v>
      </c>
      <c r="B82" s="79" t="str">
        <f>Minephyat!A1</f>
        <v>Shan State, Minephyat  District,  Minephyat Township</v>
      </c>
    </row>
    <row r="83" spans="1:2" ht="15" customHeight="1" x14ac:dyDescent="0.25">
      <c r="A83">
        <v>82</v>
      </c>
      <c r="B83" s="79" t="str">
        <f>Mineyaung!A1</f>
        <v>Shan State, Minephyat  District, Mineyaung Township</v>
      </c>
    </row>
    <row r="84" spans="1:2" ht="15" customHeight="1" x14ac:dyDescent="0.25">
      <c r="A84">
        <v>83</v>
      </c>
      <c r="B84" s="79" t="str">
        <f>'Mineyu(Sub-Tsp)'!A1</f>
        <v>Shan State, Minephyat  District, Mineyu(Sub- Township)</v>
      </c>
    </row>
  </sheetData>
  <hyperlinks>
    <hyperlink ref="B2" location="Taunggyi!A1" display="Taunggyi!A1"/>
    <hyperlink ref="B3" location="' Nyaungshwe'!A1" display="' Nyaungshwe'!A1"/>
    <hyperlink ref="B4" location="Hopong!A1" display="Hopong!A1"/>
    <hyperlink ref="B5" location="Hsihseng!A1" display="Hsihseng!A1"/>
    <hyperlink ref="B6" location="Kalaw!A1" display="Kalaw!A1"/>
    <hyperlink ref="B7" location="Pindaya!A1" display="Pindaya!A1"/>
    <hyperlink ref="B8" location="Ywangan!A1" display="Ywangan!A1"/>
    <hyperlink ref="B9" location="Yatsauk!A1" display="Yatsauk!A1"/>
    <hyperlink ref="B10" location="Pinlaung!A1" display="Pinlaung!A1"/>
    <hyperlink ref="B11" location="Phekon!A1" display="Phekon!A1"/>
    <hyperlink ref="B12" location="'Kyauktalongyi (Sub-Tsp)'!A1" display="'Kyauktalongyi (Sub-Tsp)'!A1"/>
    <hyperlink ref="B13" location="'Indaw (Sub-Tsp)'!A1" display="'Indaw (Sub-Tsp)'!A1"/>
    <hyperlink ref="B14" location="'Naungtayar (Sub-Tsp)'!A1" display="'Naungtayar (Sub-Tsp)'!A1"/>
    <hyperlink ref="B15" location="Loilem!A1" display="Loilem!A1"/>
    <hyperlink ref="B16" location="Lahecha!A1" display="Lahecha!A1"/>
    <hyperlink ref="B17" location="'Nanhsam(South)'!A1" display="'Nanhsam(South)'!A1"/>
    <hyperlink ref="B18" location="Kunhing!A1" display="Kunhing!A1"/>
    <hyperlink ref="B19" location="Kehsi!A1" display="Kehsi!A1"/>
    <hyperlink ref="B20" location="Mongkai!A1" display="Mongkai!A1"/>
    <hyperlink ref="B21" location="Mineshu!A1" display="Mineshu!A1"/>
    <hyperlink ref="B22" location="'Panglong (Sub-Tsp)'!A1" display="'Panglong (Sub-Tsp)'!A1"/>
    <hyperlink ref="B23" location="'Kholan(Sub-Tsp)'!A1" display="'Kholan(Sub-Tsp)'!A1"/>
    <hyperlink ref="B24" location="'Karli(sub-Tsp)'!A1" display="'Karli(sub-Tsp)'!A1"/>
    <hyperlink ref="B25" location="'Minenaung(Sub-Tsp)'!A1" display="'Minenaung(Sub-Tsp)'!A1"/>
    <hyperlink ref="B26" location="'Minesan(Monsan)(Sub-Tsp)'!A1" display="'Minesan(Monsan)(Sub-Tsp)'!A1"/>
    <hyperlink ref="B27" location="Linkhe!A1" display="Linkhe!A1"/>
    <hyperlink ref="B28" location="Mone!A1" display="Mone!A1"/>
    <hyperlink ref="B29" location="Maukme!A1" display="Maukme!A1"/>
    <hyperlink ref="B30" location="Minepan!A1" display="Minepan!A1"/>
    <hyperlink ref="B31" location="'Homane (Sub-Tsp)'!A1" display="'Homane (Sub-Tsp)'!A1"/>
    <hyperlink ref="B32" location="'Kengtaung(Sub-Tsp)'!A1" display="'Kengtaung(Sub-Tsp)'!A1"/>
    <hyperlink ref="B33" location="Lashio!A1" display="Lashio!A1"/>
    <hyperlink ref="B34" location="Theinni!A1" display="Theinni!A1"/>
    <hyperlink ref="B35" location="Mineye!A1" display="Mineye!A1"/>
    <hyperlink ref="B36" location="Tantyan!A1" display="Tantyan!A1"/>
    <hyperlink ref="B37" location="Muse!A1" display="Muse!A1"/>
    <hyperlink ref="B38" location="Namkham!A1" display="Namkham!A1"/>
    <hyperlink ref="B39" location="Kukai!A1" display="Kukai!A1"/>
    <hyperlink ref="B40" location="'Monekoe(Sub-Tsp)'!A1" display="'Monekoe(Sub-Tsp)'!A1"/>
    <hyperlink ref="B41" location="'Manhero (Manhyo)(Sub-Tsp)'!A1" display="'Manhero (Manhyo)(Sub-Tsp)'!A1"/>
    <hyperlink ref="B42" location="'Pansai (Kyu Kok) (Sub-Tsp)'!A1" display="'Pansai (Kyu Kok) (Sub-Tsp)'!A1"/>
    <hyperlink ref="B43" location="'Tamoenye (Sub-Tsp)'!A1" display="'Tamoenye (Sub-Tsp)'!A1"/>
    <hyperlink ref="B44" location="Kyaukme!A1" display="Kyaukme!A1"/>
    <hyperlink ref="B45" location="' Naungkhio'!A1" display="' Naungkhio'!A1"/>
    <hyperlink ref="B46" location="Hsipaw!A1" display="Hsipaw!A1"/>
    <hyperlink ref="B47" location="Namtu!A1" display="Namtu!A1"/>
    <hyperlink ref="B48" location="'Namsan (North)'!A1" display="'Namsan (North)'!A1"/>
    <hyperlink ref="B49" location="Momeik!A1" display="Momeik!A1"/>
    <hyperlink ref="B50" location="Mabane!A1" display="Mabane!A1"/>
    <hyperlink ref="B51" location="Manton!A1" display="Manton!A1"/>
    <hyperlink ref="B52" location="'Minengaw(Sub-Tsp)'!A1" display="'Minengaw(Sub-Tsp)'!A1"/>
    <hyperlink ref="B53" location="'Minelon(Sub-Tsp)'!A1" display="'Minelon(Sub-Tsp)'!A1"/>
    <hyperlink ref="B54" location="Kunlon!A1" display="Kunlon!A1"/>
    <hyperlink ref="B55" location="Laukine!A1" display="Laukine!A1"/>
    <hyperlink ref="B56" location="Kongyan!A1" display="Kongyan!A1"/>
    <hyperlink ref="B57" location="'Chinshwehaw(Sub-Tsp)'!A1" display="'Chinshwehaw(Sub-Tsp)'!A1"/>
    <hyperlink ref="B58" location="'Mawhtike (Sub-Tsp)'!A1" display="'Mawhtike (Sub-Tsp)'!A1"/>
    <hyperlink ref="B67" location="Kengtung!A1" display="Kengtung!A1"/>
    <hyperlink ref="B68" location="Minekat!A1" display="Minekat!A1"/>
    <hyperlink ref="B69" location="Mineyan!A1" display="Mineyan!A1"/>
    <hyperlink ref="B70" location="Minelar!A1" display="Minelar!A1"/>
    <hyperlink ref="B71" location="'Minw Pauk(Sub-Tsp)'!A1" display="'Minw Pauk(Sub-Tsp)'!A1"/>
    <hyperlink ref="B72" location="Minesat!A1" display="Minesat!A1"/>
    <hyperlink ref="B73" location="Minepyin!A1" display="Minepyin!A1"/>
    <hyperlink ref="B74" location="Minetung!A1" display="Minetung!A1"/>
    <hyperlink ref="B75" location="'Minekoke(Sub-Tsp)'!A1" display="'Minekoke(Sub-Tsp)'!A1"/>
    <hyperlink ref="B76" location="'Tontar (Sub-Tsp)'!A1" display="'Tontar (Sub-Tsp)'!A1"/>
    <hyperlink ref="B77" location="'Ponparkyin(Sub-Tsp)'!A1" display="'Ponparkyin(Sub-Tsp)'!A1"/>
    <hyperlink ref="B78" location="'Monehta (Subn-Tsp)'!A1" display="'Monehta (Subn-Tsp)'!A1"/>
    <hyperlink ref="B79" location="Tachileik!A1" display="Tachileik!A1"/>
    <hyperlink ref="B80" location="'Talay (Sub-Tsp)'!A1" display="'Talay (Sub-Tsp)'!A1"/>
    <hyperlink ref="B81" location="'Kenglat(Sub-Tsp)'!A1" display="'Kenglat(Sub-Tsp)'!A1"/>
    <hyperlink ref="B82" location="Minephyat!A1" display="Minephyat!A1"/>
    <hyperlink ref="B83" location="Mineyaung!A1" display="Mineyaung!A1"/>
    <hyperlink ref="B84" location="'Mineyu(Sub-Tsp)'!A1" display="'Mineyu(Sub-Tsp)'!A1"/>
    <hyperlink ref="B59" r:id="rId1" location="Hopan!A1"/>
    <hyperlink ref="B60" r:id="rId2" location="Minemaw!A1"/>
    <hyperlink ref="B61" r:id="rId3" location="Panwine!A1"/>
    <hyperlink ref="B62" r:id="rId4" location="'Panlon(Sub-Tsp)'!A1"/>
    <hyperlink ref="B63" r:id="rId5" location="Makman!A1"/>
    <hyperlink ref="B64" r:id="rId6" location="'Pan San(Pan Kham)'!A1"/>
    <hyperlink ref="B65" r:id="rId7" location="Naphang!A1"/>
    <hyperlink ref="B66" r:id="rId8" location="'ManKan(Sub-Tsp)'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zoomScale="90" zoomScaleNormal="90" workbookViewId="0">
      <selection sqref="A1:E1"/>
    </sheetView>
  </sheetViews>
  <sheetFormatPr defaultRowHeight="21" x14ac:dyDescent="0.35"/>
  <cols>
    <col min="1" max="1" width="9.140625" style="5"/>
    <col min="2" max="2" width="32.28515625" style="5" customWidth="1"/>
    <col min="3" max="5" width="15.7109375" style="5" customWidth="1"/>
    <col min="6" max="6" width="9.140625" style="5"/>
    <col min="7" max="7" width="11" style="5" bestFit="1" customWidth="1"/>
    <col min="8" max="9" width="13.5703125" style="5" customWidth="1"/>
    <col min="10" max="10" width="9.140625" style="5"/>
    <col min="11" max="11" width="11" style="5" bestFit="1" customWidth="1"/>
    <col min="12" max="12" width="13" style="5" customWidth="1"/>
    <col min="13" max="13" width="16.140625" style="5" customWidth="1"/>
    <col min="14" max="16384" width="9.140625" style="5"/>
  </cols>
  <sheetData>
    <row r="1" spans="1:9" s="4" customFormat="1" ht="25.5" customHeight="1" x14ac:dyDescent="0.4">
      <c r="A1" s="177" t="s">
        <v>1344</v>
      </c>
      <c r="B1" s="177"/>
      <c r="C1" s="177"/>
      <c r="D1" s="177"/>
      <c r="E1" s="177"/>
      <c r="F1" s="1"/>
      <c r="G1" s="1"/>
      <c r="H1" s="1"/>
    </row>
    <row r="2" spans="1:9" s="4" customFormat="1" ht="25.5" customHeight="1" x14ac:dyDescent="0.4">
      <c r="A2" s="1"/>
      <c r="D2" s="1"/>
      <c r="E2" s="78" t="s">
        <v>1341</v>
      </c>
      <c r="F2" s="1"/>
      <c r="G2" s="1"/>
      <c r="H2" s="1"/>
    </row>
    <row r="3" spans="1:9" s="4" customFormat="1" ht="10.5" customHeight="1" x14ac:dyDescent="0.4">
      <c r="A3" s="1"/>
      <c r="B3" s="2"/>
      <c r="C3" s="2"/>
      <c r="D3" s="1"/>
      <c r="E3" s="1"/>
      <c r="F3" s="1"/>
      <c r="G3" s="1"/>
      <c r="H3" s="1"/>
    </row>
    <row r="4" spans="1:9" s="4" customFormat="1" ht="21.75" x14ac:dyDescent="0.4">
      <c r="A4" s="173" t="s">
        <v>1339</v>
      </c>
      <c r="B4" s="173" t="s">
        <v>1422</v>
      </c>
      <c r="C4" s="174" t="s">
        <v>1340</v>
      </c>
      <c r="D4" s="175"/>
      <c r="E4" s="176"/>
      <c r="F4" s="1"/>
    </row>
    <row r="5" spans="1:9" x14ac:dyDescent="0.35">
      <c r="A5" s="173"/>
      <c r="B5" s="173"/>
      <c r="C5" s="22" t="s">
        <v>0</v>
      </c>
      <c r="D5" s="22" t="s">
        <v>1</v>
      </c>
      <c r="E5" s="22" t="s">
        <v>2</v>
      </c>
    </row>
    <row r="6" spans="1:9" ht="24.75" customHeight="1" x14ac:dyDescent="0.35">
      <c r="A6" s="14"/>
      <c r="B6" s="26" t="s">
        <v>0</v>
      </c>
      <c r="C6" s="26">
        <v>381639</v>
      </c>
      <c r="D6" s="26">
        <v>185954</v>
      </c>
      <c r="E6" s="26">
        <v>195685</v>
      </c>
    </row>
    <row r="7" spans="1:9" ht="7.5" customHeight="1" x14ac:dyDescent="0.35">
      <c r="A7" s="15"/>
      <c r="B7" s="25"/>
      <c r="C7" s="25"/>
      <c r="D7" s="25"/>
      <c r="E7" s="25"/>
    </row>
    <row r="8" spans="1:9" ht="23.1" customHeight="1" x14ac:dyDescent="0.35">
      <c r="A8" s="23"/>
      <c r="B8" s="24" t="s">
        <v>1338</v>
      </c>
      <c r="C8" s="24">
        <f>C10+C34+C48</f>
        <v>264804</v>
      </c>
      <c r="D8" s="24">
        <f t="shared" ref="D8:E8" si="0">D10+D34+D48</f>
        <v>126928</v>
      </c>
      <c r="E8" s="24">
        <f t="shared" si="0"/>
        <v>137876</v>
      </c>
    </row>
    <row r="9" spans="1:9" ht="23.1" customHeight="1" x14ac:dyDescent="0.35">
      <c r="A9" s="23"/>
      <c r="B9" s="23"/>
      <c r="C9" s="23"/>
      <c r="D9" s="23"/>
      <c r="E9" s="23"/>
    </row>
    <row r="10" spans="1:9" ht="23.1" customHeight="1" x14ac:dyDescent="0.35">
      <c r="A10" s="23"/>
      <c r="B10" s="24" t="s">
        <v>1411</v>
      </c>
      <c r="C10" s="24">
        <f>SUM(C11:C32)</f>
        <v>168393</v>
      </c>
      <c r="D10" s="24">
        <f t="shared" ref="D10:E10" si="1">SUM(D11:D32)</f>
        <v>80087</v>
      </c>
      <c r="E10" s="24">
        <f t="shared" si="1"/>
        <v>88306</v>
      </c>
      <c r="I10" s="39"/>
    </row>
    <row r="11" spans="1:9" ht="23.1" customHeight="1" x14ac:dyDescent="0.35">
      <c r="A11" s="23">
        <v>1</v>
      </c>
      <c r="B11" s="27" t="s">
        <v>3</v>
      </c>
      <c r="C11" s="27">
        <v>16839</v>
      </c>
      <c r="D11" s="27">
        <v>7938</v>
      </c>
      <c r="E11" s="27">
        <v>8901</v>
      </c>
    </row>
    <row r="12" spans="1:9" ht="23.1" customHeight="1" x14ac:dyDescent="0.35">
      <c r="A12" s="23">
        <v>2</v>
      </c>
      <c r="B12" s="27" t="s">
        <v>4</v>
      </c>
      <c r="C12" s="27">
        <v>6397</v>
      </c>
      <c r="D12" s="27">
        <v>2832</v>
      </c>
      <c r="E12" s="27">
        <v>3565</v>
      </c>
    </row>
    <row r="13" spans="1:9" ht="23.1" customHeight="1" x14ac:dyDescent="0.35">
      <c r="A13" s="23">
        <v>3</v>
      </c>
      <c r="B13" s="27" t="s">
        <v>5</v>
      </c>
      <c r="C13" s="27">
        <v>2941</v>
      </c>
      <c r="D13" s="27">
        <v>1341</v>
      </c>
      <c r="E13" s="27">
        <v>1600</v>
      </c>
    </row>
    <row r="14" spans="1:9" ht="23.1" customHeight="1" x14ac:dyDescent="0.35">
      <c r="A14" s="23">
        <v>4</v>
      </c>
      <c r="B14" s="27" t="s">
        <v>6</v>
      </c>
      <c r="C14" s="27">
        <v>8969</v>
      </c>
      <c r="D14" s="27">
        <v>4107</v>
      </c>
      <c r="E14" s="27">
        <v>4862</v>
      </c>
    </row>
    <row r="15" spans="1:9" ht="23.1" customHeight="1" x14ac:dyDescent="0.35">
      <c r="A15" s="23">
        <v>5</v>
      </c>
      <c r="B15" s="27" t="s">
        <v>7</v>
      </c>
      <c r="C15" s="27">
        <v>2313</v>
      </c>
      <c r="D15" s="27">
        <v>1012</v>
      </c>
      <c r="E15" s="27">
        <v>1301</v>
      </c>
    </row>
    <row r="16" spans="1:9" ht="23.1" customHeight="1" x14ac:dyDescent="0.35">
      <c r="A16" s="23">
        <v>6</v>
      </c>
      <c r="B16" s="27" t="s">
        <v>8</v>
      </c>
      <c r="C16" s="27">
        <v>10504</v>
      </c>
      <c r="D16" s="27">
        <v>4802</v>
      </c>
      <c r="E16" s="27">
        <v>5702</v>
      </c>
    </row>
    <row r="17" spans="1:5" ht="23.1" customHeight="1" x14ac:dyDescent="0.35">
      <c r="A17" s="23">
        <v>7</v>
      </c>
      <c r="B17" s="27" t="s">
        <v>9</v>
      </c>
      <c r="C17" s="27">
        <v>2463</v>
      </c>
      <c r="D17" s="27">
        <v>1153</v>
      </c>
      <c r="E17" s="27">
        <v>1310</v>
      </c>
    </row>
    <row r="18" spans="1:5" ht="23.1" customHeight="1" x14ac:dyDescent="0.35">
      <c r="A18" s="23">
        <v>8</v>
      </c>
      <c r="B18" s="27" t="s">
        <v>10</v>
      </c>
      <c r="C18" s="27">
        <v>6380</v>
      </c>
      <c r="D18" s="27">
        <v>3048</v>
      </c>
      <c r="E18" s="27">
        <v>3332</v>
      </c>
    </row>
    <row r="19" spans="1:5" ht="23.1" customHeight="1" x14ac:dyDescent="0.35">
      <c r="A19" s="23">
        <v>9</v>
      </c>
      <c r="B19" s="27" t="s">
        <v>11</v>
      </c>
      <c r="C19" s="27">
        <v>1508</v>
      </c>
      <c r="D19" s="27">
        <v>746</v>
      </c>
      <c r="E19" s="27">
        <v>762</v>
      </c>
    </row>
    <row r="20" spans="1:5" ht="23.1" customHeight="1" x14ac:dyDescent="0.35">
      <c r="A20" s="23">
        <v>10</v>
      </c>
      <c r="B20" s="27" t="s">
        <v>12</v>
      </c>
      <c r="C20" s="27">
        <v>9607</v>
      </c>
      <c r="D20" s="27">
        <v>4631</v>
      </c>
      <c r="E20" s="27">
        <v>4976</v>
      </c>
    </row>
    <row r="21" spans="1:5" ht="23.1" customHeight="1" x14ac:dyDescent="0.35">
      <c r="A21" s="23">
        <v>11</v>
      </c>
      <c r="B21" s="27" t="s">
        <v>13</v>
      </c>
      <c r="C21" s="27">
        <v>3141</v>
      </c>
      <c r="D21" s="27">
        <v>1358</v>
      </c>
      <c r="E21" s="27">
        <v>1783</v>
      </c>
    </row>
    <row r="22" spans="1:5" ht="23.1" customHeight="1" x14ac:dyDescent="0.35">
      <c r="A22" s="23">
        <v>12</v>
      </c>
      <c r="B22" s="27" t="s">
        <v>14</v>
      </c>
      <c r="C22" s="27">
        <v>2114</v>
      </c>
      <c r="D22" s="27">
        <v>1022</v>
      </c>
      <c r="E22" s="27">
        <v>1092</v>
      </c>
    </row>
    <row r="23" spans="1:5" ht="23.1" customHeight="1" x14ac:dyDescent="0.35">
      <c r="A23" s="23">
        <v>13</v>
      </c>
      <c r="B23" s="27" t="s">
        <v>15</v>
      </c>
      <c r="C23" s="27">
        <v>1263</v>
      </c>
      <c r="D23" s="27">
        <v>584</v>
      </c>
      <c r="E23" s="27">
        <v>679</v>
      </c>
    </row>
    <row r="24" spans="1:5" ht="23.1" customHeight="1" x14ac:dyDescent="0.35">
      <c r="A24" s="23">
        <v>14</v>
      </c>
      <c r="B24" s="27" t="s">
        <v>16</v>
      </c>
      <c r="C24" s="27">
        <v>7308</v>
      </c>
      <c r="D24" s="27">
        <v>3502</v>
      </c>
      <c r="E24" s="27">
        <v>3806</v>
      </c>
    </row>
    <row r="25" spans="1:5" ht="23.1" customHeight="1" x14ac:dyDescent="0.35">
      <c r="A25" s="23">
        <v>15</v>
      </c>
      <c r="B25" s="27" t="s">
        <v>17</v>
      </c>
      <c r="C25" s="27">
        <v>7190</v>
      </c>
      <c r="D25" s="27">
        <v>3498</v>
      </c>
      <c r="E25" s="27">
        <v>3692</v>
      </c>
    </row>
    <row r="26" spans="1:5" ht="23.1" customHeight="1" x14ac:dyDescent="0.35">
      <c r="A26" s="23">
        <v>16</v>
      </c>
      <c r="B26" s="27" t="s">
        <v>18</v>
      </c>
      <c r="C26" s="27">
        <v>4900</v>
      </c>
      <c r="D26" s="27">
        <v>2307</v>
      </c>
      <c r="E26" s="27">
        <v>2593</v>
      </c>
    </row>
    <row r="27" spans="1:5" ht="23.1" customHeight="1" x14ac:dyDescent="0.35">
      <c r="A27" s="23">
        <v>17</v>
      </c>
      <c r="B27" s="27" t="s">
        <v>19</v>
      </c>
      <c r="C27" s="27">
        <v>7306</v>
      </c>
      <c r="D27" s="27">
        <v>3253</v>
      </c>
      <c r="E27" s="27">
        <v>4053</v>
      </c>
    </row>
    <row r="28" spans="1:5" ht="23.1" customHeight="1" x14ac:dyDescent="0.35">
      <c r="A28" s="23">
        <v>18</v>
      </c>
      <c r="B28" s="27" t="s">
        <v>20</v>
      </c>
      <c r="C28" s="27">
        <v>4015</v>
      </c>
      <c r="D28" s="27">
        <v>1912</v>
      </c>
      <c r="E28" s="27">
        <v>2103</v>
      </c>
    </row>
    <row r="29" spans="1:5" ht="23.1" customHeight="1" x14ac:dyDescent="0.35">
      <c r="A29" s="23">
        <v>19</v>
      </c>
      <c r="B29" s="27" t="s">
        <v>21</v>
      </c>
      <c r="C29" s="27">
        <v>29344</v>
      </c>
      <c r="D29" s="27">
        <v>14156</v>
      </c>
      <c r="E29" s="27">
        <v>15188</v>
      </c>
    </row>
    <row r="30" spans="1:5" ht="23.1" customHeight="1" x14ac:dyDescent="0.35">
      <c r="A30" s="23">
        <v>20</v>
      </c>
      <c r="B30" s="27" t="s">
        <v>22</v>
      </c>
      <c r="C30" s="27">
        <v>11984</v>
      </c>
      <c r="D30" s="27">
        <v>6059</v>
      </c>
      <c r="E30" s="27">
        <v>5925</v>
      </c>
    </row>
    <row r="31" spans="1:5" ht="23.1" customHeight="1" x14ac:dyDescent="0.35">
      <c r="A31" s="23">
        <v>21</v>
      </c>
      <c r="B31" s="27" t="s">
        <v>23</v>
      </c>
      <c r="C31" s="27">
        <v>17763</v>
      </c>
      <c r="D31" s="27">
        <v>8688</v>
      </c>
      <c r="E31" s="27">
        <v>9075</v>
      </c>
    </row>
    <row r="32" spans="1:5" ht="23.1" customHeight="1" x14ac:dyDescent="0.35">
      <c r="A32" s="23">
        <v>22</v>
      </c>
      <c r="B32" s="27" t="s">
        <v>24</v>
      </c>
      <c r="C32" s="27">
        <v>4144</v>
      </c>
      <c r="D32" s="27">
        <v>2138</v>
      </c>
      <c r="E32" s="27">
        <v>2006</v>
      </c>
    </row>
    <row r="33" spans="1:9" ht="23.1" customHeight="1" x14ac:dyDescent="0.35">
      <c r="A33" s="23"/>
      <c r="B33" s="24"/>
      <c r="C33" s="23"/>
      <c r="D33" s="23"/>
      <c r="E33" s="23"/>
    </row>
    <row r="34" spans="1:9" ht="23.1" customHeight="1" x14ac:dyDescent="0.35">
      <c r="A34" s="23"/>
      <c r="B34" s="24" t="s">
        <v>1412</v>
      </c>
      <c r="C34" s="24">
        <f>SUM(C35:C46)</f>
        <v>56555</v>
      </c>
      <c r="D34" s="24">
        <f t="shared" ref="D34:E34" si="2">SUM(D35:D46)</f>
        <v>27547</v>
      </c>
      <c r="E34" s="24">
        <f t="shared" si="2"/>
        <v>29008</v>
      </c>
      <c r="I34" s="52"/>
    </row>
    <row r="35" spans="1:9" ht="23.1" customHeight="1" x14ac:dyDescent="0.35">
      <c r="A35" s="23">
        <v>23</v>
      </c>
      <c r="B35" s="27" t="s">
        <v>25</v>
      </c>
      <c r="C35" s="27">
        <v>3619</v>
      </c>
      <c r="D35" s="27">
        <v>1968</v>
      </c>
      <c r="E35" s="27">
        <v>1651</v>
      </c>
    </row>
    <row r="36" spans="1:9" ht="23.1" customHeight="1" x14ac:dyDescent="0.35">
      <c r="A36" s="23">
        <v>24</v>
      </c>
      <c r="B36" s="27" t="s">
        <v>26</v>
      </c>
      <c r="C36" s="27">
        <v>2092</v>
      </c>
      <c r="D36" s="27">
        <v>1013</v>
      </c>
      <c r="E36" s="27">
        <v>1079</v>
      </c>
    </row>
    <row r="37" spans="1:9" ht="23.1" customHeight="1" x14ac:dyDescent="0.35">
      <c r="A37" s="23">
        <v>25</v>
      </c>
      <c r="B37" s="27" t="s">
        <v>27</v>
      </c>
      <c r="C37" s="27">
        <v>4038</v>
      </c>
      <c r="D37" s="27">
        <v>2032</v>
      </c>
      <c r="E37" s="27">
        <v>2006</v>
      </c>
    </row>
    <row r="38" spans="1:9" ht="23.1" customHeight="1" x14ac:dyDescent="0.35">
      <c r="A38" s="23">
        <v>26</v>
      </c>
      <c r="B38" s="27" t="s">
        <v>28</v>
      </c>
      <c r="C38" s="27">
        <v>3540</v>
      </c>
      <c r="D38" s="27">
        <v>1744</v>
      </c>
      <c r="E38" s="27">
        <v>1796</v>
      </c>
    </row>
    <row r="39" spans="1:9" ht="23.1" customHeight="1" x14ac:dyDescent="0.35">
      <c r="A39" s="23">
        <v>27</v>
      </c>
      <c r="B39" s="27" t="s">
        <v>29</v>
      </c>
      <c r="C39" s="27">
        <v>2650</v>
      </c>
      <c r="D39" s="27">
        <v>1286</v>
      </c>
      <c r="E39" s="27">
        <v>1364</v>
      </c>
    </row>
    <row r="40" spans="1:9" ht="23.1" customHeight="1" x14ac:dyDescent="0.35">
      <c r="A40" s="23">
        <v>28</v>
      </c>
      <c r="B40" s="27" t="s">
        <v>30</v>
      </c>
      <c r="C40" s="27">
        <v>8364</v>
      </c>
      <c r="D40" s="27">
        <v>3961</v>
      </c>
      <c r="E40" s="27">
        <v>4403</v>
      </c>
    </row>
    <row r="41" spans="1:9" ht="23.1" customHeight="1" x14ac:dyDescent="0.35">
      <c r="A41" s="23">
        <v>29</v>
      </c>
      <c r="B41" s="27" t="s">
        <v>31</v>
      </c>
      <c r="C41" s="27">
        <v>4652</v>
      </c>
      <c r="D41" s="27">
        <v>2163</v>
      </c>
      <c r="E41" s="27">
        <v>2489</v>
      </c>
    </row>
    <row r="42" spans="1:9" ht="23.1" customHeight="1" x14ac:dyDescent="0.35">
      <c r="A42" s="23">
        <v>30</v>
      </c>
      <c r="B42" s="27" t="s">
        <v>32</v>
      </c>
      <c r="C42" s="27">
        <v>6456</v>
      </c>
      <c r="D42" s="27">
        <v>3016</v>
      </c>
      <c r="E42" s="27">
        <v>3440</v>
      </c>
    </row>
    <row r="43" spans="1:9" ht="23.1" customHeight="1" x14ac:dyDescent="0.35">
      <c r="A43" s="23">
        <v>31</v>
      </c>
      <c r="B43" s="27" t="s">
        <v>33</v>
      </c>
      <c r="C43" s="27">
        <v>6869</v>
      </c>
      <c r="D43" s="27">
        <v>3174</v>
      </c>
      <c r="E43" s="27">
        <v>3695</v>
      </c>
    </row>
    <row r="44" spans="1:9" ht="23.1" customHeight="1" x14ac:dyDescent="0.35">
      <c r="A44" s="23">
        <v>32</v>
      </c>
      <c r="B44" s="27" t="s">
        <v>34</v>
      </c>
      <c r="C44" s="27">
        <v>6468</v>
      </c>
      <c r="D44" s="27">
        <v>3015</v>
      </c>
      <c r="E44" s="27">
        <v>3453</v>
      </c>
    </row>
    <row r="45" spans="1:9" ht="23.1" customHeight="1" x14ac:dyDescent="0.35">
      <c r="A45" s="23">
        <v>33</v>
      </c>
      <c r="B45" s="27" t="s">
        <v>35</v>
      </c>
      <c r="C45" s="27">
        <v>1469</v>
      </c>
      <c r="D45" s="27">
        <v>688</v>
      </c>
      <c r="E45" s="27">
        <v>781</v>
      </c>
    </row>
    <row r="46" spans="1:9" ht="23.1" customHeight="1" x14ac:dyDescent="0.35">
      <c r="A46" s="23">
        <v>34</v>
      </c>
      <c r="B46" s="27" t="s">
        <v>36</v>
      </c>
      <c r="C46" s="27">
        <v>6338</v>
      </c>
      <c r="D46" s="27">
        <v>3487</v>
      </c>
      <c r="E46" s="27">
        <v>2851</v>
      </c>
    </row>
    <row r="47" spans="1:9" ht="23.1" customHeight="1" x14ac:dyDescent="0.35">
      <c r="A47" s="23"/>
      <c r="B47" s="24"/>
      <c r="C47" s="23"/>
      <c r="D47" s="23"/>
      <c r="E47" s="23"/>
    </row>
    <row r="48" spans="1:9" ht="23.1" customHeight="1" x14ac:dyDescent="0.35">
      <c r="A48" s="23"/>
      <c r="B48" s="24" t="s">
        <v>1413</v>
      </c>
      <c r="C48" s="24">
        <f>SUM(C49:C59)</f>
        <v>39856</v>
      </c>
      <c r="D48" s="24">
        <f t="shared" ref="D48:E48" si="3">SUM(D49:D59)</f>
        <v>19294</v>
      </c>
      <c r="E48" s="24">
        <f t="shared" si="3"/>
        <v>20562</v>
      </c>
    </row>
    <row r="49" spans="1:5" ht="23.1" customHeight="1" x14ac:dyDescent="0.35">
      <c r="A49" s="23">
        <v>35</v>
      </c>
      <c r="B49" s="27" t="s">
        <v>37</v>
      </c>
      <c r="C49" s="27">
        <v>4358</v>
      </c>
      <c r="D49" s="27">
        <v>2184</v>
      </c>
      <c r="E49" s="27">
        <v>2174</v>
      </c>
    </row>
    <row r="50" spans="1:5" ht="23.1" customHeight="1" x14ac:dyDescent="0.35">
      <c r="A50" s="23">
        <v>36</v>
      </c>
      <c r="B50" s="27" t="s">
        <v>38</v>
      </c>
      <c r="C50" s="27">
        <v>2685</v>
      </c>
      <c r="D50" s="27">
        <v>1353</v>
      </c>
      <c r="E50" s="27">
        <v>1332</v>
      </c>
    </row>
    <row r="51" spans="1:5" ht="23.1" customHeight="1" x14ac:dyDescent="0.35">
      <c r="A51" s="23">
        <v>37</v>
      </c>
      <c r="B51" s="27" t="s">
        <v>39</v>
      </c>
      <c r="C51" s="27">
        <v>5000</v>
      </c>
      <c r="D51" s="27">
        <v>2394</v>
      </c>
      <c r="E51" s="27">
        <v>2606</v>
      </c>
    </row>
    <row r="52" spans="1:5" ht="23.1" customHeight="1" x14ac:dyDescent="0.35">
      <c r="A52" s="23">
        <v>38</v>
      </c>
      <c r="B52" s="27" t="s">
        <v>40</v>
      </c>
      <c r="C52" s="27">
        <v>2172</v>
      </c>
      <c r="D52" s="27">
        <v>996</v>
      </c>
      <c r="E52" s="27">
        <v>1176</v>
      </c>
    </row>
    <row r="53" spans="1:5" ht="23.1" customHeight="1" x14ac:dyDescent="0.35">
      <c r="A53" s="23">
        <v>39</v>
      </c>
      <c r="B53" s="27" t="s">
        <v>41</v>
      </c>
      <c r="C53" s="27">
        <v>2739</v>
      </c>
      <c r="D53" s="27">
        <v>1261</v>
      </c>
      <c r="E53" s="27">
        <v>1478</v>
      </c>
    </row>
    <row r="54" spans="1:5" ht="23.1" customHeight="1" x14ac:dyDescent="0.35">
      <c r="A54" s="23">
        <v>40</v>
      </c>
      <c r="B54" s="27" t="s">
        <v>42</v>
      </c>
      <c r="C54" s="27">
        <v>3530</v>
      </c>
      <c r="D54" s="27">
        <v>1653</v>
      </c>
      <c r="E54" s="27">
        <v>1877</v>
      </c>
    </row>
    <row r="55" spans="1:5" ht="23.1" customHeight="1" x14ac:dyDescent="0.35">
      <c r="A55" s="23">
        <v>41</v>
      </c>
      <c r="B55" s="27" t="s">
        <v>43</v>
      </c>
      <c r="C55" s="27">
        <v>5024</v>
      </c>
      <c r="D55" s="27">
        <v>2383</v>
      </c>
      <c r="E55" s="27">
        <v>2641</v>
      </c>
    </row>
    <row r="56" spans="1:5" ht="23.1" customHeight="1" x14ac:dyDescent="0.35">
      <c r="A56" s="23">
        <v>42</v>
      </c>
      <c r="B56" s="27" t="s">
        <v>44</v>
      </c>
      <c r="C56" s="27">
        <v>1992</v>
      </c>
      <c r="D56" s="27">
        <v>971</v>
      </c>
      <c r="E56" s="27">
        <v>1021</v>
      </c>
    </row>
    <row r="57" spans="1:5" ht="23.1" customHeight="1" x14ac:dyDescent="0.35">
      <c r="A57" s="23">
        <v>43</v>
      </c>
      <c r="B57" s="27" t="s">
        <v>45</v>
      </c>
      <c r="C57" s="27">
        <v>4957</v>
      </c>
      <c r="D57" s="27">
        <v>2515</v>
      </c>
      <c r="E57" s="27">
        <v>2442</v>
      </c>
    </row>
    <row r="58" spans="1:5" ht="23.1" customHeight="1" x14ac:dyDescent="0.35">
      <c r="A58" s="23">
        <v>44</v>
      </c>
      <c r="B58" s="27" t="s">
        <v>46</v>
      </c>
      <c r="C58" s="27">
        <v>7179</v>
      </c>
      <c r="D58" s="27">
        <v>3449</v>
      </c>
      <c r="E58" s="27">
        <v>3730</v>
      </c>
    </row>
    <row r="59" spans="1:5" ht="23.1" customHeight="1" x14ac:dyDescent="0.35">
      <c r="A59" s="23">
        <v>45</v>
      </c>
      <c r="B59" s="27" t="s">
        <v>47</v>
      </c>
      <c r="C59" s="27">
        <v>220</v>
      </c>
      <c r="D59" s="27">
        <v>135</v>
      </c>
      <c r="E59" s="27">
        <v>85</v>
      </c>
    </row>
    <row r="60" spans="1:5" ht="23.1" customHeight="1" x14ac:dyDescent="0.35">
      <c r="A60" s="23"/>
      <c r="B60" s="24" t="s">
        <v>1410</v>
      </c>
      <c r="C60" s="24">
        <f>SUM(C61:C77)</f>
        <v>116835</v>
      </c>
      <c r="D60" s="24">
        <f t="shared" ref="D60:E60" si="4">SUM(D61:D77)</f>
        <v>59026</v>
      </c>
      <c r="E60" s="24">
        <f t="shared" si="4"/>
        <v>57809</v>
      </c>
    </row>
    <row r="61" spans="1:5" ht="23.1" customHeight="1" x14ac:dyDescent="0.35">
      <c r="A61" s="23">
        <v>1</v>
      </c>
      <c r="B61" s="27" t="s">
        <v>48</v>
      </c>
      <c r="C61" s="27">
        <v>8311</v>
      </c>
      <c r="D61" s="27">
        <v>4040</v>
      </c>
      <c r="E61" s="27">
        <v>4271</v>
      </c>
    </row>
    <row r="62" spans="1:5" ht="23.1" customHeight="1" x14ac:dyDescent="0.35">
      <c r="A62" s="23">
        <v>2</v>
      </c>
      <c r="B62" s="27" t="s">
        <v>49</v>
      </c>
      <c r="C62" s="27">
        <v>8751</v>
      </c>
      <c r="D62" s="27">
        <v>4141</v>
      </c>
      <c r="E62" s="27">
        <v>4610</v>
      </c>
    </row>
    <row r="63" spans="1:5" ht="23.1" customHeight="1" x14ac:dyDescent="0.35">
      <c r="A63" s="23">
        <v>3</v>
      </c>
      <c r="B63" s="27" t="s">
        <v>50</v>
      </c>
      <c r="C63" s="27">
        <v>2143</v>
      </c>
      <c r="D63" s="27">
        <v>1153</v>
      </c>
      <c r="E63" s="27">
        <v>990</v>
      </c>
    </row>
    <row r="64" spans="1:5" ht="23.1" customHeight="1" x14ac:dyDescent="0.35">
      <c r="A64" s="23">
        <v>4</v>
      </c>
      <c r="B64" s="27" t="s">
        <v>51</v>
      </c>
      <c r="C64" s="27">
        <v>6562</v>
      </c>
      <c r="D64" s="27">
        <v>3261</v>
      </c>
      <c r="E64" s="27">
        <v>3301</v>
      </c>
    </row>
    <row r="65" spans="1:5" ht="23.1" customHeight="1" x14ac:dyDescent="0.35">
      <c r="A65" s="23">
        <v>5</v>
      </c>
      <c r="B65" s="27" t="s">
        <v>52</v>
      </c>
      <c r="C65" s="27">
        <v>5068</v>
      </c>
      <c r="D65" s="27">
        <v>2296</v>
      </c>
      <c r="E65" s="27">
        <v>2772</v>
      </c>
    </row>
    <row r="66" spans="1:5" ht="23.1" customHeight="1" x14ac:dyDescent="0.35">
      <c r="A66" s="23">
        <v>6</v>
      </c>
      <c r="B66" s="27" t="s">
        <v>53</v>
      </c>
      <c r="C66" s="27">
        <v>5683</v>
      </c>
      <c r="D66" s="27">
        <v>2792</v>
      </c>
      <c r="E66" s="27">
        <v>2891</v>
      </c>
    </row>
    <row r="67" spans="1:5" ht="23.1" customHeight="1" x14ac:dyDescent="0.35">
      <c r="A67" s="23">
        <v>7</v>
      </c>
      <c r="B67" s="27" t="s">
        <v>54</v>
      </c>
      <c r="C67" s="27">
        <v>6426</v>
      </c>
      <c r="D67" s="27">
        <v>3263</v>
      </c>
      <c r="E67" s="27">
        <v>3163</v>
      </c>
    </row>
    <row r="68" spans="1:5" ht="23.1" customHeight="1" x14ac:dyDescent="0.35">
      <c r="A68" s="23">
        <v>8</v>
      </c>
      <c r="B68" s="27" t="s">
        <v>55</v>
      </c>
      <c r="C68" s="27">
        <v>7508</v>
      </c>
      <c r="D68" s="27">
        <v>3863</v>
      </c>
      <c r="E68" s="27">
        <v>3645</v>
      </c>
    </row>
    <row r="69" spans="1:5" ht="23.1" customHeight="1" x14ac:dyDescent="0.35">
      <c r="A69" s="23">
        <v>9</v>
      </c>
      <c r="B69" s="27" t="s">
        <v>56</v>
      </c>
      <c r="C69" s="27">
        <v>8576</v>
      </c>
      <c r="D69" s="27">
        <v>4654</v>
      </c>
      <c r="E69" s="27">
        <v>3922</v>
      </c>
    </row>
    <row r="70" spans="1:5" ht="23.1" customHeight="1" x14ac:dyDescent="0.35">
      <c r="A70" s="23">
        <v>10</v>
      </c>
      <c r="B70" s="27" t="s">
        <v>57</v>
      </c>
      <c r="C70" s="27">
        <v>1747</v>
      </c>
      <c r="D70" s="27">
        <v>886</v>
      </c>
      <c r="E70" s="27">
        <v>861</v>
      </c>
    </row>
    <row r="71" spans="1:5" ht="23.1" customHeight="1" x14ac:dyDescent="0.35">
      <c r="A71" s="23">
        <v>11</v>
      </c>
      <c r="B71" s="27" t="s">
        <v>58</v>
      </c>
      <c r="C71" s="27">
        <v>14429</v>
      </c>
      <c r="D71" s="27">
        <v>7147</v>
      </c>
      <c r="E71" s="27">
        <v>7282</v>
      </c>
    </row>
    <row r="72" spans="1:5" ht="23.1" customHeight="1" x14ac:dyDescent="0.35">
      <c r="A72" s="23">
        <v>12</v>
      </c>
      <c r="B72" s="27" t="s">
        <v>59</v>
      </c>
      <c r="C72" s="27">
        <v>2555</v>
      </c>
      <c r="D72" s="27">
        <v>1292</v>
      </c>
      <c r="E72" s="27">
        <v>1263</v>
      </c>
    </row>
    <row r="73" spans="1:5" ht="23.1" customHeight="1" x14ac:dyDescent="0.35">
      <c r="A73" s="23">
        <v>13</v>
      </c>
      <c r="B73" s="27" t="s">
        <v>60</v>
      </c>
      <c r="C73" s="27">
        <v>4659</v>
      </c>
      <c r="D73" s="27">
        <v>2360</v>
      </c>
      <c r="E73" s="27">
        <v>2299</v>
      </c>
    </row>
    <row r="74" spans="1:5" ht="23.1" customHeight="1" x14ac:dyDescent="0.35">
      <c r="A74" s="23">
        <v>14</v>
      </c>
      <c r="B74" s="27" t="s">
        <v>61</v>
      </c>
      <c r="C74" s="27">
        <v>11197</v>
      </c>
      <c r="D74" s="27">
        <v>6393</v>
      </c>
      <c r="E74" s="27">
        <v>4804</v>
      </c>
    </row>
    <row r="75" spans="1:5" ht="23.1" customHeight="1" x14ac:dyDescent="0.35">
      <c r="A75" s="23">
        <v>15</v>
      </c>
      <c r="B75" s="27" t="s">
        <v>62</v>
      </c>
      <c r="C75" s="27">
        <v>5874</v>
      </c>
      <c r="D75" s="27">
        <v>2926</v>
      </c>
      <c r="E75" s="27">
        <v>2948</v>
      </c>
    </row>
    <row r="76" spans="1:5" ht="23.1" customHeight="1" x14ac:dyDescent="0.35">
      <c r="A76" s="23">
        <v>16</v>
      </c>
      <c r="B76" s="27" t="s">
        <v>63</v>
      </c>
      <c r="C76" s="27">
        <v>10996</v>
      </c>
      <c r="D76" s="27">
        <v>5451</v>
      </c>
      <c r="E76" s="27">
        <v>5545</v>
      </c>
    </row>
    <row r="77" spans="1:5" x14ac:dyDescent="0.35">
      <c r="A77" s="28">
        <v>17</v>
      </c>
      <c r="B77" s="29" t="s">
        <v>64</v>
      </c>
      <c r="C77" s="29">
        <v>6350</v>
      </c>
      <c r="D77" s="29">
        <v>3108</v>
      </c>
      <c r="E77" s="29">
        <v>3242</v>
      </c>
    </row>
  </sheetData>
  <mergeCells count="4">
    <mergeCell ref="A4:A5"/>
    <mergeCell ref="B4:B5"/>
    <mergeCell ref="C4:E4"/>
    <mergeCell ref="A1:E1"/>
  </mergeCells>
  <hyperlinks>
    <hyperlink ref="A1:E1" location="'Link of Township'!A1" display="Shan State,Taunggyi District,Taunggyi Township"/>
  </hyperlinks>
  <pageMargins left="0.75" right="0.5" top="0.5" bottom="0.2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"/>
  <sheetViews>
    <sheetView workbookViewId="0">
      <selection sqref="A1:E1"/>
    </sheetView>
  </sheetViews>
  <sheetFormatPr defaultRowHeight="21.75" x14ac:dyDescent="0.4"/>
  <cols>
    <col min="1" max="1" width="9.140625" style="3"/>
    <col min="2" max="2" width="21" style="3" customWidth="1"/>
    <col min="3" max="5" width="15.7109375" style="3" customWidth="1"/>
    <col min="6" max="6" width="10.7109375" style="3" bestFit="1" customWidth="1"/>
    <col min="7" max="8" width="9.140625" style="3"/>
    <col min="9" max="9" width="10.7109375" style="3" bestFit="1" customWidth="1"/>
    <col min="10" max="16384" width="9.140625" style="3"/>
  </cols>
  <sheetData>
    <row r="1" spans="1:8" ht="25.5" customHeight="1" x14ac:dyDescent="0.4">
      <c r="A1" s="178" t="s">
        <v>1342</v>
      </c>
      <c r="B1" s="178"/>
      <c r="C1" s="178"/>
      <c r="D1" s="178"/>
      <c r="E1" s="178"/>
      <c r="F1" s="6"/>
      <c r="G1" s="6"/>
      <c r="H1" s="6"/>
    </row>
    <row r="2" spans="1:8" ht="25.5" customHeight="1" x14ac:dyDescent="0.4">
      <c r="A2" s="6"/>
      <c r="D2" s="6"/>
      <c r="E2" s="71" t="s">
        <v>1341</v>
      </c>
      <c r="F2" s="6"/>
      <c r="G2" s="6"/>
      <c r="H2" s="6"/>
    </row>
    <row r="3" spans="1:8" ht="10.5" customHeight="1" x14ac:dyDescent="0.4">
      <c r="A3" s="6"/>
      <c r="B3" s="7"/>
      <c r="C3" s="7"/>
      <c r="D3" s="6"/>
      <c r="E3" s="6"/>
      <c r="F3" s="6"/>
      <c r="G3" s="6"/>
      <c r="H3" s="6"/>
    </row>
    <row r="4" spans="1:8" x14ac:dyDescent="0.4">
      <c r="A4" s="173" t="s">
        <v>1339</v>
      </c>
      <c r="B4" s="173" t="s">
        <v>1422</v>
      </c>
      <c r="C4" s="174" t="s">
        <v>1340</v>
      </c>
      <c r="D4" s="175"/>
      <c r="E4" s="176"/>
      <c r="F4" s="6"/>
    </row>
    <row r="5" spans="1:8" x14ac:dyDescent="0.4">
      <c r="A5" s="173"/>
      <c r="B5" s="173"/>
      <c r="C5" s="22" t="s">
        <v>0</v>
      </c>
      <c r="D5" s="22" t="s">
        <v>1</v>
      </c>
      <c r="E5" s="22" t="s">
        <v>2</v>
      </c>
    </row>
    <row r="6" spans="1:8" ht="24.75" customHeight="1" x14ac:dyDescent="0.4">
      <c r="A6" s="18"/>
      <c r="B6" s="26" t="s">
        <v>0</v>
      </c>
      <c r="C6" s="26">
        <v>189407</v>
      </c>
      <c r="D6" s="26">
        <v>94537</v>
      </c>
      <c r="E6" s="26">
        <v>94870</v>
      </c>
    </row>
    <row r="7" spans="1:8" ht="11.25" customHeight="1" x14ac:dyDescent="0.4">
      <c r="A7" s="17"/>
      <c r="B7" s="16"/>
      <c r="C7" s="16"/>
      <c r="D7" s="16"/>
      <c r="E7" s="16"/>
    </row>
    <row r="8" spans="1:8" x14ac:dyDescent="0.4">
      <c r="A8" s="17"/>
      <c r="B8" s="77" t="s">
        <v>1338</v>
      </c>
      <c r="C8" s="77">
        <f>SUM(C9:C16)</f>
        <v>16208</v>
      </c>
      <c r="D8" s="77">
        <f t="shared" ref="D8:E8" si="0">SUM(D9:D16)</f>
        <v>8174</v>
      </c>
      <c r="E8" s="77">
        <f t="shared" si="0"/>
        <v>8034</v>
      </c>
    </row>
    <row r="9" spans="1:8" x14ac:dyDescent="0.4">
      <c r="A9" s="36">
        <v>1</v>
      </c>
      <c r="B9" s="32" t="s">
        <v>17</v>
      </c>
      <c r="C9" s="32">
        <v>2287</v>
      </c>
      <c r="D9" s="32">
        <v>1100</v>
      </c>
      <c r="E9" s="32">
        <v>1187</v>
      </c>
    </row>
    <row r="10" spans="1:8" x14ac:dyDescent="0.4">
      <c r="A10" s="34">
        <v>2</v>
      </c>
      <c r="B10" s="32" t="s">
        <v>65</v>
      </c>
      <c r="C10" s="32">
        <v>1343</v>
      </c>
      <c r="D10" s="32">
        <v>651</v>
      </c>
      <c r="E10" s="32">
        <v>692</v>
      </c>
    </row>
    <row r="11" spans="1:8" x14ac:dyDescent="0.4">
      <c r="A11" s="36">
        <v>3</v>
      </c>
      <c r="B11" s="32" t="s">
        <v>66</v>
      </c>
      <c r="C11" s="32">
        <v>6953</v>
      </c>
      <c r="D11" s="32">
        <v>3605</v>
      </c>
      <c r="E11" s="32">
        <v>3348</v>
      </c>
    </row>
    <row r="12" spans="1:8" x14ac:dyDescent="0.4">
      <c r="A12" s="37">
        <v>4</v>
      </c>
      <c r="B12" s="32" t="s">
        <v>67</v>
      </c>
      <c r="C12" s="32">
        <v>742</v>
      </c>
      <c r="D12" s="32">
        <v>375</v>
      </c>
      <c r="E12" s="32">
        <v>367</v>
      </c>
    </row>
    <row r="13" spans="1:8" x14ac:dyDescent="0.4">
      <c r="A13" s="38">
        <v>5</v>
      </c>
      <c r="B13" s="32" t="s">
        <v>68</v>
      </c>
      <c r="C13" s="32">
        <v>1310</v>
      </c>
      <c r="D13" s="32">
        <v>660</v>
      </c>
      <c r="E13" s="32">
        <v>650</v>
      </c>
    </row>
    <row r="14" spans="1:8" x14ac:dyDescent="0.4">
      <c r="A14" s="34">
        <v>6</v>
      </c>
      <c r="B14" s="32" t="s">
        <v>69</v>
      </c>
      <c r="C14" s="32">
        <v>1115</v>
      </c>
      <c r="D14" s="32">
        <v>574</v>
      </c>
      <c r="E14" s="32">
        <v>541</v>
      </c>
    </row>
    <row r="15" spans="1:8" x14ac:dyDescent="0.4">
      <c r="A15" s="36">
        <v>7</v>
      </c>
      <c r="B15" s="32" t="s">
        <v>47</v>
      </c>
      <c r="C15" s="32">
        <v>766</v>
      </c>
      <c r="D15" s="32">
        <v>384</v>
      </c>
      <c r="E15" s="32">
        <v>382</v>
      </c>
    </row>
    <row r="16" spans="1:8" x14ac:dyDescent="0.4">
      <c r="A16" s="34">
        <v>8</v>
      </c>
      <c r="B16" s="32" t="s">
        <v>70</v>
      </c>
      <c r="C16" s="32">
        <v>1692</v>
      </c>
      <c r="D16" s="32">
        <v>825</v>
      </c>
      <c r="E16" s="32">
        <v>867</v>
      </c>
    </row>
    <row r="17" spans="1:16" x14ac:dyDescent="0.4">
      <c r="A17" s="34"/>
      <c r="B17" s="77" t="s">
        <v>1410</v>
      </c>
      <c r="C17" s="77">
        <f>SUM(C18:C52)</f>
        <v>173199</v>
      </c>
      <c r="D17" s="77">
        <f t="shared" ref="D17:E17" si="1">SUM(D18:D52)</f>
        <v>86363</v>
      </c>
      <c r="E17" s="77">
        <f t="shared" si="1"/>
        <v>86836</v>
      </c>
    </row>
    <row r="18" spans="1:16" x14ac:dyDescent="0.4">
      <c r="A18" s="34">
        <v>1</v>
      </c>
      <c r="B18" s="32" t="s">
        <v>71</v>
      </c>
      <c r="C18" s="32">
        <v>4736</v>
      </c>
      <c r="D18" s="32">
        <v>2380</v>
      </c>
      <c r="E18" s="32">
        <v>2356</v>
      </c>
    </row>
    <row r="19" spans="1:16" x14ac:dyDescent="0.4">
      <c r="A19" s="34">
        <v>2</v>
      </c>
      <c r="B19" s="32" t="s">
        <v>72</v>
      </c>
      <c r="C19" s="32">
        <v>3603</v>
      </c>
      <c r="D19" s="32">
        <v>1751</v>
      </c>
      <c r="E19" s="32">
        <v>1852</v>
      </c>
    </row>
    <row r="20" spans="1:16" x14ac:dyDescent="0.4">
      <c r="A20" s="34">
        <v>3</v>
      </c>
      <c r="B20" s="32" t="s">
        <v>73</v>
      </c>
      <c r="C20" s="32">
        <v>4822</v>
      </c>
      <c r="D20" s="32">
        <v>2411</v>
      </c>
      <c r="E20" s="32">
        <v>2411</v>
      </c>
    </row>
    <row r="21" spans="1:16" x14ac:dyDescent="0.4">
      <c r="A21" s="34">
        <v>4</v>
      </c>
      <c r="B21" s="32" t="s">
        <v>74</v>
      </c>
      <c r="C21" s="32">
        <v>3358</v>
      </c>
      <c r="D21" s="32">
        <v>1673</v>
      </c>
      <c r="E21" s="32">
        <v>1685</v>
      </c>
    </row>
    <row r="22" spans="1:16" x14ac:dyDescent="0.4">
      <c r="A22" s="34">
        <v>5</v>
      </c>
      <c r="B22" s="32" t="s">
        <v>75</v>
      </c>
      <c r="C22" s="32">
        <v>2737</v>
      </c>
      <c r="D22" s="32">
        <v>1373</v>
      </c>
      <c r="E22" s="32">
        <v>1364</v>
      </c>
    </row>
    <row r="23" spans="1:16" x14ac:dyDescent="0.4">
      <c r="A23" s="34">
        <v>6</v>
      </c>
      <c r="B23" s="32" t="s">
        <v>76</v>
      </c>
      <c r="C23" s="32">
        <v>4116</v>
      </c>
      <c r="D23" s="32">
        <v>2109</v>
      </c>
      <c r="E23" s="32">
        <v>2007</v>
      </c>
    </row>
    <row r="24" spans="1:16" x14ac:dyDescent="0.4">
      <c r="A24" s="34">
        <v>7</v>
      </c>
      <c r="B24" s="32" t="s">
        <v>77</v>
      </c>
      <c r="C24" s="32">
        <v>6890</v>
      </c>
      <c r="D24" s="32">
        <v>3527</v>
      </c>
      <c r="E24" s="32">
        <v>3363</v>
      </c>
    </row>
    <row r="25" spans="1:16" x14ac:dyDescent="0.4">
      <c r="A25" s="34">
        <v>8</v>
      </c>
      <c r="B25" s="32" t="s">
        <v>78</v>
      </c>
      <c r="C25" s="32">
        <v>7226</v>
      </c>
      <c r="D25" s="32">
        <v>3859</v>
      </c>
      <c r="E25" s="32">
        <v>3367</v>
      </c>
    </row>
    <row r="26" spans="1:16" x14ac:dyDescent="0.4">
      <c r="A26" s="34">
        <v>9</v>
      </c>
      <c r="B26" s="32" t="s">
        <v>79</v>
      </c>
      <c r="C26" s="32">
        <v>4583</v>
      </c>
      <c r="D26" s="32">
        <v>2261</v>
      </c>
      <c r="E26" s="32">
        <v>2322</v>
      </c>
    </row>
    <row r="27" spans="1:16" x14ac:dyDescent="0.4">
      <c r="A27" s="34">
        <v>10</v>
      </c>
      <c r="B27" s="32" t="s">
        <v>80</v>
      </c>
      <c r="C27" s="32">
        <v>13770</v>
      </c>
      <c r="D27" s="32">
        <v>6975</v>
      </c>
      <c r="E27" s="32">
        <v>6795</v>
      </c>
    </row>
    <row r="28" spans="1:16" x14ac:dyDescent="0.4">
      <c r="A28" s="34">
        <v>11</v>
      </c>
      <c r="B28" s="32" t="s">
        <v>81</v>
      </c>
      <c r="C28" s="32">
        <v>8869</v>
      </c>
      <c r="D28" s="32">
        <v>4337</v>
      </c>
      <c r="E28" s="32">
        <v>4532</v>
      </c>
      <c r="M28" s="39"/>
      <c r="N28" s="39"/>
      <c r="O28" s="39"/>
      <c r="P28" s="39"/>
    </row>
    <row r="29" spans="1:16" x14ac:dyDescent="0.4">
      <c r="A29" s="34">
        <v>12</v>
      </c>
      <c r="B29" s="32" t="s">
        <v>82</v>
      </c>
      <c r="C29" s="32">
        <v>4969</v>
      </c>
      <c r="D29" s="32">
        <v>2429</v>
      </c>
      <c r="E29" s="32">
        <v>2540</v>
      </c>
    </row>
    <row r="30" spans="1:16" x14ac:dyDescent="0.4">
      <c r="A30" s="34">
        <v>13</v>
      </c>
      <c r="B30" s="32" t="s">
        <v>83</v>
      </c>
      <c r="C30" s="32">
        <v>3899</v>
      </c>
      <c r="D30" s="32">
        <v>1929</v>
      </c>
      <c r="E30" s="32">
        <v>1970</v>
      </c>
    </row>
    <row r="31" spans="1:16" x14ac:dyDescent="0.4">
      <c r="A31" s="34">
        <v>14</v>
      </c>
      <c r="B31" s="32" t="s">
        <v>84</v>
      </c>
      <c r="C31" s="32">
        <v>5356</v>
      </c>
      <c r="D31" s="32">
        <v>2632</v>
      </c>
      <c r="E31" s="32">
        <v>2724</v>
      </c>
    </row>
    <row r="32" spans="1:16" x14ac:dyDescent="0.4">
      <c r="A32" s="34">
        <v>15</v>
      </c>
      <c r="B32" s="32" t="s">
        <v>85</v>
      </c>
      <c r="C32" s="32">
        <v>2915</v>
      </c>
      <c r="D32" s="32">
        <v>1403</v>
      </c>
      <c r="E32" s="32">
        <v>1512</v>
      </c>
    </row>
    <row r="33" spans="1:5" x14ac:dyDescent="0.4">
      <c r="A33" s="34">
        <v>16</v>
      </c>
      <c r="B33" s="32" t="s">
        <v>86</v>
      </c>
      <c r="C33" s="32">
        <v>4528</v>
      </c>
      <c r="D33" s="32">
        <v>2499</v>
      </c>
      <c r="E33" s="32">
        <v>2029</v>
      </c>
    </row>
    <row r="34" spans="1:5" x14ac:dyDescent="0.4">
      <c r="A34" s="34">
        <v>17</v>
      </c>
      <c r="B34" s="32" t="s">
        <v>87</v>
      </c>
      <c r="C34" s="32">
        <v>5094</v>
      </c>
      <c r="D34" s="32">
        <v>2368</v>
      </c>
      <c r="E34" s="32">
        <v>2726</v>
      </c>
    </row>
    <row r="35" spans="1:5" x14ac:dyDescent="0.4">
      <c r="A35" s="34">
        <v>18</v>
      </c>
      <c r="B35" s="32" t="s">
        <v>88</v>
      </c>
      <c r="C35" s="32">
        <v>2018</v>
      </c>
      <c r="D35" s="32">
        <v>1012</v>
      </c>
      <c r="E35" s="32">
        <v>1006</v>
      </c>
    </row>
    <row r="36" spans="1:5" x14ac:dyDescent="0.4">
      <c r="A36" s="34">
        <v>19</v>
      </c>
      <c r="B36" s="32" t="s">
        <v>89</v>
      </c>
      <c r="C36" s="32">
        <v>7969</v>
      </c>
      <c r="D36" s="32">
        <v>3980</v>
      </c>
      <c r="E36" s="32">
        <v>3989</v>
      </c>
    </row>
    <row r="37" spans="1:5" x14ac:dyDescent="0.4">
      <c r="A37" s="34">
        <v>20</v>
      </c>
      <c r="B37" s="32" t="s">
        <v>90</v>
      </c>
      <c r="C37" s="32">
        <v>4454</v>
      </c>
      <c r="D37" s="32">
        <v>2095</v>
      </c>
      <c r="E37" s="32">
        <v>2359</v>
      </c>
    </row>
    <row r="38" spans="1:5" x14ac:dyDescent="0.4">
      <c r="A38" s="34">
        <v>21</v>
      </c>
      <c r="B38" s="32" t="s">
        <v>91</v>
      </c>
      <c r="C38" s="32">
        <v>4695</v>
      </c>
      <c r="D38" s="32">
        <v>2233</v>
      </c>
      <c r="E38" s="32">
        <v>2462</v>
      </c>
    </row>
    <row r="39" spans="1:5" x14ac:dyDescent="0.4">
      <c r="A39" s="34">
        <v>22</v>
      </c>
      <c r="B39" s="32" t="s">
        <v>92</v>
      </c>
      <c r="C39" s="32">
        <v>3037</v>
      </c>
      <c r="D39" s="32">
        <v>1533</v>
      </c>
      <c r="E39" s="32">
        <v>1504</v>
      </c>
    </row>
    <row r="40" spans="1:5" x14ac:dyDescent="0.4">
      <c r="A40" s="34">
        <v>23</v>
      </c>
      <c r="B40" s="32" t="s">
        <v>93</v>
      </c>
      <c r="C40" s="32">
        <v>7002</v>
      </c>
      <c r="D40" s="32">
        <v>3458</v>
      </c>
      <c r="E40" s="32">
        <v>3544</v>
      </c>
    </row>
    <row r="41" spans="1:5" x14ac:dyDescent="0.4">
      <c r="A41" s="34">
        <v>24</v>
      </c>
      <c r="B41" s="32" t="s">
        <v>94</v>
      </c>
      <c r="C41" s="32">
        <v>3555</v>
      </c>
      <c r="D41" s="32">
        <v>1706</v>
      </c>
      <c r="E41" s="32">
        <v>1849</v>
      </c>
    </row>
    <row r="42" spans="1:5" x14ac:dyDescent="0.4">
      <c r="A42" s="34">
        <v>25</v>
      </c>
      <c r="B42" s="32" t="s">
        <v>95</v>
      </c>
      <c r="C42" s="32">
        <v>5279</v>
      </c>
      <c r="D42" s="32">
        <v>2632</v>
      </c>
      <c r="E42" s="32">
        <v>2647</v>
      </c>
    </row>
    <row r="43" spans="1:5" x14ac:dyDescent="0.4">
      <c r="A43" s="34">
        <v>26</v>
      </c>
      <c r="B43" s="32" t="s">
        <v>96</v>
      </c>
      <c r="C43" s="32">
        <v>4706</v>
      </c>
      <c r="D43" s="32">
        <v>2227</v>
      </c>
      <c r="E43" s="32">
        <v>2479</v>
      </c>
    </row>
    <row r="44" spans="1:5" x14ac:dyDescent="0.4">
      <c r="A44" s="34">
        <v>27</v>
      </c>
      <c r="B44" s="32" t="s">
        <v>97</v>
      </c>
      <c r="C44" s="32">
        <v>6998</v>
      </c>
      <c r="D44" s="32">
        <v>3578</v>
      </c>
      <c r="E44" s="32">
        <v>3420</v>
      </c>
    </row>
    <row r="45" spans="1:5" x14ac:dyDescent="0.4">
      <c r="A45" s="34">
        <v>28</v>
      </c>
      <c r="B45" s="32" t="s">
        <v>98</v>
      </c>
      <c r="C45" s="32">
        <v>3927</v>
      </c>
      <c r="D45" s="32">
        <v>1916</v>
      </c>
      <c r="E45" s="32">
        <v>2011</v>
      </c>
    </row>
    <row r="46" spans="1:5" x14ac:dyDescent="0.4">
      <c r="A46" s="34">
        <v>29</v>
      </c>
      <c r="B46" s="32" t="s">
        <v>99</v>
      </c>
      <c r="C46" s="32">
        <v>3048</v>
      </c>
      <c r="D46" s="32">
        <v>1537</v>
      </c>
      <c r="E46" s="32">
        <v>1511</v>
      </c>
    </row>
    <row r="47" spans="1:5" x14ac:dyDescent="0.4">
      <c r="A47" s="34">
        <v>30</v>
      </c>
      <c r="B47" s="32" t="s">
        <v>100</v>
      </c>
      <c r="C47" s="32">
        <v>2702</v>
      </c>
      <c r="D47" s="32">
        <v>1366</v>
      </c>
      <c r="E47" s="32">
        <v>1336</v>
      </c>
    </row>
    <row r="48" spans="1:5" x14ac:dyDescent="0.4">
      <c r="A48" s="34">
        <v>31</v>
      </c>
      <c r="B48" s="32" t="s">
        <v>101</v>
      </c>
      <c r="C48" s="32">
        <v>3009</v>
      </c>
      <c r="D48" s="32">
        <v>1473</v>
      </c>
      <c r="E48" s="32">
        <v>1536</v>
      </c>
    </row>
    <row r="49" spans="1:5" x14ac:dyDescent="0.4">
      <c r="A49" s="34">
        <v>32</v>
      </c>
      <c r="B49" s="32" t="s">
        <v>102</v>
      </c>
      <c r="C49" s="32">
        <v>2514</v>
      </c>
      <c r="D49" s="32">
        <v>1231</v>
      </c>
      <c r="E49" s="32">
        <v>1283</v>
      </c>
    </row>
    <row r="50" spans="1:5" x14ac:dyDescent="0.4">
      <c r="A50" s="34">
        <v>33</v>
      </c>
      <c r="B50" s="32" t="s">
        <v>103</v>
      </c>
      <c r="C50" s="32">
        <v>7222</v>
      </c>
      <c r="D50" s="32">
        <v>3631</v>
      </c>
      <c r="E50" s="32">
        <v>3591</v>
      </c>
    </row>
    <row r="51" spans="1:5" x14ac:dyDescent="0.4">
      <c r="A51" s="34">
        <v>34</v>
      </c>
      <c r="B51" s="32" t="s">
        <v>104</v>
      </c>
      <c r="C51" s="32">
        <v>3523</v>
      </c>
      <c r="D51" s="32">
        <v>1758</v>
      </c>
      <c r="E51" s="32">
        <v>1765</v>
      </c>
    </row>
    <row r="52" spans="1:5" x14ac:dyDescent="0.4">
      <c r="A52" s="35">
        <v>35</v>
      </c>
      <c r="B52" s="33" t="s">
        <v>105</v>
      </c>
      <c r="C52" s="33">
        <v>6070</v>
      </c>
      <c r="D52" s="33">
        <v>3081</v>
      </c>
      <c r="E52" s="33">
        <v>2989</v>
      </c>
    </row>
  </sheetData>
  <mergeCells count="4">
    <mergeCell ref="A4:A5"/>
    <mergeCell ref="B4:B5"/>
    <mergeCell ref="C4:E4"/>
    <mergeCell ref="A1:E1"/>
  </mergeCells>
  <hyperlinks>
    <hyperlink ref="A1:E1" location="'Link of Township'!A1" display="Shan State,Taunggyi District,Nyaungshwe Township"/>
  </hyperlinks>
  <pageMargins left="0.75" right="0.5" top="0.5" bottom="0.2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activeCell="A2" sqref="A2"/>
    </sheetView>
  </sheetViews>
  <sheetFormatPr defaultRowHeight="21.75" x14ac:dyDescent="0.4"/>
  <cols>
    <col min="1" max="1" width="8.7109375" style="3" customWidth="1"/>
    <col min="2" max="2" width="35.28515625" style="3" customWidth="1"/>
    <col min="3" max="5" width="13.7109375" style="3" customWidth="1"/>
    <col min="6" max="6" width="9.140625" style="3"/>
    <col min="7" max="7" width="10.7109375" style="3" bestFit="1" customWidth="1"/>
    <col min="8" max="16384" width="9.140625" style="3"/>
  </cols>
  <sheetData>
    <row r="1" spans="1:5" x14ac:dyDescent="0.4">
      <c r="A1" s="179" t="s">
        <v>1467</v>
      </c>
      <c r="B1" s="179"/>
      <c r="C1" s="179"/>
      <c r="D1" s="179"/>
      <c r="E1" s="179"/>
    </row>
    <row r="2" spans="1:5" x14ac:dyDescent="0.4">
      <c r="A2" s="40"/>
      <c r="B2" s="40"/>
      <c r="C2" s="40"/>
      <c r="D2" s="40"/>
      <c r="E2" s="39" t="s">
        <v>1341</v>
      </c>
    </row>
    <row r="4" spans="1:5" x14ac:dyDescent="0.4">
      <c r="A4" s="173" t="s">
        <v>1339</v>
      </c>
      <c r="B4" s="173" t="s">
        <v>1422</v>
      </c>
      <c r="C4" s="174" t="s">
        <v>1340</v>
      </c>
      <c r="D4" s="175"/>
      <c r="E4" s="176"/>
    </row>
    <row r="5" spans="1:5" x14ac:dyDescent="0.4">
      <c r="A5" s="173"/>
      <c r="B5" s="173"/>
      <c r="C5" s="22" t="s">
        <v>0</v>
      </c>
      <c r="D5" s="22" t="s">
        <v>1</v>
      </c>
      <c r="E5" s="22" t="s">
        <v>2</v>
      </c>
    </row>
    <row r="6" spans="1:5" x14ac:dyDescent="0.4">
      <c r="A6" s="43"/>
      <c r="B6" s="26" t="s">
        <v>0</v>
      </c>
      <c r="C6" s="44">
        <v>112348</v>
      </c>
      <c r="D6" s="44">
        <v>55535</v>
      </c>
      <c r="E6" s="44">
        <v>56813</v>
      </c>
    </row>
    <row r="7" spans="1:5" ht="9.75" customHeight="1" x14ac:dyDescent="0.4">
      <c r="A7" s="31"/>
      <c r="B7" s="31"/>
      <c r="C7" s="31"/>
      <c r="D7" s="31"/>
      <c r="E7" s="31"/>
    </row>
    <row r="8" spans="1:5" x14ac:dyDescent="0.4">
      <c r="A8" s="31"/>
      <c r="B8" s="31" t="s">
        <v>1338</v>
      </c>
      <c r="C8" s="31">
        <f>SUM(C9:C14)</f>
        <v>22840</v>
      </c>
      <c r="D8" s="31">
        <f t="shared" ref="D8:E8" si="0">SUM(D9:D14)</f>
        <v>12106</v>
      </c>
      <c r="E8" s="31">
        <f t="shared" si="0"/>
        <v>10734</v>
      </c>
    </row>
    <row r="9" spans="1:5" x14ac:dyDescent="0.4">
      <c r="A9" s="34">
        <v>1</v>
      </c>
      <c r="B9" s="38" t="s">
        <v>106</v>
      </c>
      <c r="C9" s="38">
        <v>3916</v>
      </c>
      <c r="D9" s="38">
        <v>1820</v>
      </c>
      <c r="E9" s="38">
        <v>2096</v>
      </c>
    </row>
    <row r="10" spans="1:5" x14ac:dyDescent="0.4">
      <c r="A10" s="34">
        <v>2</v>
      </c>
      <c r="B10" s="38" t="s">
        <v>107</v>
      </c>
      <c r="C10" s="38">
        <v>7942</v>
      </c>
      <c r="D10" s="38">
        <v>5002</v>
      </c>
      <c r="E10" s="38">
        <v>2940</v>
      </c>
    </row>
    <row r="11" spans="1:5" x14ac:dyDescent="0.4">
      <c r="A11" s="34">
        <v>3</v>
      </c>
      <c r="B11" s="38" t="s">
        <v>108</v>
      </c>
      <c r="C11" s="38">
        <v>673</v>
      </c>
      <c r="D11" s="38">
        <v>304</v>
      </c>
      <c r="E11" s="38">
        <v>369</v>
      </c>
    </row>
    <row r="12" spans="1:5" x14ac:dyDescent="0.4">
      <c r="A12" s="34">
        <v>4</v>
      </c>
      <c r="B12" s="38" t="s">
        <v>109</v>
      </c>
      <c r="C12" s="38">
        <v>1426</v>
      </c>
      <c r="D12" s="38">
        <v>668</v>
      </c>
      <c r="E12" s="38">
        <v>758</v>
      </c>
    </row>
    <row r="13" spans="1:5" x14ac:dyDescent="0.4">
      <c r="A13" s="34">
        <v>5</v>
      </c>
      <c r="B13" s="38" t="s">
        <v>110</v>
      </c>
      <c r="C13" s="38">
        <v>7113</v>
      </c>
      <c r="D13" s="38">
        <v>3445</v>
      </c>
      <c r="E13" s="38">
        <v>3668</v>
      </c>
    </row>
    <row r="14" spans="1:5" x14ac:dyDescent="0.4">
      <c r="A14" s="34">
        <v>6</v>
      </c>
      <c r="B14" s="38" t="s">
        <v>111</v>
      </c>
      <c r="C14" s="38">
        <v>1770</v>
      </c>
      <c r="D14" s="38">
        <v>867</v>
      </c>
      <c r="E14" s="38">
        <v>903</v>
      </c>
    </row>
    <row r="15" spans="1:5" x14ac:dyDescent="0.4">
      <c r="A15" s="34"/>
      <c r="B15" s="31" t="s">
        <v>1410</v>
      </c>
      <c r="C15" s="31">
        <f>SUM(C16:C37)</f>
        <v>89508</v>
      </c>
      <c r="D15" s="31">
        <f t="shared" ref="D15:E15" si="1">SUM(D16:D37)</f>
        <v>43429</v>
      </c>
      <c r="E15" s="31">
        <f t="shared" si="1"/>
        <v>46079</v>
      </c>
    </row>
    <row r="16" spans="1:5" x14ac:dyDescent="0.4">
      <c r="A16" s="34">
        <v>1</v>
      </c>
      <c r="B16" s="38" t="s">
        <v>112</v>
      </c>
      <c r="C16" s="38">
        <v>4060</v>
      </c>
      <c r="D16" s="38">
        <v>2001</v>
      </c>
      <c r="E16" s="38">
        <v>2059</v>
      </c>
    </row>
    <row r="17" spans="1:5" x14ac:dyDescent="0.4">
      <c r="A17" s="34">
        <v>2</v>
      </c>
      <c r="B17" s="38" t="s">
        <v>113</v>
      </c>
      <c r="C17" s="38">
        <v>2749</v>
      </c>
      <c r="D17" s="38">
        <v>1359</v>
      </c>
      <c r="E17" s="38">
        <v>1390</v>
      </c>
    </row>
    <row r="18" spans="1:5" x14ac:dyDescent="0.4">
      <c r="A18" s="34">
        <v>3</v>
      </c>
      <c r="B18" s="38" t="s">
        <v>114</v>
      </c>
      <c r="C18" s="38">
        <v>6050</v>
      </c>
      <c r="D18" s="38">
        <v>2932</v>
      </c>
      <c r="E18" s="38">
        <v>3118</v>
      </c>
    </row>
    <row r="19" spans="1:5" x14ac:dyDescent="0.4">
      <c r="A19" s="34">
        <v>4</v>
      </c>
      <c r="B19" s="38" t="s">
        <v>115</v>
      </c>
      <c r="C19" s="38">
        <v>9895</v>
      </c>
      <c r="D19" s="38">
        <v>4920</v>
      </c>
      <c r="E19" s="38">
        <v>4975</v>
      </c>
    </row>
    <row r="20" spans="1:5" x14ac:dyDescent="0.4">
      <c r="A20" s="34">
        <v>5</v>
      </c>
      <c r="B20" s="38" t="s">
        <v>116</v>
      </c>
      <c r="C20" s="38">
        <v>7443</v>
      </c>
      <c r="D20" s="38">
        <v>3529</v>
      </c>
      <c r="E20" s="38">
        <v>3914</v>
      </c>
    </row>
    <row r="21" spans="1:5" x14ac:dyDescent="0.4">
      <c r="A21" s="34">
        <v>6</v>
      </c>
      <c r="B21" s="38" t="s">
        <v>117</v>
      </c>
      <c r="C21" s="38">
        <v>6538</v>
      </c>
      <c r="D21" s="38">
        <v>3112</v>
      </c>
      <c r="E21" s="38">
        <v>3426</v>
      </c>
    </row>
    <row r="22" spans="1:5" x14ac:dyDescent="0.4">
      <c r="A22" s="34">
        <v>7</v>
      </c>
      <c r="B22" s="38" t="s">
        <v>118</v>
      </c>
      <c r="C22" s="38">
        <v>4458</v>
      </c>
      <c r="D22" s="38">
        <v>2093</v>
      </c>
      <c r="E22" s="38">
        <v>2365</v>
      </c>
    </row>
    <row r="23" spans="1:5" x14ac:dyDescent="0.4">
      <c r="A23" s="34">
        <v>8</v>
      </c>
      <c r="B23" s="38" t="s">
        <v>119</v>
      </c>
      <c r="C23" s="38">
        <v>4859</v>
      </c>
      <c r="D23" s="38">
        <v>2341</v>
      </c>
      <c r="E23" s="38">
        <v>2518</v>
      </c>
    </row>
    <row r="24" spans="1:5" x14ac:dyDescent="0.4">
      <c r="A24" s="34">
        <v>9</v>
      </c>
      <c r="B24" s="38" t="s">
        <v>120</v>
      </c>
      <c r="C24" s="38">
        <v>4494</v>
      </c>
      <c r="D24" s="38">
        <v>2192</v>
      </c>
      <c r="E24" s="38">
        <v>2302</v>
      </c>
    </row>
    <row r="25" spans="1:5" x14ac:dyDescent="0.4">
      <c r="A25" s="34">
        <v>10</v>
      </c>
      <c r="B25" s="38" t="s">
        <v>121</v>
      </c>
      <c r="C25" s="38">
        <v>6018</v>
      </c>
      <c r="D25" s="38">
        <v>2963</v>
      </c>
      <c r="E25" s="38">
        <v>3055</v>
      </c>
    </row>
    <row r="26" spans="1:5" x14ac:dyDescent="0.4">
      <c r="A26" s="34">
        <v>11</v>
      </c>
      <c r="B26" s="38" t="s">
        <v>122</v>
      </c>
      <c r="C26" s="38">
        <v>1184</v>
      </c>
      <c r="D26" s="38">
        <v>624</v>
      </c>
      <c r="E26" s="38">
        <v>560</v>
      </c>
    </row>
    <row r="27" spans="1:5" x14ac:dyDescent="0.4">
      <c r="A27" s="34">
        <v>12</v>
      </c>
      <c r="B27" s="38" t="s">
        <v>123</v>
      </c>
      <c r="C27" s="38">
        <v>3919</v>
      </c>
      <c r="D27" s="38">
        <v>1941</v>
      </c>
      <c r="E27" s="38">
        <v>1978</v>
      </c>
    </row>
    <row r="28" spans="1:5" x14ac:dyDescent="0.4">
      <c r="A28" s="34">
        <v>13</v>
      </c>
      <c r="B28" s="38" t="s">
        <v>124</v>
      </c>
      <c r="C28" s="38">
        <v>3773</v>
      </c>
      <c r="D28" s="38">
        <v>1857</v>
      </c>
      <c r="E28" s="38">
        <v>1916</v>
      </c>
    </row>
    <row r="29" spans="1:5" x14ac:dyDescent="0.4">
      <c r="A29" s="34">
        <v>14</v>
      </c>
      <c r="B29" s="38" t="s">
        <v>125</v>
      </c>
      <c r="C29" s="38">
        <v>1901</v>
      </c>
      <c r="D29" s="38">
        <v>904</v>
      </c>
      <c r="E29" s="38">
        <v>997</v>
      </c>
    </row>
    <row r="30" spans="1:5" x14ac:dyDescent="0.4">
      <c r="A30" s="34">
        <v>15</v>
      </c>
      <c r="B30" s="38" t="s">
        <v>126</v>
      </c>
      <c r="C30" s="38">
        <v>1645</v>
      </c>
      <c r="D30" s="38">
        <v>805</v>
      </c>
      <c r="E30" s="38">
        <v>840</v>
      </c>
    </row>
    <row r="31" spans="1:5" x14ac:dyDescent="0.4">
      <c r="A31" s="34">
        <v>16</v>
      </c>
      <c r="B31" s="38" t="s">
        <v>127</v>
      </c>
      <c r="C31" s="38">
        <v>5569</v>
      </c>
      <c r="D31" s="38">
        <v>2834</v>
      </c>
      <c r="E31" s="38">
        <v>2735</v>
      </c>
    </row>
    <row r="32" spans="1:5" x14ac:dyDescent="0.4">
      <c r="A32" s="34">
        <v>17</v>
      </c>
      <c r="B32" s="38" t="s">
        <v>128</v>
      </c>
      <c r="C32" s="38">
        <v>3482</v>
      </c>
      <c r="D32" s="38">
        <v>1619</v>
      </c>
      <c r="E32" s="38">
        <v>1863</v>
      </c>
    </row>
    <row r="33" spans="1:5" x14ac:dyDescent="0.4">
      <c r="A33" s="34">
        <v>18</v>
      </c>
      <c r="B33" s="38" t="s">
        <v>129</v>
      </c>
      <c r="C33" s="38">
        <v>1478</v>
      </c>
      <c r="D33" s="38">
        <v>672</v>
      </c>
      <c r="E33" s="38">
        <v>806</v>
      </c>
    </row>
    <row r="34" spans="1:5" x14ac:dyDescent="0.4">
      <c r="A34" s="34">
        <v>19</v>
      </c>
      <c r="B34" s="38" t="s">
        <v>130</v>
      </c>
      <c r="C34" s="38">
        <v>578</v>
      </c>
      <c r="D34" s="38">
        <v>273</v>
      </c>
      <c r="E34" s="38">
        <v>305</v>
      </c>
    </row>
    <row r="35" spans="1:5" x14ac:dyDescent="0.4">
      <c r="A35" s="34">
        <v>20</v>
      </c>
      <c r="B35" s="38" t="s">
        <v>131</v>
      </c>
      <c r="C35" s="38">
        <v>920</v>
      </c>
      <c r="D35" s="38">
        <v>426</v>
      </c>
      <c r="E35" s="38">
        <v>494</v>
      </c>
    </row>
    <row r="36" spans="1:5" x14ac:dyDescent="0.4">
      <c r="A36" s="34">
        <v>21</v>
      </c>
      <c r="B36" s="38" t="s">
        <v>132</v>
      </c>
      <c r="C36" s="38">
        <v>4852</v>
      </c>
      <c r="D36" s="38">
        <v>2275</v>
      </c>
      <c r="E36" s="38">
        <v>2577</v>
      </c>
    </row>
    <row r="37" spans="1:5" x14ac:dyDescent="0.4">
      <c r="A37" s="35">
        <v>22</v>
      </c>
      <c r="B37" s="45" t="s">
        <v>133</v>
      </c>
      <c r="C37" s="45">
        <v>3643</v>
      </c>
      <c r="D37" s="45">
        <v>1757</v>
      </c>
      <c r="E37" s="45">
        <v>1886</v>
      </c>
    </row>
  </sheetData>
  <mergeCells count="4">
    <mergeCell ref="A4:A5"/>
    <mergeCell ref="B4:B5"/>
    <mergeCell ref="C4:E4"/>
    <mergeCell ref="A1:E1"/>
  </mergeCells>
  <hyperlinks>
    <hyperlink ref="A1:E1" r:id="rId1" location="'Link of Township'!A1" display="Shan State,Taunggyi District,  Hopon Township"/>
  </hyperlinks>
  <pageMargins left="0.75" right="0.5" top="0.5" bottom="0.2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selection sqref="A1:E1"/>
    </sheetView>
  </sheetViews>
  <sheetFormatPr defaultRowHeight="21.75" x14ac:dyDescent="0.4"/>
  <cols>
    <col min="1" max="1" width="9.140625" style="3"/>
    <col min="2" max="2" width="23.140625" style="3" customWidth="1"/>
    <col min="3" max="5" width="15.7109375" style="3" customWidth="1"/>
    <col min="6" max="16384" width="9.140625" style="3"/>
  </cols>
  <sheetData>
    <row r="1" spans="1:8" x14ac:dyDescent="0.4">
      <c r="A1" s="180" t="s">
        <v>1343</v>
      </c>
      <c r="B1" s="180"/>
      <c r="C1" s="180"/>
      <c r="D1" s="180"/>
      <c r="E1" s="180"/>
    </row>
    <row r="2" spans="1:8" x14ac:dyDescent="0.4">
      <c r="A2" s="41"/>
      <c r="B2" s="41"/>
      <c r="C2" s="41"/>
      <c r="D2" s="41"/>
      <c r="E2" s="72" t="s">
        <v>1341</v>
      </c>
    </row>
    <row r="3" spans="1:8" x14ac:dyDescent="0.4">
      <c r="A3" s="41"/>
      <c r="B3" s="41"/>
      <c r="C3" s="41"/>
      <c r="D3" s="41"/>
      <c r="E3" s="41"/>
    </row>
    <row r="4" spans="1:8" x14ac:dyDescent="0.4">
      <c r="A4" s="173" t="s">
        <v>1339</v>
      </c>
      <c r="B4" s="173" t="s">
        <v>1422</v>
      </c>
      <c r="C4" s="174" t="s">
        <v>1340</v>
      </c>
      <c r="D4" s="175"/>
      <c r="E4" s="176"/>
    </row>
    <row r="5" spans="1:8" x14ac:dyDescent="0.4">
      <c r="A5" s="173"/>
      <c r="B5" s="173"/>
      <c r="C5" s="22" t="s">
        <v>0</v>
      </c>
      <c r="D5" s="22" t="s">
        <v>1</v>
      </c>
      <c r="E5" s="22" t="s">
        <v>2</v>
      </c>
    </row>
    <row r="6" spans="1:8" x14ac:dyDescent="0.4">
      <c r="A6" s="46"/>
      <c r="B6" s="26" t="s">
        <v>0</v>
      </c>
      <c r="C6" s="44">
        <v>153032</v>
      </c>
      <c r="D6" s="44">
        <v>74736</v>
      </c>
      <c r="E6" s="44">
        <v>78296</v>
      </c>
      <c r="F6" s="8"/>
      <c r="G6" s="8"/>
      <c r="H6" s="8"/>
    </row>
    <row r="7" spans="1:8" ht="8.25" customHeight="1" x14ac:dyDescent="0.4">
      <c r="A7" s="34"/>
      <c r="B7" s="31"/>
      <c r="C7" s="31"/>
      <c r="D7" s="31"/>
      <c r="E7" s="31"/>
    </row>
    <row r="8" spans="1:8" x14ac:dyDescent="0.4">
      <c r="A8" s="34"/>
      <c r="B8" s="31" t="s">
        <v>1338</v>
      </c>
      <c r="C8" s="31">
        <f>SUM(C9:C14)</f>
        <v>12073</v>
      </c>
      <c r="D8" s="31">
        <f t="shared" ref="D8:E8" si="0">SUM(D9:D14)</f>
        <v>6029</v>
      </c>
      <c r="E8" s="31">
        <f t="shared" si="0"/>
        <v>6044</v>
      </c>
    </row>
    <row r="9" spans="1:8" x14ac:dyDescent="0.4">
      <c r="A9" s="34">
        <v>1</v>
      </c>
      <c r="B9" s="38" t="s">
        <v>134</v>
      </c>
      <c r="C9" s="38">
        <v>2280</v>
      </c>
      <c r="D9" s="38">
        <v>1228</v>
      </c>
      <c r="E9" s="38">
        <v>1052</v>
      </c>
      <c r="F9" s="8"/>
    </row>
    <row r="10" spans="1:8" x14ac:dyDescent="0.4">
      <c r="A10" s="34">
        <v>2</v>
      </c>
      <c r="B10" s="38" t="s">
        <v>47</v>
      </c>
      <c r="C10" s="38">
        <v>977</v>
      </c>
      <c r="D10" s="38">
        <v>468</v>
      </c>
      <c r="E10" s="38">
        <v>509</v>
      </c>
      <c r="F10" s="8"/>
    </row>
    <row r="11" spans="1:8" x14ac:dyDescent="0.4">
      <c r="A11" s="34">
        <v>3</v>
      </c>
      <c r="B11" s="38" t="s">
        <v>135</v>
      </c>
      <c r="C11" s="38">
        <v>1110</v>
      </c>
      <c r="D11" s="38">
        <v>540</v>
      </c>
      <c r="E11" s="38">
        <v>570</v>
      </c>
      <c r="F11" s="8"/>
    </row>
    <row r="12" spans="1:8" x14ac:dyDescent="0.4">
      <c r="A12" s="34">
        <v>4</v>
      </c>
      <c r="B12" s="38" t="s">
        <v>46</v>
      </c>
      <c r="C12" s="38">
        <v>1758</v>
      </c>
      <c r="D12" s="38">
        <v>834</v>
      </c>
      <c r="E12" s="38">
        <v>924</v>
      </c>
      <c r="F12" s="8"/>
    </row>
    <row r="13" spans="1:8" x14ac:dyDescent="0.4">
      <c r="A13" s="34">
        <v>5</v>
      </c>
      <c r="B13" s="38" t="s">
        <v>136</v>
      </c>
      <c r="C13" s="38">
        <v>3996</v>
      </c>
      <c r="D13" s="38">
        <v>1884</v>
      </c>
      <c r="E13" s="38">
        <v>2112</v>
      </c>
      <c r="F13" s="8"/>
    </row>
    <row r="14" spans="1:8" x14ac:dyDescent="0.4">
      <c r="A14" s="34">
        <v>6</v>
      </c>
      <c r="B14" s="38" t="s">
        <v>137</v>
      </c>
      <c r="C14" s="38">
        <v>1952</v>
      </c>
      <c r="D14" s="38">
        <v>1075</v>
      </c>
      <c r="E14" s="38">
        <v>877</v>
      </c>
      <c r="F14" s="8"/>
    </row>
    <row r="15" spans="1:8" x14ac:dyDescent="0.4">
      <c r="A15" s="34"/>
      <c r="B15" s="30" t="s">
        <v>1410</v>
      </c>
      <c r="C15" s="47">
        <f>SUM(C16:C28)</f>
        <v>140959</v>
      </c>
      <c r="D15" s="47">
        <f t="shared" ref="D15:E15" si="1">SUM(D16:D28)</f>
        <v>68707</v>
      </c>
      <c r="E15" s="47">
        <f t="shared" si="1"/>
        <v>72252</v>
      </c>
    </row>
    <row r="16" spans="1:8" x14ac:dyDescent="0.4">
      <c r="A16" s="34">
        <v>1</v>
      </c>
      <c r="B16" s="38" t="s">
        <v>138</v>
      </c>
      <c r="C16" s="38">
        <v>18206</v>
      </c>
      <c r="D16" s="38">
        <v>8914</v>
      </c>
      <c r="E16" s="38">
        <v>9292</v>
      </c>
      <c r="F16" s="8"/>
    </row>
    <row r="17" spans="1:6" x14ac:dyDescent="0.4">
      <c r="A17" s="34">
        <v>2</v>
      </c>
      <c r="B17" s="38" t="s">
        <v>139</v>
      </c>
      <c r="C17" s="38">
        <v>7208</v>
      </c>
      <c r="D17" s="38">
        <v>3619</v>
      </c>
      <c r="E17" s="38">
        <v>3589</v>
      </c>
      <c r="F17" s="8"/>
    </row>
    <row r="18" spans="1:6" x14ac:dyDescent="0.4">
      <c r="A18" s="34">
        <v>3</v>
      </c>
      <c r="B18" s="38" t="s">
        <v>140</v>
      </c>
      <c r="C18" s="38">
        <v>12700</v>
      </c>
      <c r="D18" s="38">
        <v>6160</v>
      </c>
      <c r="E18" s="38">
        <v>6540</v>
      </c>
      <c r="F18" s="8"/>
    </row>
    <row r="19" spans="1:6" x14ac:dyDescent="0.4">
      <c r="A19" s="34">
        <v>4</v>
      </c>
      <c r="B19" s="38" t="s">
        <v>141</v>
      </c>
      <c r="C19" s="38">
        <v>9077</v>
      </c>
      <c r="D19" s="38">
        <v>4473</v>
      </c>
      <c r="E19" s="38">
        <v>4604</v>
      </c>
      <c r="F19" s="8"/>
    </row>
    <row r="20" spans="1:6" x14ac:dyDescent="0.4">
      <c r="A20" s="34">
        <v>5</v>
      </c>
      <c r="B20" s="38" t="s">
        <v>142</v>
      </c>
      <c r="C20" s="38">
        <v>4912</v>
      </c>
      <c r="D20" s="38">
        <v>2410</v>
      </c>
      <c r="E20" s="38">
        <v>2502</v>
      </c>
      <c r="F20" s="8"/>
    </row>
    <row r="21" spans="1:6" x14ac:dyDescent="0.4">
      <c r="A21" s="34">
        <v>6</v>
      </c>
      <c r="B21" s="38" t="s">
        <v>143</v>
      </c>
      <c r="C21" s="38">
        <v>6164</v>
      </c>
      <c r="D21" s="38">
        <v>2974</v>
      </c>
      <c r="E21" s="38">
        <v>3190</v>
      </c>
      <c r="F21" s="8"/>
    </row>
    <row r="22" spans="1:6" x14ac:dyDescent="0.4">
      <c r="A22" s="34">
        <v>7</v>
      </c>
      <c r="B22" s="38" t="s">
        <v>144</v>
      </c>
      <c r="C22" s="38">
        <v>7368</v>
      </c>
      <c r="D22" s="38">
        <v>3595</v>
      </c>
      <c r="E22" s="38">
        <v>3773</v>
      </c>
      <c r="F22" s="8"/>
    </row>
    <row r="23" spans="1:6" x14ac:dyDescent="0.4">
      <c r="A23" s="34">
        <v>8</v>
      </c>
      <c r="B23" s="38" t="s">
        <v>145</v>
      </c>
      <c r="C23" s="38">
        <v>24654</v>
      </c>
      <c r="D23" s="38">
        <v>11770</v>
      </c>
      <c r="E23" s="38">
        <v>12884</v>
      </c>
      <c r="F23" s="8"/>
    </row>
    <row r="24" spans="1:6" x14ac:dyDescent="0.4">
      <c r="A24" s="34">
        <v>9</v>
      </c>
      <c r="B24" s="38" t="s">
        <v>146</v>
      </c>
      <c r="C24" s="38">
        <v>11832</v>
      </c>
      <c r="D24" s="38">
        <v>5876</v>
      </c>
      <c r="E24" s="38">
        <v>5956</v>
      </c>
      <c r="F24" s="8"/>
    </row>
    <row r="25" spans="1:6" x14ac:dyDescent="0.4">
      <c r="A25" s="34">
        <v>10</v>
      </c>
      <c r="B25" s="38" t="s">
        <v>147</v>
      </c>
      <c r="C25" s="38">
        <v>2025</v>
      </c>
      <c r="D25" s="38">
        <v>986</v>
      </c>
      <c r="E25" s="38">
        <v>1039</v>
      </c>
      <c r="F25" s="8"/>
    </row>
    <row r="26" spans="1:6" x14ac:dyDescent="0.4">
      <c r="A26" s="34">
        <v>11</v>
      </c>
      <c r="B26" s="38" t="s">
        <v>148</v>
      </c>
      <c r="C26" s="38">
        <v>7836</v>
      </c>
      <c r="D26" s="38">
        <v>3823</v>
      </c>
      <c r="E26" s="38">
        <v>4013</v>
      </c>
      <c r="F26" s="8"/>
    </row>
    <row r="27" spans="1:6" x14ac:dyDescent="0.4">
      <c r="A27" s="34">
        <v>12</v>
      </c>
      <c r="B27" s="38" t="s">
        <v>149</v>
      </c>
      <c r="C27" s="38">
        <v>15422</v>
      </c>
      <c r="D27" s="38">
        <v>7453</v>
      </c>
      <c r="E27" s="38">
        <v>7969</v>
      </c>
      <c r="F27" s="8"/>
    </row>
    <row r="28" spans="1:6" x14ac:dyDescent="0.4">
      <c r="A28" s="35">
        <v>13</v>
      </c>
      <c r="B28" s="45" t="s">
        <v>150</v>
      </c>
      <c r="C28" s="45">
        <v>13555</v>
      </c>
      <c r="D28" s="45">
        <v>6654</v>
      </c>
      <c r="E28" s="45">
        <v>6901</v>
      </c>
      <c r="F28" s="8"/>
    </row>
  </sheetData>
  <mergeCells count="4">
    <mergeCell ref="A4:A5"/>
    <mergeCell ref="B4:B5"/>
    <mergeCell ref="C4:E4"/>
    <mergeCell ref="A1:E1"/>
  </mergeCells>
  <hyperlinks>
    <hyperlink ref="A1:E1" location="'Link of Township'!A1" display="Shan State,Taunggyi District,  Hsihseng Township"/>
  </hyperlinks>
  <pageMargins left="0.75" right="0.5" top="0.5" bottom="0.2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workbookViewId="0">
      <selection sqref="A1:XFD1"/>
    </sheetView>
  </sheetViews>
  <sheetFormatPr defaultRowHeight="21.75" x14ac:dyDescent="0.4"/>
  <cols>
    <col min="1" max="1" width="9.140625" style="3"/>
    <col min="2" max="2" width="24.42578125" style="3" customWidth="1"/>
    <col min="3" max="5" width="15.7109375" style="3" customWidth="1"/>
    <col min="6" max="16384" width="9.140625" style="3"/>
  </cols>
  <sheetData>
    <row r="1" spans="1:8" x14ac:dyDescent="0.4">
      <c r="A1" s="180" t="s">
        <v>1345</v>
      </c>
      <c r="B1" s="180"/>
      <c r="C1" s="180"/>
      <c r="D1" s="180"/>
      <c r="E1" s="180"/>
    </row>
    <row r="2" spans="1:8" x14ac:dyDescent="0.4">
      <c r="A2" s="42"/>
      <c r="B2" s="42"/>
      <c r="C2" s="42"/>
      <c r="D2" s="42"/>
      <c r="E2" s="72" t="s">
        <v>1341</v>
      </c>
    </row>
    <row r="3" spans="1:8" ht="9.75" customHeight="1" x14ac:dyDescent="0.4">
      <c r="A3" s="42"/>
      <c r="B3" s="42"/>
      <c r="C3" s="42"/>
      <c r="D3" s="42"/>
      <c r="E3" s="42"/>
    </row>
    <row r="4" spans="1:8" x14ac:dyDescent="0.4">
      <c r="A4" s="173" t="s">
        <v>1339</v>
      </c>
      <c r="B4" s="173" t="s">
        <v>1422</v>
      </c>
      <c r="C4" s="174" t="s">
        <v>1340</v>
      </c>
      <c r="D4" s="175"/>
      <c r="E4" s="176"/>
    </row>
    <row r="5" spans="1:8" x14ac:dyDescent="0.4">
      <c r="A5" s="173"/>
      <c r="B5" s="173"/>
      <c r="C5" s="22" t="s">
        <v>0</v>
      </c>
      <c r="D5" s="22" t="s">
        <v>1</v>
      </c>
      <c r="E5" s="22" t="s">
        <v>2</v>
      </c>
    </row>
    <row r="6" spans="1:8" x14ac:dyDescent="0.4">
      <c r="A6" s="46"/>
      <c r="B6" s="26" t="s">
        <v>0</v>
      </c>
      <c r="C6" s="44">
        <v>186083</v>
      </c>
      <c r="D6" s="44">
        <v>93092</v>
      </c>
      <c r="E6" s="44">
        <v>92991</v>
      </c>
      <c r="F6" s="8"/>
      <c r="G6" s="8"/>
      <c r="H6" s="8"/>
    </row>
    <row r="7" spans="1:8" ht="9.75" customHeight="1" x14ac:dyDescent="0.4">
      <c r="A7" s="34"/>
      <c r="B7" s="31"/>
      <c r="C7" s="31"/>
      <c r="D7" s="31"/>
      <c r="E7" s="31"/>
      <c r="F7" s="8"/>
      <c r="G7" s="8"/>
      <c r="H7" s="8"/>
    </row>
    <row r="8" spans="1:8" x14ac:dyDescent="0.4">
      <c r="A8" s="34"/>
      <c r="B8" s="31" t="s">
        <v>1338</v>
      </c>
      <c r="C8" s="31">
        <f>C10+C23</f>
        <v>57797</v>
      </c>
      <c r="D8" s="31">
        <f t="shared" ref="D8:E8" si="0">D10+D23</f>
        <v>28672</v>
      </c>
      <c r="E8" s="31">
        <f t="shared" si="0"/>
        <v>29125</v>
      </c>
      <c r="F8" s="8"/>
      <c r="G8" s="8"/>
      <c r="H8" s="8"/>
    </row>
    <row r="9" spans="1:8" ht="21" customHeight="1" x14ac:dyDescent="0.4">
      <c r="A9" s="17"/>
      <c r="B9" s="17"/>
      <c r="C9" s="17"/>
      <c r="D9" s="17"/>
      <c r="E9" s="17"/>
      <c r="F9" s="8"/>
      <c r="G9" s="8"/>
      <c r="H9" s="8"/>
    </row>
    <row r="10" spans="1:8" ht="20.25" customHeight="1" x14ac:dyDescent="0.4">
      <c r="A10" s="34"/>
      <c r="B10" s="31" t="s">
        <v>1415</v>
      </c>
      <c r="C10" s="31">
        <f>SUM(C11:C21)</f>
        <v>19962</v>
      </c>
      <c r="D10" s="31">
        <f t="shared" ref="D10:E10" si="1">SUM(D11:D21)</f>
        <v>9933</v>
      </c>
      <c r="E10" s="31">
        <f t="shared" si="1"/>
        <v>10029</v>
      </c>
      <c r="F10" s="8"/>
      <c r="G10" s="8"/>
      <c r="H10" s="8"/>
    </row>
    <row r="11" spans="1:8" ht="20.25" customHeight="1" x14ac:dyDescent="0.4">
      <c r="A11" s="34">
        <v>1</v>
      </c>
      <c r="B11" s="38" t="s">
        <v>25</v>
      </c>
      <c r="C11" s="38">
        <v>2727</v>
      </c>
      <c r="D11" s="38">
        <v>1341</v>
      </c>
      <c r="E11" s="38">
        <v>1386</v>
      </c>
      <c r="F11" s="8"/>
      <c r="G11" s="8"/>
      <c r="H11" s="8"/>
    </row>
    <row r="12" spans="1:8" ht="20.25" customHeight="1" x14ac:dyDescent="0.4">
      <c r="A12" s="34">
        <v>2</v>
      </c>
      <c r="B12" s="38" t="s">
        <v>26</v>
      </c>
      <c r="C12" s="38">
        <v>1489</v>
      </c>
      <c r="D12" s="38">
        <v>716</v>
      </c>
      <c r="E12" s="38">
        <v>773</v>
      </c>
      <c r="F12" s="8"/>
      <c r="G12" s="8"/>
      <c r="H12" s="8"/>
    </row>
    <row r="13" spans="1:8" ht="20.25" customHeight="1" x14ac:dyDescent="0.4">
      <c r="A13" s="34">
        <v>3</v>
      </c>
      <c r="B13" s="38" t="s">
        <v>27</v>
      </c>
      <c r="C13" s="38">
        <v>3757</v>
      </c>
      <c r="D13" s="38">
        <v>1878</v>
      </c>
      <c r="E13" s="38">
        <v>1879</v>
      </c>
      <c r="F13" s="8"/>
      <c r="G13" s="8"/>
      <c r="H13" s="8"/>
    </row>
    <row r="14" spans="1:8" ht="20.25" customHeight="1" x14ac:dyDescent="0.4">
      <c r="A14" s="34">
        <v>4</v>
      </c>
      <c r="B14" s="38" t="s">
        <v>28</v>
      </c>
      <c r="C14" s="38">
        <v>1379</v>
      </c>
      <c r="D14" s="38">
        <v>614</v>
      </c>
      <c r="E14" s="38">
        <v>765</v>
      </c>
      <c r="F14" s="8"/>
      <c r="G14" s="8"/>
      <c r="H14" s="8"/>
    </row>
    <row r="15" spans="1:8" ht="20.25" customHeight="1" x14ac:dyDescent="0.4">
      <c r="A15" s="34">
        <v>5</v>
      </c>
      <c r="B15" s="38" t="s">
        <v>29</v>
      </c>
      <c r="C15" s="38">
        <v>1101</v>
      </c>
      <c r="D15" s="38">
        <v>614</v>
      </c>
      <c r="E15" s="38">
        <v>487</v>
      </c>
      <c r="F15" s="8"/>
      <c r="G15" s="8"/>
      <c r="H15" s="8"/>
    </row>
    <row r="16" spans="1:8" ht="20.25" customHeight="1" x14ac:dyDescent="0.4">
      <c r="A16" s="34">
        <v>6</v>
      </c>
      <c r="B16" s="38" t="s">
        <v>30</v>
      </c>
      <c r="C16" s="38">
        <v>1612</v>
      </c>
      <c r="D16" s="38">
        <v>760</v>
      </c>
      <c r="E16" s="38">
        <v>852</v>
      </c>
      <c r="F16" s="8"/>
      <c r="G16" s="8"/>
      <c r="H16" s="8"/>
    </row>
    <row r="17" spans="1:8" ht="20.25" customHeight="1" x14ac:dyDescent="0.4">
      <c r="A17" s="34">
        <v>7</v>
      </c>
      <c r="B17" s="38" t="s">
        <v>31</v>
      </c>
      <c r="C17" s="38">
        <v>2318</v>
      </c>
      <c r="D17" s="38">
        <v>1144</v>
      </c>
      <c r="E17" s="38">
        <v>1174</v>
      </c>
      <c r="F17" s="8"/>
      <c r="G17" s="8"/>
      <c r="H17" s="8"/>
    </row>
    <row r="18" spans="1:8" ht="20.25" customHeight="1" x14ac:dyDescent="0.4">
      <c r="A18" s="34">
        <v>8</v>
      </c>
      <c r="B18" s="38" t="s">
        <v>32</v>
      </c>
      <c r="C18" s="38">
        <v>1351</v>
      </c>
      <c r="D18" s="38">
        <v>643</v>
      </c>
      <c r="E18" s="38">
        <v>708</v>
      </c>
      <c r="F18" s="8"/>
      <c r="G18" s="8"/>
      <c r="H18" s="8"/>
    </row>
    <row r="19" spans="1:8" ht="20.25" customHeight="1" x14ac:dyDescent="0.4">
      <c r="A19" s="34">
        <v>9</v>
      </c>
      <c r="B19" s="38" t="s">
        <v>33</v>
      </c>
      <c r="C19" s="38">
        <v>1216</v>
      </c>
      <c r="D19" s="38">
        <v>607</v>
      </c>
      <c r="E19" s="38">
        <v>609</v>
      </c>
      <c r="F19" s="8"/>
      <c r="G19" s="8"/>
      <c r="H19" s="8"/>
    </row>
    <row r="20" spans="1:8" ht="20.25" customHeight="1" x14ac:dyDescent="0.4">
      <c r="A20" s="34">
        <v>10</v>
      </c>
      <c r="B20" s="38" t="s">
        <v>34</v>
      </c>
      <c r="C20" s="38">
        <v>2361</v>
      </c>
      <c r="D20" s="38">
        <v>1257</v>
      </c>
      <c r="E20" s="38">
        <v>1104</v>
      </c>
      <c r="F20" s="8"/>
      <c r="G20" s="8"/>
      <c r="H20" s="8"/>
    </row>
    <row r="21" spans="1:8" ht="20.25" customHeight="1" x14ac:dyDescent="0.4">
      <c r="A21" s="34">
        <v>11</v>
      </c>
      <c r="B21" s="38" t="s">
        <v>35</v>
      </c>
      <c r="C21" s="38">
        <v>651</v>
      </c>
      <c r="D21" s="38">
        <v>359</v>
      </c>
      <c r="E21" s="38">
        <v>292</v>
      </c>
      <c r="F21" s="8"/>
      <c r="G21" s="8"/>
      <c r="H21" s="8"/>
    </row>
    <row r="22" spans="1:8" ht="20.25" customHeight="1" x14ac:dyDescent="0.4">
      <c r="A22" s="34"/>
      <c r="B22" s="17"/>
      <c r="C22" s="17"/>
      <c r="D22" s="17"/>
      <c r="E22" s="17"/>
      <c r="F22" s="8"/>
      <c r="G22" s="8"/>
      <c r="H22" s="8"/>
    </row>
    <row r="23" spans="1:8" ht="20.25" customHeight="1" x14ac:dyDescent="0.4">
      <c r="A23" s="34"/>
      <c r="B23" s="47" t="s">
        <v>1414</v>
      </c>
      <c r="C23" s="47">
        <f>SUM(C24:C35)</f>
        <v>37835</v>
      </c>
      <c r="D23" s="47">
        <f t="shared" ref="D23:E23" si="2">SUM(D24:D35)</f>
        <v>18739</v>
      </c>
      <c r="E23" s="47">
        <f t="shared" si="2"/>
        <v>19096</v>
      </c>
      <c r="F23" s="8"/>
      <c r="G23" s="8"/>
      <c r="H23" s="8"/>
    </row>
    <row r="24" spans="1:8" ht="20.25" customHeight="1" x14ac:dyDescent="0.4">
      <c r="A24" s="34">
        <v>12</v>
      </c>
      <c r="B24" s="38" t="s">
        <v>151</v>
      </c>
      <c r="C24" s="38">
        <v>5959</v>
      </c>
      <c r="D24" s="38">
        <v>2891</v>
      </c>
      <c r="E24" s="38">
        <v>3068</v>
      </c>
      <c r="F24" s="8"/>
      <c r="G24" s="8"/>
      <c r="H24" s="8"/>
    </row>
    <row r="25" spans="1:8" ht="20.25" customHeight="1" x14ac:dyDescent="0.4">
      <c r="A25" s="34">
        <v>13</v>
      </c>
      <c r="B25" s="38" t="s">
        <v>152</v>
      </c>
      <c r="C25" s="38">
        <v>3430</v>
      </c>
      <c r="D25" s="38">
        <v>1758</v>
      </c>
      <c r="E25" s="38">
        <v>1672</v>
      </c>
      <c r="F25" s="8"/>
      <c r="G25" s="8"/>
      <c r="H25" s="8"/>
    </row>
    <row r="26" spans="1:8" ht="20.25" customHeight="1" x14ac:dyDescent="0.4">
      <c r="A26" s="34">
        <v>14</v>
      </c>
      <c r="B26" s="38" t="s">
        <v>153</v>
      </c>
      <c r="C26" s="38">
        <v>2205</v>
      </c>
      <c r="D26" s="38">
        <v>1017</v>
      </c>
      <c r="E26" s="38">
        <v>1188</v>
      </c>
      <c r="F26" s="8"/>
      <c r="G26" s="8"/>
      <c r="H26" s="8"/>
    </row>
    <row r="27" spans="1:8" ht="20.25" customHeight="1" x14ac:dyDescent="0.4">
      <c r="A27" s="34">
        <v>15</v>
      </c>
      <c r="B27" s="38" t="s">
        <v>25</v>
      </c>
      <c r="C27" s="38">
        <v>549</v>
      </c>
      <c r="D27" s="38">
        <v>255</v>
      </c>
      <c r="E27" s="38">
        <v>294</v>
      </c>
      <c r="F27" s="8"/>
      <c r="G27" s="8"/>
      <c r="H27" s="8"/>
    </row>
    <row r="28" spans="1:8" ht="20.25" customHeight="1" x14ac:dyDescent="0.4">
      <c r="A28" s="34">
        <v>16</v>
      </c>
      <c r="B28" s="38" t="s">
        <v>26</v>
      </c>
      <c r="C28" s="38">
        <v>880</v>
      </c>
      <c r="D28" s="38">
        <v>386</v>
      </c>
      <c r="E28" s="38">
        <v>494</v>
      </c>
      <c r="F28" s="8"/>
      <c r="G28" s="8"/>
      <c r="H28" s="8"/>
    </row>
    <row r="29" spans="1:8" ht="20.25" customHeight="1" x14ac:dyDescent="0.4">
      <c r="A29" s="34">
        <v>17</v>
      </c>
      <c r="B29" s="38" t="s">
        <v>154</v>
      </c>
      <c r="C29" s="38">
        <v>2568</v>
      </c>
      <c r="D29" s="38">
        <v>1315</v>
      </c>
      <c r="E29" s="38">
        <v>1253</v>
      </c>
      <c r="F29" s="8"/>
      <c r="G29" s="8"/>
      <c r="H29" s="8"/>
    </row>
    <row r="30" spans="1:8" ht="20.25" customHeight="1" x14ac:dyDescent="0.4">
      <c r="A30" s="34">
        <v>18</v>
      </c>
      <c r="B30" s="38" t="s">
        <v>27</v>
      </c>
      <c r="C30" s="38">
        <v>6357</v>
      </c>
      <c r="D30" s="38">
        <v>3163</v>
      </c>
      <c r="E30" s="38">
        <v>3194</v>
      </c>
      <c r="F30" s="8"/>
      <c r="G30" s="8"/>
      <c r="H30" s="8"/>
    </row>
    <row r="31" spans="1:8" ht="20.25" customHeight="1" x14ac:dyDescent="0.4">
      <c r="A31" s="34">
        <v>19</v>
      </c>
      <c r="B31" s="38" t="s">
        <v>28</v>
      </c>
      <c r="C31" s="38">
        <v>831</v>
      </c>
      <c r="D31" s="38">
        <v>379</v>
      </c>
      <c r="E31" s="38">
        <v>452</v>
      </c>
      <c r="F31" s="8"/>
      <c r="G31" s="8"/>
      <c r="H31" s="8"/>
    </row>
    <row r="32" spans="1:8" ht="20.25" customHeight="1" x14ac:dyDescent="0.4">
      <c r="A32" s="34">
        <v>20</v>
      </c>
      <c r="B32" s="38" t="s">
        <v>155</v>
      </c>
      <c r="C32" s="38">
        <v>1469</v>
      </c>
      <c r="D32" s="38">
        <v>668</v>
      </c>
      <c r="E32" s="38">
        <v>801</v>
      </c>
      <c r="F32" s="8"/>
      <c r="G32" s="8"/>
      <c r="H32" s="8"/>
    </row>
    <row r="33" spans="1:8" ht="20.25" customHeight="1" x14ac:dyDescent="0.4">
      <c r="A33" s="34">
        <v>21</v>
      </c>
      <c r="B33" s="38" t="s">
        <v>156</v>
      </c>
      <c r="C33" s="38">
        <v>5728</v>
      </c>
      <c r="D33" s="38">
        <v>2854</v>
      </c>
      <c r="E33" s="38">
        <v>2874</v>
      </c>
      <c r="F33" s="8"/>
      <c r="G33" s="8"/>
      <c r="H33" s="8"/>
    </row>
    <row r="34" spans="1:8" ht="20.25" customHeight="1" x14ac:dyDescent="0.4">
      <c r="A34" s="34">
        <v>22</v>
      </c>
      <c r="B34" s="38" t="s">
        <v>47</v>
      </c>
      <c r="C34" s="38">
        <v>3793</v>
      </c>
      <c r="D34" s="38">
        <v>1841</v>
      </c>
      <c r="E34" s="38">
        <v>1952</v>
      </c>
      <c r="F34" s="8"/>
      <c r="G34" s="8"/>
      <c r="H34" s="8"/>
    </row>
    <row r="35" spans="1:8" ht="20.25" customHeight="1" x14ac:dyDescent="0.4">
      <c r="A35" s="34">
        <v>23</v>
      </c>
      <c r="B35" s="38" t="s">
        <v>157</v>
      </c>
      <c r="C35" s="38">
        <v>4066</v>
      </c>
      <c r="D35" s="38">
        <v>2212</v>
      </c>
      <c r="E35" s="38">
        <v>1854</v>
      </c>
      <c r="F35" s="8"/>
      <c r="G35" s="8"/>
      <c r="H35" s="8"/>
    </row>
    <row r="36" spans="1:8" ht="20.25" customHeight="1" x14ac:dyDescent="0.4">
      <c r="A36" s="34"/>
      <c r="B36" s="47" t="s">
        <v>1410</v>
      </c>
      <c r="C36" s="47">
        <f>SUM(C37:C61)</f>
        <v>128286</v>
      </c>
      <c r="D36" s="47">
        <f t="shared" ref="D36:E36" si="3">SUM(D37:D61)</f>
        <v>64420</v>
      </c>
      <c r="E36" s="47">
        <f t="shared" si="3"/>
        <v>63866</v>
      </c>
      <c r="F36" s="8"/>
      <c r="G36" s="8"/>
      <c r="H36" s="8"/>
    </row>
    <row r="37" spans="1:8" ht="20.25" customHeight="1" x14ac:dyDescent="0.4">
      <c r="A37" s="34">
        <v>1</v>
      </c>
      <c r="B37" s="38" t="s">
        <v>158</v>
      </c>
      <c r="C37" s="38">
        <v>3350</v>
      </c>
      <c r="D37" s="38">
        <v>1700</v>
      </c>
      <c r="E37" s="38">
        <v>1650</v>
      </c>
      <c r="F37" s="8"/>
      <c r="G37" s="8"/>
      <c r="H37" s="8"/>
    </row>
    <row r="38" spans="1:8" ht="20.25" customHeight="1" x14ac:dyDescent="0.4">
      <c r="A38" s="34">
        <v>2</v>
      </c>
      <c r="B38" s="38" t="s">
        <v>159</v>
      </c>
      <c r="C38" s="38">
        <v>2701</v>
      </c>
      <c r="D38" s="38">
        <v>1435</v>
      </c>
      <c r="E38" s="38">
        <v>1266</v>
      </c>
      <c r="F38" s="8"/>
      <c r="G38" s="8"/>
      <c r="H38" s="8"/>
    </row>
    <row r="39" spans="1:8" ht="20.25" customHeight="1" x14ac:dyDescent="0.4">
      <c r="A39" s="34">
        <v>3</v>
      </c>
      <c r="B39" s="38" t="s">
        <v>160</v>
      </c>
      <c r="C39" s="38">
        <v>5254</v>
      </c>
      <c r="D39" s="38">
        <v>2783</v>
      </c>
      <c r="E39" s="38">
        <v>2471</v>
      </c>
      <c r="F39" s="8"/>
      <c r="G39" s="8"/>
      <c r="H39" s="8"/>
    </row>
    <row r="40" spans="1:8" x14ac:dyDescent="0.4">
      <c r="A40" s="34">
        <v>4</v>
      </c>
      <c r="B40" s="38" t="s">
        <v>161</v>
      </c>
      <c r="C40" s="38">
        <v>4494</v>
      </c>
      <c r="D40" s="38">
        <v>2243</v>
      </c>
      <c r="E40" s="38">
        <v>2251</v>
      </c>
      <c r="F40" s="8"/>
      <c r="G40" s="8"/>
      <c r="H40" s="8"/>
    </row>
    <row r="41" spans="1:8" x14ac:dyDescent="0.4">
      <c r="A41" s="34">
        <v>5</v>
      </c>
      <c r="B41" s="38" t="s">
        <v>162</v>
      </c>
      <c r="C41" s="38">
        <v>2904</v>
      </c>
      <c r="D41" s="38">
        <v>1482</v>
      </c>
      <c r="E41" s="38">
        <v>1422</v>
      </c>
      <c r="F41" s="8"/>
      <c r="G41" s="8"/>
      <c r="H41" s="8"/>
    </row>
    <row r="42" spans="1:8" x14ac:dyDescent="0.4">
      <c r="A42" s="34">
        <v>6</v>
      </c>
      <c r="B42" s="38" t="s">
        <v>163</v>
      </c>
      <c r="C42" s="38">
        <v>2141</v>
      </c>
      <c r="D42" s="38">
        <v>1118</v>
      </c>
      <c r="E42" s="38">
        <v>1023</v>
      </c>
      <c r="F42" s="8"/>
      <c r="G42" s="8"/>
      <c r="H42" s="8"/>
    </row>
    <row r="43" spans="1:8" x14ac:dyDescent="0.4">
      <c r="A43" s="34">
        <v>7</v>
      </c>
      <c r="B43" s="38" t="s">
        <v>164</v>
      </c>
      <c r="C43" s="38">
        <v>2784</v>
      </c>
      <c r="D43" s="38">
        <v>1397</v>
      </c>
      <c r="E43" s="38">
        <v>1387</v>
      </c>
      <c r="F43" s="8"/>
      <c r="G43" s="8"/>
      <c r="H43" s="8"/>
    </row>
    <row r="44" spans="1:8" x14ac:dyDescent="0.4">
      <c r="A44" s="34">
        <v>8</v>
      </c>
      <c r="B44" s="38" t="s">
        <v>165</v>
      </c>
      <c r="C44" s="38">
        <v>9220</v>
      </c>
      <c r="D44" s="38">
        <v>5221</v>
      </c>
      <c r="E44" s="38">
        <v>3999</v>
      </c>
      <c r="F44" s="8"/>
      <c r="G44" s="8"/>
      <c r="H44" s="8"/>
    </row>
    <row r="45" spans="1:8" x14ac:dyDescent="0.4">
      <c r="A45" s="34">
        <v>9</v>
      </c>
      <c r="B45" s="38" t="s">
        <v>166</v>
      </c>
      <c r="C45" s="38">
        <v>6496</v>
      </c>
      <c r="D45" s="38">
        <v>3248</v>
      </c>
      <c r="E45" s="38">
        <v>3248</v>
      </c>
      <c r="F45" s="8"/>
      <c r="G45" s="8"/>
      <c r="H45" s="8"/>
    </row>
    <row r="46" spans="1:8" x14ac:dyDescent="0.4">
      <c r="A46" s="34">
        <v>10</v>
      </c>
      <c r="B46" s="38" t="s">
        <v>167</v>
      </c>
      <c r="C46" s="38">
        <v>4169</v>
      </c>
      <c r="D46" s="38">
        <v>2097</v>
      </c>
      <c r="E46" s="38">
        <v>2072</v>
      </c>
      <c r="F46" s="8"/>
      <c r="G46" s="8"/>
      <c r="H46" s="8"/>
    </row>
    <row r="47" spans="1:8" x14ac:dyDescent="0.4">
      <c r="A47" s="34">
        <v>11</v>
      </c>
      <c r="B47" s="38" t="s">
        <v>168</v>
      </c>
      <c r="C47" s="38">
        <v>4607</v>
      </c>
      <c r="D47" s="38">
        <v>2290</v>
      </c>
      <c r="E47" s="38">
        <v>2317</v>
      </c>
      <c r="F47" s="8"/>
      <c r="G47" s="8"/>
      <c r="H47" s="8"/>
    </row>
    <row r="48" spans="1:8" x14ac:dyDescent="0.4">
      <c r="A48" s="34">
        <v>12</v>
      </c>
      <c r="B48" s="38" t="s">
        <v>169</v>
      </c>
      <c r="C48" s="38">
        <v>4220</v>
      </c>
      <c r="D48" s="38">
        <v>2053</v>
      </c>
      <c r="E48" s="38">
        <v>2167</v>
      </c>
      <c r="F48" s="8"/>
      <c r="G48" s="8"/>
      <c r="H48" s="8"/>
    </row>
    <row r="49" spans="1:8" x14ac:dyDescent="0.4">
      <c r="A49" s="34">
        <v>13</v>
      </c>
      <c r="B49" s="38" t="s">
        <v>170</v>
      </c>
      <c r="C49" s="38">
        <v>2951</v>
      </c>
      <c r="D49" s="38">
        <v>1455</v>
      </c>
      <c r="E49" s="38">
        <v>1496</v>
      </c>
      <c r="F49" s="8"/>
      <c r="G49" s="8"/>
      <c r="H49" s="8"/>
    </row>
    <row r="50" spans="1:8" x14ac:dyDescent="0.4">
      <c r="A50" s="34">
        <v>14</v>
      </c>
      <c r="B50" s="38" t="s">
        <v>171</v>
      </c>
      <c r="C50" s="38">
        <v>3781</v>
      </c>
      <c r="D50" s="38">
        <v>1898</v>
      </c>
      <c r="E50" s="38">
        <v>1883</v>
      </c>
      <c r="F50" s="8"/>
      <c r="G50" s="8"/>
      <c r="H50" s="8"/>
    </row>
    <row r="51" spans="1:8" x14ac:dyDescent="0.4">
      <c r="A51" s="34">
        <v>15</v>
      </c>
      <c r="B51" s="38" t="s">
        <v>172</v>
      </c>
      <c r="C51" s="38">
        <v>2117</v>
      </c>
      <c r="D51" s="38">
        <v>1048</v>
      </c>
      <c r="E51" s="38">
        <v>1069</v>
      </c>
      <c r="F51" s="8"/>
      <c r="G51" s="8"/>
      <c r="H51" s="8"/>
    </row>
    <row r="52" spans="1:8" x14ac:dyDescent="0.4">
      <c r="A52" s="34">
        <v>16</v>
      </c>
      <c r="B52" s="38" t="s">
        <v>173</v>
      </c>
      <c r="C52" s="38">
        <v>3000</v>
      </c>
      <c r="D52" s="38">
        <v>1511</v>
      </c>
      <c r="E52" s="38">
        <v>1489</v>
      </c>
      <c r="F52" s="8"/>
      <c r="G52" s="8"/>
      <c r="H52" s="8"/>
    </row>
    <row r="53" spans="1:8" x14ac:dyDescent="0.4">
      <c r="A53" s="34">
        <v>17</v>
      </c>
      <c r="B53" s="38" t="s">
        <v>174</v>
      </c>
      <c r="C53" s="38">
        <v>757</v>
      </c>
      <c r="D53" s="38">
        <v>400</v>
      </c>
      <c r="E53" s="38">
        <v>357</v>
      </c>
      <c r="F53" s="8"/>
      <c r="G53" s="8"/>
      <c r="H53" s="8"/>
    </row>
    <row r="54" spans="1:8" x14ac:dyDescent="0.4">
      <c r="A54" s="34">
        <v>18</v>
      </c>
      <c r="B54" s="38" t="s">
        <v>175</v>
      </c>
      <c r="C54" s="38">
        <v>4757</v>
      </c>
      <c r="D54" s="38">
        <v>2284</v>
      </c>
      <c r="E54" s="38">
        <v>2473</v>
      </c>
      <c r="F54" s="8"/>
      <c r="G54" s="8"/>
      <c r="H54" s="8"/>
    </row>
    <row r="55" spans="1:8" x14ac:dyDescent="0.4">
      <c r="A55" s="34">
        <v>19</v>
      </c>
      <c r="B55" s="38" t="s">
        <v>176</v>
      </c>
      <c r="C55" s="38">
        <v>2183</v>
      </c>
      <c r="D55" s="38">
        <v>1081</v>
      </c>
      <c r="E55" s="38">
        <v>1102</v>
      </c>
      <c r="F55" s="8"/>
      <c r="G55" s="8"/>
      <c r="H55" s="8"/>
    </row>
    <row r="56" spans="1:8" x14ac:dyDescent="0.4">
      <c r="A56" s="34">
        <v>20</v>
      </c>
      <c r="B56" s="38" t="s">
        <v>177</v>
      </c>
      <c r="C56" s="38">
        <v>17317</v>
      </c>
      <c r="D56" s="38">
        <v>8440</v>
      </c>
      <c r="E56" s="38">
        <v>8877</v>
      </c>
      <c r="F56" s="8"/>
      <c r="G56" s="8"/>
      <c r="H56" s="8"/>
    </row>
    <row r="57" spans="1:8" x14ac:dyDescent="0.4">
      <c r="A57" s="34">
        <v>21</v>
      </c>
      <c r="B57" s="38" t="s">
        <v>178</v>
      </c>
      <c r="C57" s="38">
        <v>7141</v>
      </c>
      <c r="D57" s="38">
        <v>3529</v>
      </c>
      <c r="E57" s="38">
        <v>3612</v>
      </c>
      <c r="F57" s="8"/>
      <c r="G57" s="8"/>
      <c r="H57" s="8"/>
    </row>
    <row r="58" spans="1:8" x14ac:dyDescent="0.4">
      <c r="A58" s="34">
        <v>22</v>
      </c>
      <c r="B58" s="38" t="s">
        <v>179</v>
      </c>
      <c r="C58" s="38">
        <v>5274</v>
      </c>
      <c r="D58" s="38">
        <v>2582</v>
      </c>
      <c r="E58" s="38">
        <v>2692</v>
      </c>
      <c r="F58" s="8"/>
      <c r="G58" s="8"/>
      <c r="H58" s="8"/>
    </row>
    <row r="59" spans="1:8" x14ac:dyDescent="0.4">
      <c r="A59" s="34">
        <v>23</v>
      </c>
      <c r="B59" s="38" t="s">
        <v>180</v>
      </c>
      <c r="C59" s="38">
        <v>12640</v>
      </c>
      <c r="D59" s="38">
        <v>6214</v>
      </c>
      <c r="E59" s="38">
        <v>6426</v>
      </c>
      <c r="F59" s="8"/>
      <c r="G59" s="8"/>
      <c r="H59" s="8"/>
    </row>
    <row r="60" spans="1:8" x14ac:dyDescent="0.4">
      <c r="A60" s="34">
        <v>24</v>
      </c>
      <c r="B60" s="38" t="s">
        <v>181</v>
      </c>
      <c r="C60" s="38">
        <v>11567</v>
      </c>
      <c r="D60" s="38">
        <v>5671</v>
      </c>
      <c r="E60" s="38">
        <v>5896</v>
      </c>
      <c r="F60" s="8"/>
      <c r="G60" s="8"/>
      <c r="H60" s="8"/>
    </row>
    <row r="61" spans="1:8" x14ac:dyDescent="0.4">
      <c r="A61" s="35">
        <v>25</v>
      </c>
      <c r="B61" s="45" t="s">
        <v>182</v>
      </c>
      <c r="C61" s="45">
        <v>2461</v>
      </c>
      <c r="D61" s="45">
        <v>1240</v>
      </c>
      <c r="E61" s="45">
        <v>1221</v>
      </c>
      <c r="F61" s="8"/>
      <c r="G61" s="8"/>
      <c r="H61" s="8"/>
    </row>
  </sheetData>
  <mergeCells count="4">
    <mergeCell ref="A4:A5"/>
    <mergeCell ref="B4:B5"/>
    <mergeCell ref="C4:E4"/>
    <mergeCell ref="A1:E1"/>
  </mergeCells>
  <hyperlinks>
    <hyperlink ref="A1:E1" location="'Link of Township'!A1" display="Shan State,Taunggyi District, Kalaw Township"/>
  </hyperlinks>
  <pageMargins left="0.75" right="0.5" top="0.5" bottom="0.2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workbookViewId="0">
      <selection sqref="A1:XFD1"/>
    </sheetView>
  </sheetViews>
  <sheetFormatPr defaultRowHeight="21.75" x14ac:dyDescent="0.4"/>
  <cols>
    <col min="1" max="1" width="9.140625" style="3"/>
    <col min="2" max="2" width="26.140625" style="3" customWidth="1"/>
    <col min="3" max="5" width="15.7109375" style="3" customWidth="1"/>
    <col min="6" max="16384" width="9.140625" style="3"/>
  </cols>
  <sheetData>
    <row r="1" spans="1:8" x14ac:dyDescent="0.4">
      <c r="A1" s="180" t="s">
        <v>1361</v>
      </c>
      <c r="B1" s="180"/>
      <c r="C1" s="180"/>
      <c r="D1" s="180"/>
      <c r="E1" s="180"/>
    </row>
    <row r="2" spans="1:8" x14ac:dyDescent="0.4">
      <c r="E2" s="73" t="s">
        <v>1341</v>
      </c>
    </row>
    <row r="3" spans="1:8" x14ac:dyDescent="0.4">
      <c r="A3" s="42"/>
      <c r="B3" s="42"/>
      <c r="C3" s="42"/>
      <c r="D3" s="42"/>
      <c r="E3" s="42"/>
    </row>
    <row r="4" spans="1:8" x14ac:dyDescent="0.4">
      <c r="A4" s="173" t="s">
        <v>1339</v>
      </c>
      <c r="B4" s="173" t="s">
        <v>1422</v>
      </c>
      <c r="C4" s="174" t="s">
        <v>1340</v>
      </c>
      <c r="D4" s="175"/>
      <c r="E4" s="176"/>
    </row>
    <row r="5" spans="1:8" x14ac:dyDescent="0.4">
      <c r="A5" s="173"/>
      <c r="B5" s="173"/>
      <c r="C5" s="22" t="s">
        <v>0</v>
      </c>
      <c r="D5" s="22" t="s">
        <v>1</v>
      </c>
      <c r="E5" s="22" t="s">
        <v>2</v>
      </c>
    </row>
    <row r="6" spans="1:8" x14ac:dyDescent="0.4">
      <c r="A6" s="46"/>
      <c r="B6" s="26" t="s">
        <v>0</v>
      </c>
      <c r="C6" s="44">
        <v>79303</v>
      </c>
      <c r="D6" s="44">
        <v>38468</v>
      </c>
      <c r="E6" s="44">
        <v>40835</v>
      </c>
      <c r="F6" s="8"/>
      <c r="G6" s="8"/>
      <c r="H6" s="8"/>
    </row>
    <row r="7" spans="1:8" ht="8.25" customHeight="1" x14ac:dyDescent="0.4">
      <c r="A7" s="34"/>
      <c r="B7" s="31"/>
      <c r="C7" s="31"/>
      <c r="D7" s="31"/>
      <c r="E7" s="31"/>
      <c r="F7" s="8"/>
      <c r="G7" s="8"/>
      <c r="H7" s="8"/>
    </row>
    <row r="8" spans="1:8" x14ac:dyDescent="0.4">
      <c r="A8" s="34"/>
      <c r="B8" s="31" t="s">
        <v>1338</v>
      </c>
      <c r="C8" s="31">
        <f>SUM(C9:C20)</f>
        <v>10762</v>
      </c>
      <c r="D8" s="31">
        <f t="shared" ref="D8:E8" si="0">SUM(D9:D20)</f>
        <v>5161</v>
      </c>
      <c r="E8" s="31">
        <f t="shared" si="0"/>
        <v>5601</v>
      </c>
      <c r="F8" s="8"/>
      <c r="G8" s="8"/>
      <c r="H8" s="8"/>
    </row>
    <row r="9" spans="1:8" x14ac:dyDescent="0.4">
      <c r="A9" s="34">
        <v>1</v>
      </c>
      <c r="B9" s="38" t="s">
        <v>183</v>
      </c>
      <c r="C9" s="38">
        <v>1011</v>
      </c>
      <c r="D9" s="38">
        <v>463</v>
      </c>
      <c r="E9" s="38">
        <v>548</v>
      </c>
      <c r="F9" s="8"/>
      <c r="G9" s="8"/>
      <c r="H9" s="8"/>
    </row>
    <row r="10" spans="1:8" x14ac:dyDescent="0.4">
      <c r="A10" s="34">
        <v>2</v>
      </c>
      <c r="B10" s="38" t="s">
        <v>184</v>
      </c>
      <c r="C10" s="38">
        <v>1356</v>
      </c>
      <c r="D10" s="38">
        <v>649</v>
      </c>
      <c r="E10" s="38">
        <v>707</v>
      </c>
      <c r="F10" s="8"/>
      <c r="G10" s="8"/>
      <c r="H10" s="8"/>
    </row>
    <row r="11" spans="1:8" x14ac:dyDescent="0.4">
      <c r="A11" s="34">
        <v>3</v>
      </c>
      <c r="B11" s="38" t="s">
        <v>185</v>
      </c>
      <c r="C11" s="38">
        <v>1032</v>
      </c>
      <c r="D11" s="38">
        <v>510</v>
      </c>
      <c r="E11" s="38">
        <v>522</v>
      </c>
      <c r="F11" s="8"/>
      <c r="G11" s="8"/>
      <c r="H11" s="8"/>
    </row>
    <row r="12" spans="1:8" x14ac:dyDescent="0.4">
      <c r="A12" s="34">
        <v>4</v>
      </c>
      <c r="B12" s="38" t="s">
        <v>186</v>
      </c>
      <c r="C12" s="38">
        <v>1474</v>
      </c>
      <c r="D12" s="38">
        <v>691</v>
      </c>
      <c r="E12" s="38">
        <v>783</v>
      </c>
      <c r="F12" s="8"/>
      <c r="G12" s="8"/>
      <c r="H12" s="8"/>
    </row>
    <row r="13" spans="1:8" x14ac:dyDescent="0.4">
      <c r="A13" s="34">
        <v>5</v>
      </c>
      <c r="B13" s="38" t="s">
        <v>187</v>
      </c>
      <c r="C13" s="38">
        <v>810</v>
      </c>
      <c r="D13" s="38">
        <v>392</v>
      </c>
      <c r="E13" s="38">
        <v>418</v>
      </c>
      <c r="F13" s="8"/>
      <c r="G13" s="8"/>
      <c r="H13" s="8"/>
    </row>
    <row r="14" spans="1:8" x14ac:dyDescent="0.4">
      <c r="A14" s="34">
        <v>6</v>
      </c>
      <c r="B14" s="38" t="s">
        <v>157</v>
      </c>
      <c r="C14" s="38">
        <v>1315</v>
      </c>
      <c r="D14" s="38">
        <v>685</v>
      </c>
      <c r="E14" s="38">
        <v>630</v>
      </c>
      <c r="F14" s="8"/>
      <c r="G14" s="8"/>
      <c r="H14" s="8"/>
    </row>
    <row r="15" spans="1:8" x14ac:dyDescent="0.4">
      <c r="A15" s="34">
        <v>7</v>
      </c>
      <c r="B15" s="38" t="s">
        <v>188</v>
      </c>
      <c r="C15" s="38">
        <v>550</v>
      </c>
      <c r="D15" s="38">
        <v>260</v>
      </c>
      <c r="E15" s="38">
        <v>290</v>
      </c>
      <c r="F15" s="8"/>
      <c r="G15" s="8"/>
      <c r="H15" s="8"/>
    </row>
    <row r="16" spans="1:8" x14ac:dyDescent="0.4">
      <c r="A16" s="34">
        <v>8</v>
      </c>
      <c r="B16" s="38" t="s">
        <v>15</v>
      </c>
      <c r="C16" s="38">
        <v>759</v>
      </c>
      <c r="D16" s="38">
        <v>387</v>
      </c>
      <c r="E16" s="38">
        <v>372</v>
      </c>
      <c r="F16" s="8"/>
      <c r="G16" s="8"/>
      <c r="H16" s="8"/>
    </row>
    <row r="17" spans="1:8" x14ac:dyDescent="0.4">
      <c r="A17" s="34">
        <v>9</v>
      </c>
      <c r="B17" s="38" t="s">
        <v>109</v>
      </c>
      <c r="C17" s="38">
        <v>560</v>
      </c>
      <c r="D17" s="38">
        <v>273</v>
      </c>
      <c r="E17" s="38">
        <v>287</v>
      </c>
      <c r="F17" s="8"/>
      <c r="G17" s="8"/>
      <c r="H17" s="8"/>
    </row>
    <row r="18" spans="1:8" x14ac:dyDescent="0.4">
      <c r="A18" s="34">
        <v>10</v>
      </c>
      <c r="B18" s="38" t="s">
        <v>189</v>
      </c>
      <c r="C18" s="38">
        <v>450</v>
      </c>
      <c r="D18" s="38">
        <v>202</v>
      </c>
      <c r="E18" s="38">
        <v>248</v>
      </c>
      <c r="F18" s="8"/>
      <c r="G18" s="8"/>
      <c r="H18" s="8"/>
    </row>
    <row r="19" spans="1:8" x14ac:dyDescent="0.4">
      <c r="A19" s="34">
        <v>11</v>
      </c>
      <c r="B19" s="38" t="s">
        <v>190</v>
      </c>
      <c r="C19" s="38">
        <v>1042</v>
      </c>
      <c r="D19" s="38">
        <v>463</v>
      </c>
      <c r="E19" s="38">
        <v>579</v>
      </c>
      <c r="F19" s="8"/>
      <c r="G19" s="8"/>
      <c r="H19" s="8"/>
    </row>
    <row r="20" spans="1:8" x14ac:dyDescent="0.4">
      <c r="A20" s="34">
        <v>12</v>
      </c>
      <c r="B20" s="38" t="s">
        <v>5</v>
      </c>
      <c r="C20" s="38">
        <v>403</v>
      </c>
      <c r="D20" s="38">
        <v>186</v>
      </c>
      <c r="E20" s="38">
        <v>217</v>
      </c>
      <c r="F20" s="8"/>
      <c r="G20" s="8"/>
      <c r="H20" s="8"/>
    </row>
    <row r="21" spans="1:8" x14ac:dyDescent="0.4">
      <c r="A21" s="34"/>
      <c r="B21" s="31" t="s">
        <v>1410</v>
      </c>
      <c r="C21" s="31">
        <f>SUM(C22:C48)</f>
        <v>68541</v>
      </c>
      <c r="D21" s="31">
        <f t="shared" ref="D21:E21" si="1">SUM(D22:D48)</f>
        <v>33307</v>
      </c>
      <c r="E21" s="31">
        <f t="shared" si="1"/>
        <v>35234</v>
      </c>
      <c r="F21" s="8"/>
      <c r="G21" s="8"/>
      <c r="H21" s="8"/>
    </row>
    <row r="22" spans="1:8" x14ac:dyDescent="0.4">
      <c r="A22" s="34">
        <v>1</v>
      </c>
      <c r="B22" s="38" t="s">
        <v>191</v>
      </c>
      <c r="C22" s="38">
        <v>1619</v>
      </c>
      <c r="D22" s="38">
        <v>782</v>
      </c>
      <c r="E22" s="38">
        <v>837</v>
      </c>
      <c r="F22" s="8"/>
      <c r="G22" s="8"/>
      <c r="H22" s="8"/>
    </row>
    <row r="23" spans="1:8" x14ac:dyDescent="0.4">
      <c r="A23" s="34">
        <v>2</v>
      </c>
      <c r="B23" s="38" t="s">
        <v>192</v>
      </c>
      <c r="C23" s="38">
        <v>1809</v>
      </c>
      <c r="D23" s="38">
        <v>832</v>
      </c>
      <c r="E23" s="38">
        <v>977</v>
      </c>
      <c r="F23" s="8"/>
      <c r="G23" s="8"/>
      <c r="H23" s="8"/>
    </row>
    <row r="24" spans="1:8" x14ac:dyDescent="0.4">
      <c r="A24" s="34">
        <v>3</v>
      </c>
      <c r="B24" s="38" t="s">
        <v>193</v>
      </c>
      <c r="C24" s="38">
        <v>3225</v>
      </c>
      <c r="D24" s="38">
        <v>1568</v>
      </c>
      <c r="E24" s="38">
        <v>1657</v>
      </c>
      <c r="F24" s="8"/>
      <c r="G24" s="8"/>
      <c r="H24" s="8"/>
    </row>
    <row r="25" spans="1:8" x14ac:dyDescent="0.4">
      <c r="A25" s="34">
        <v>4</v>
      </c>
      <c r="B25" s="38" t="s">
        <v>194</v>
      </c>
      <c r="C25" s="38">
        <v>1900</v>
      </c>
      <c r="D25" s="38">
        <v>886</v>
      </c>
      <c r="E25" s="38">
        <v>1014</v>
      </c>
      <c r="F25" s="8"/>
      <c r="G25" s="8"/>
      <c r="H25" s="8"/>
    </row>
    <row r="26" spans="1:8" x14ac:dyDescent="0.4">
      <c r="A26" s="34">
        <v>5</v>
      </c>
      <c r="B26" s="38" t="s">
        <v>195</v>
      </c>
      <c r="C26" s="38">
        <v>1481</v>
      </c>
      <c r="D26" s="38">
        <v>699</v>
      </c>
      <c r="E26" s="38">
        <v>782</v>
      </c>
      <c r="F26" s="8"/>
      <c r="G26" s="8"/>
      <c r="H26" s="8"/>
    </row>
    <row r="27" spans="1:8" x14ac:dyDescent="0.4">
      <c r="A27" s="34">
        <v>6</v>
      </c>
      <c r="B27" s="38" t="s">
        <v>196</v>
      </c>
      <c r="C27" s="38">
        <v>1384</v>
      </c>
      <c r="D27" s="38">
        <v>637</v>
      </c>
      <c r="E27" s="38">
        <v>747</v>
      </c>
      <c r="F27" s="8"/>
      <c r="G27" s="8"/>
      <c r="H27" s="8"/>
    </row>
    <row r="28" spans="1:8" x14ac:dyDescent="0.4">
      <c r="A28" s="34">
        <v>7</v>
      </c>
      <c r="B28" s="38" t="s">
        <v>197</v>
      </c>
      <c r="C28" s="38">
        <v>3025</v>
      </c>
      <c r="D28" s="38">
        <v>1496</v>
      </c>
      <c r="E28" s="38">
        <v>1529</v>
      </c>
      <c r="F28" s="8"/>
      <c r="G28" s="8"/>
      <c r="H28" s="8"/>
    </row>
    <row r="29" spans="1:8" x14ac:dyDescent="0.4">
      <c r="A29" s="34">
        <v>8</v>
      </c>
      <c r="B29" s="38" t="s">
        <v>198</v>
      </c>
      <c r="C29" s="38">
        <v>2106</v>
      </c>
      <c r="D29" s="38">
        <v>1049</v>
      </c>
      <c r="E29" s="38">
        <v>1057</v>
      </c>
      <c r="F29" s="8"/>
      <c r="G29" s="8"/>
      <c r="H29" s="8"/>
    </row>
    <row r="30" spans="1:8" x14ac:dyDescent="0.4">
      <c r="A30" s="34">
        <v>9</v>
      </c>
      <c r="B30" s="38" t="s">
        <v>199</v>
      </c>
      <c r="C30" s="38">
        <v>3262</v>
      </c>
      <c r="D30" s="38">
        <v>1606</v>
      </c>
      <c r="E30" s="38">
        <v>1656</v>
      </c>
      <c r="F30" s="8"/>
      <c r="G30" s="8"/>
      <c r="H30" s="8"/>
    </row>
    <row r="31" spans="1:8" x14ac:dyDescent="0.4">
      <c r="A31" s="34">
        <v>10</v>
      </c>
      <c r="B31" s="38" t="s">
        <v>200</v>
      </c>
      <c r="C31" s="38">
        <v>1518</v>
      </c>
      <c r="D31" s="38">
        <v>727</v>
      </c>
      <c r="E31" s="38">
        <v>791</v>
      </c>
      <c r="F31" s="8"/>
      <c r="G31" s="8"/>
      <c r="H31" s="8"/>
    </row>
    <row r="32" spans="1:8" x14ac:dyDescent="0.4">
      <c r="A32" s="34">
        <v>11</v>
      </c>
      <c r="B32" s="38" t="s">
        <v>201</v>
      </c>
      <c r="C32" s="38">
        <v>2378</v>
      </c>
      <c r="D32" s="38">
        <v>1138</v>
      </c>
      <c r="E32" s="38">
        <v>1240</v>
      </c>
      <c r="F32" s="8"/>
      <c r="G32" s="8"/>
      <c r="H32" s="8"/>
    </row>
    <row r="33" spans="1:8" x14ac:dyDescent="0.4">
      <c r="A33" s="34">
        <v>12</v>
      </c>
      <c r="B33" s="38" t="s">
        <v>202</v>
      </c>
      <c r="C33" s="38">
        <v>2110</v>
      </c>
      <c r="D33" s="38">
        <v>1053</v>
      </c>
      <c r="E33" s="38">
        <v>1057</v>
      </c>
      <c r="F33" s="8"/>
      <c r="G33" s="8"/>
      <c r="H33" s="8"/>
    </row>
    <row r="34" spans="1:8" x14ac:dyDescent="0.4">
      <c r="A34" s="34">
        <v>13</v>
      </c>
      <c r="B34" s="38" t="s">
        <v>203</v>
      </c>
      <c r="C34" s="38">
        <v>1392</v>
      </c>
      <c r="D34" s="38">
        <v>690</v>
      </c>
      <c r="E34" s="38">
        <v>702</v>
      </c>
      <c r="F34" s="8"/>
      <c r="G34" s="8"/>
      <c r="H34" s="8"/>
    </row>
    <row r="35" spans="1:8" x14ac:dyDescent="0.4">
      <c r="A35" s="34">
        <v>14</v>
      </c>
      <c r="B35" s="38" t="s">
        <v>204</v>
      </c>
      <c r="C35" s="38">
        <v>1286</v>
      </c>
      <c r="D35" s="38">
        <v>647</v>
      </c>
      <c r="E35" s="38">
        <v>639</v>
      </c>
      <c r="F35" s="8"/>
      <c r="G35" s="8"/>
      <c r="H35" s="8"/>
    </row>
    <row r="36" spans="1:8" x14ac:dyDescent="0.4">
      <c r="A36" s="34">
        <v>15</v>
      </c>
      <c r="B36" s="38" t="s">
        <v>205</v>
      </c>
      <c r="C36" s="38">
        <v>6379</v>
      </c>
      <c r="D36" s="38">
        <v>3195</v>
      </c>
      <c r="E36" s="38">
        <v>3184</v>
      </c>
      <c r="F36" s="8"/>
      <c r="G36" s="8"/>
      <c r="H36" s="8"/>
    </row>
    <row r="37" spans="1:8" x14ac:dyDescent="0.4">
      <c r="A37" s="34">
        <v>16</v>
      </c>
      <c r="B37" s="38" t="s">
        <v>206</v>
      </c>
      <c r="C37" s="38">
        <v>3984</v>
      </c>
      <c r="D37" s="38">
        <v>1869</v>
      </c>
      <c r="E37" s="38">
        <v>2115</v>
      </c>
      <c r="F37" s="8"/>
      <c r="G37" s="8"/>
      <c r="H37" s="8"/>
    </row>
    <row r="38" spans="1:8" x14ac:dyDescent="0.4">
      <c r="A38" s="34">
        <v>17</v>
      </c>
      <c r="B38" s="38" t="s">
        <v>207</v>
      </c>
      <c r="C38" s="38">
        <v>3411</v>
      </c>
      <c r="D38" s="38">
        <v>1672</v>
      </c>
      <c r="E38" s="38">
        <v>1739</v>
      </c>
      <c r="F38" s="8"/>
      <c r="G38" s="8"/>
      <c r="H38" s="8"/>
    </row>
    <row r="39" spans="1:8" x14ac:dyDescent="0.4">
      <c r="A39" s="34">
        <v>18</v>
      </c>
      <c r="B39" s="38" t="s">
        <v>208</v>
      </c>
      <c r="C39" s="38">
        <v>3112</v>
      </c>
      <c r="D39" s="38">
        <v>1519</v>
      </c>
      <c r="E39" s="38">
        <v>1593</v>
      </c>
      <c r="F39" s="8"/>
      <c r="G39" s="8"/>
      <c r="H39" s="8"/>
    </row>
    <row r="40" spans="1:8" x14ac:dyDescent="0.4">
      <c r="A40" s="34">
        <v>19</v>
      </c>
      <c r="B40" s="38" t="s">
        <v>209</v>
      </c>
      <c r="C40" s="38">
        <v>5980</v>
      </c>
      <c r="D40" s="38">
        <v>2890</v>
      </c>
      <c r="E40" s="38">
        <v>3090</v>
      </c>
      <c r="F40" s="8"/>
      <c r="G40" s="8"/>
      <c r="H40" s="8"/>
    </row>
    <row r="41" spans="1:8" x14ac:dyDescent="0.4">
      <c r="A41" s="34">
        <v>20</v>
      </c>
      <c r="B41" s="38" t="s">
        <v>210</v>
      </c>
      <c r="C41" s="38">
        <v>2240</v>
      </c>
      <c r="D41" s="38">
        <v>1032</v>
      </c>
      <c r="E41" s="38">
        <v>1208</v>
      </c>
      <c r="F41" s="8"/>
      <c r="G41" s="8"/>
      <c r="H41" s="8"/>
    </row>
    <row r="42" spans="1:8" x14ac:dyDescent="0.4">
      <c r="A42" s="34">
        <v>21</v>
      </c>
      <c r="B42" s="38" t="s">
        <v>211</v>
      </c>
      <c r="C42" s="38">
        <v>863</v>
      </c>
      <c r="D42" s="38">
        <v>402</v>
      </c>
      <c r="E42" s="38">
        <v>461</v>
      </c>
      <c r="F42" s="8"/>
      <c r="G42" s="8"/>
      <c r="H42" s="8"/>
    </row>
    <row r="43" spans="1:8" x14ac:dyDescent="0.4">
      <c r="A43" s="34">
        <v>22</v>
      </c>
      <c r="B43" s="38" t="s">
        <v>212</v>
      </c>
      <c r="C43" s="38">
        <v>2914</v>
      </c>
      <c r="D43" s="38">
        <v>1464</v>
      </c>
      <c r="E43" s="38">
        <v>1450</v>
      </c>
      <c r="F43" s="8"/>
      <c r="G43" s="8"/>
      <c r="H43" s="8"/>
    </row>
    <row r="44" spans="1:8" x14ac:dyDescent="0.4">
      <c r="A44" s="34">
        <v>23</v>
      </c>
      <c r="B44" s="38" t="s">
        <v>213</v>
      </c>
      <c r="C44" s="38">
        <v>2656</v>
      </c>
      <c r="D44" s="38">
        <v>1323</v>
      </c>
      <c r="E44" s="38">
        <v>1333</v>
      </c>
      <c r="F44" s="8"/>
      <c r="G44" s="8"/>
      <c r="H44" s="8"/>
    </row>
    <row r="45" spans="1:8" x14ac:dyDescent="0.4">
      <c r="A45" s="34">
        <v>24</v>
      </c>
      <c r="B45" s="38" t="s">
        <v>214</v>
      </c>
      <c r="C45" s="38">
        <v>1267</v>
      </c>
      <c r="D45" s="38">
        <v>625</v>
      </c>
      <c r="E45" s="38">
        <v>642</v>
      </c>
      <c r="F45" s="8"/>
      <c r="G45" s="8"/>
      <c r="H45" s="8"/>
    </row>
    <row r="46" spans="1:8" x14ac:dyDescent="0.4">
      <c r="A46" s="34">
        <v>25</v>
      </c>
      <c r="B46" s="38" t="s">
        <v>215</v>
      </c>
      <c r="C46" s="38">
        <v>1657</v>
      </c>
      <c r="D46" s="38">
        <v>796</v>
      </c>
      <c r="E46" s="38">
        <v>861</v>
      </c>
      <c r="F46" s="8"/>
      <c r="G46" s="8"/>
      <c r="H46" s="8"/>
    </row>
    <row r="47" spans="1:8" x14ac:dyDescent="0.4">
      <c r="A47" s="34">
        <v>26</v>
      </c>
      <c r="B47" s="38" t="s">
        <v>216</v>
      </c>
      <c r="C47" s="38">
        <v>3871</v>
      </c>
      <c r="D47" s="38">
        <v>1887</v>
      </c>
      <c r="E47" s="38">
        <v>1984</v>
      </c>
      <c r="F47" s="8"/>
      <c r="G47" s="8"/>
      <c r="H47" s="8"/>
    </row>
    <row r="48" spans="1:8" x14ac:dyDescent="0.4">
      <c r="A48" s="35">
        <v>27</v>
      </c>
      <c r="B48" s="45" t="s">
        <v>217</v>
      </c>
      <c r="C48" s="45">
        <v>1712</v>
      </c>
      <c r="D48" s="45">
        <v>823</v>
      </c>
      <c r="E48" s="45">
        <v>889</v>
      </c>
      <c r="F48" s="8"/>
      <c r="G48" s="8"/>
      <c r="H48" s="8"/>
    </row>
  </sheetData>
  <mergeCells count="4">
    <mergeCell ref="A4:A5"/>
    <mergeCell ref="B4:B5"/>
    <mergeCell ref="C4:E4"/>
    <mergeCell ref="A1:E1"/>
  </mergeCells>
  <hyperlinks>
    <hyperlink ref="A1:E1" location="'Link of Township'!A1" display="Shan State,Taunggyi District,  Pindaya Township"/>
  </hyperlinks>
  <pageMargins left="0.75" right="0.5" top="0.5" bottom="0.2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>
      <selection sqref="A1:XFD1"/>
    </sheetView>
  </sheetViews>
  <sheetFormatPr defaultRowHeight="15" x14ac:dyDescent="0.25"/>
  <cols>
    <col min="2" max="2" width="24.5703125" customWidth="1"/>
    <col min="3" max="5" width="15.7109375" customWidth="1"/>
  </cols>
  <sheetData>
    <row r="1" spans="1:5" ht="18.75" x14ac:dyDescent="0.3">
      <c r="A1" s="180" t="s">
        <v>1346</v>
      </c>
      <c r="B1" s="180"/>
      <c r="C1" s="180"/>
      <c r="D1" s="180"/>
      <c r="E1" s="180"/>
    </row>
    <row r="2" spans="1:5" ht="15.75" x14ac:dyDescent="0.25">
      <c r="A2" s="42"/>
      <c r="B2" s="42"/>
      <c r="C2" s="42"/>
      <c r="D2" s="42"/>
      <c r="E2" s="72" t="s">
        <v>1341</v>
      </c>
    </row>
    <row r="4" spans="1:5" ht="15.75" x14ac:dyDescent="0.25">
      <c r="A4" s="173" t="s">
        <v>1339</v>
      </c>
      <c r="B4" s="173" t="s">
        <v>1422</v>
      </c>
      <c r="C4" s="174" t="s">
        <v>1340</v>
      </c>
      <c r="D4" s="175"/>
      <c r="E4" s="176"/>
    </row>
    <row r="5" spans="1:5" ht="15.75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5" ht="21" customHeight="1" x14ac:dyDescent="0.25">
      <c r="A6" s="46"/>
      <c r="B6" s="26" t="s">
        <v>0</v>
      </c>
      <c r="C6" s="44">
        <v>82532</v>
      </c>
      <c r="D6" s="44">
        <v>41049</v>
      </c>
      <c r="E6" s="44">
        <v>41483</v>
      </c>
    </row>
    <row r="7" spans="1:5" ht="8.25" customHeight="1" x14ac:dyDescent="0.25">
      <c r="A7" s="34"/>
      <c r="B7" s="23"/>
      <c r="C7" s="23"/>
      <c r="D7" s="23"/>
      <c r="E7" s="23"/>
    </row>
    <row r="8" spans="1:5" ht="21.95" customHeight="1" x14ac:dyDescent="0.25">
      <c r="A8" s="34"/>
      <c r="B8" s="24" t="s">
        <v>1338</v>
      </c>
      <c r="C8" s="24">
        <f>SUM(C9:C11)</f>
        <v>4517</v>
      </c>
      <c r="D8" s="24">
        <f t="shared" ref="D8:E8" si="0">SUM(D9:D11)</f>
        <v>2220</v>
      </c>
      <c r="E8" s="24">
        <f t="shared" si="0"/>
        <v>2297</v>
      </c>
    </row>
    <row r="9" spans="1:5" ht="21.95" customHeight="1" x14ac:dyDescent="0.25">
      <c r="A9" s="34">
        <v>1</v>
      </c>
      <c r="B9" s="38" t="s">
        <v>184</v>
      </c>
      <c r="C9" s="38">
        <v>2587</v>
      </c>
      <c r="D9" s="38">
        <v>1238</v>
      </c>
      <c r="E9" s="38">
        <v>1349</v>
      </c>
    </row>
    <row r="10" spans="1:5" ht="21.95" customHeight="1" x14ac:dyDescent="0.25">
      <c r="A10" s="34">
        <v>2</v>
      </c>
      <c r="B10" s="38" t="s">
        <v>218</v>
      </c>
      <c r="C10" s="38">
        <v>666</v>
      </c>
      <c r="D10" s="38">
        <v>369</v>
      </c>
      <c r="E10" s="38">
        <v>297</v>
      </c>
    </row>
    <row r="11" spans="1:5" ht="21.95" customHeight="1" x14ac:dyDescent="0.25">
      <c r="A11" s="34">
        <v>3</v>
      </c>
      <c r="B11" s="38" t="s">
        <v>219</v>
      </c>
      <c r="C11" s="38">
        <v>1264</v>
      </c>
      <c r="D11" s="38">
        <v>613</v>
      </c>
      <c r="E11" s="38">
        <v>651</v>
      </c>
    </row>
    <row r="12" spans="1:5" ht="21.95" customHeight="1" x14ac:dyDescent="0.25">
      <c r="A12" s="34"/>
      <c r="B12" s="47" t="s">
        <v>1410</v>
      </c>
      <c r="C12" s="24">
        <f>SUM(C13:C40)</f>
        <v>78015</v>
      </c>
      <c r="D12" s="24">
        <f t="shared" ref="D12:E12" si="1">SUM(D13:D40)</f>
        <v>38829</v>
      </c>
      <c r="E12" s="24">
        <f t="shared" si="1"/>
        <v>39186</v>
      </c>
    </row>
    <row r="13" spans="1:5" ht="21.95" customHeight="1" x14ac:dyDescent="0.25">
      <c r="A13" s="34">
        <v>1</v>
      </c>
      <c r="B13" s="38" t="s">
        <v>220</v>
      </c>
      <c r="C13" s="38">
        <v>3203</v>
      </c>
      <c r="D13" s="38">
        <v>1558</v>
      </c>
      <c r="E13" s="38">
        <v>1645</v>
      </c>
    </row>
    <row r="14" spans="1:5" ht="21.95" customHeight="1" x14ac:dyDescent="0.25">
      <c r="A14" s="34">
        <v>2</v>
      </c>
      <c r="B14" s="38" t="s">
        <v>221</v>
      </c>
      <c r="C14" s="38">
        <v>4803</v>
      </c>
      <c r="D14" s="38">
        <v>2300</v>
      </c>
      <c r="E14" s="38">
        <v>2503</v>
      </c>
    </row>
    <row r="15" spans="1:5" ht="21.95" customHeight="1" x14ac:dyDescent="0.25">
      <c r="A15" s="34">
        <v>3</v>
      </c>
      <c r="B15" s="38" t="s">
        <v>222</v>
      </c>
      <c r="C15" s="38">
        <v>2934</v>
      </c>
      <c r="D15" s="38">
        <v>1405</v>
      </c>
      <c r="E15" s="38">
        <v>1529</v>
      </c>
    </row>
    <row r="16" spans="1:5" ht="21.95" customHeight="1" x14ac:dyDescent="0.25">
      <c r="A16" s="34">
        <v>4</v>
      </c>
      <c r="B16" s="38" t="s">
        <v>223</v>
      </c>
      <c r="C16" s="38">
        <v>1682</v>
      </c>
      <c r="D16" s="38">
        <v>863</v>
      </c>
      <c r="E16" s="38">
        <v>819</v>
      </c>
    </row>
    <row r="17" spans="1:5" ht="21.95" customHeight="1" x14ac:dyDescent="0.25">
      <c r="A17" s="34">
        <v>5</v>
      </c>
      <c r="B17" s="38" t="s">
        <v>224</v>
      </c>
      <c r="C17" s="38">
        <v>2386</v>
      </c>
      <c r="D17" s="38">
        <v>1168</v>
      </c>
      <c r="E17" s="38">
        <v>1218</v>
      </c>
    </row>
    <row r="18" spans="1:5" ht="21.95" customHeight="1" x14ac:dyDescent="0.25">
      <c r="A18" s="34">
        <v>6</v>
      </c>
      <c r="B18" s="38" t="s">
        <v>225</v>
      </c>
      <c r="C18" s="38">
        <v>960</v>
      </c>
      <c r="D18" s="38">
        <v>481</v>
      </c>
      <c r="E18" s="38">
        <v>479</v>
      </c>
    </row>
    <row r="19" spans="1:5" ht="21.95" customHeight="1" x14ac:dyDescent="0.25">
      <c r="A19" s="34">
        <v>7</v>
      </c>
      <c r="B19" s="38" t="s">
        <v>226</v>
      </c>
      <c r="C19" s="38">
        <v>4511</v>
      </c>
      <c r="D19" s="38">
        <v>2356</v>
      </c>
      <c r="E19" s="38">
        <v>2155</v>
      </c>
    </row>
    <row r="20" spans="1:5" ht="21.95" customHeight="1" x14ac:dyDescent="0.25">
      <c r="A20" s="34">
        <v>8</v>
      </c>
      <c r="B20" s="38" t="s">
        <v>227</v>
      </c>
      <c r="C20" s="38">
        <v>850</v>
      </c>
      <c r="D20" s="38">
        <v>423</v>
      </c>
      <c r="E20" s="38">
        <v>427</v>
      </c>
    </row>
    <row r="21" spans="1:5" ht="21.95" customHeight="1" x14ac:dyDescent="0.25">
      <c r="A21" s="34">
        <v>9</v>
      </c>
      <c r="B21" s="38" t="s">
        <v>72</v>
      </c>
      <c r="C21" s="38">
        <v>2138</v>
      </c>
      <c r="D21" s="38">
        <v>1117</v>
      </c>
      <c r="E21" s="38">
        <v>1021</v>
      </c>
    </row>
    <row r="22" spans="1:5" ht="21.95" customHeight="1" x14ac:dyDescent="0.25">
      <c r="A22" s="34">
        <v>10</v>
      </c>
      <c r="B22" s="38" t="s">
        <v>228</v>
      </c>
      <c r="C22" s="38">
        <v>2065</v>
      </c>
      <c r="D22" s="38">
        <v>1078</v>
      </c>
      <c r="E22" s="38">
        <v>987</v>
      </c>
    </row>
    <row r="23" spans="1:5" ht="21.95" customHeight="1" x14ac:dyDescent="0.25">
      <c r="A23" s="34">
        <v>11</v>
      </c>
      <c r="B23" s="38" t="s">
        <v>229</v>
      </c>
      <c r="C23" s="38">
        <v>918</v>
      </c>
      <c r="D23" s="38">
        <v>454</v>
      </c>
      <c r="E23" s="38">
        <v>464</v>
      </c>
    </row>
    <row r="24" spans="1:5" ht="21.95" customHeight="1" x14ac:dyDescent="0.25">
      <c r="A24" s="34">
        <v>12</v>
      </c>
      <c r="B24" s="38" t="s">
        <v>200</v>
      </c>
      <c r="C24" s="38">
        <v>5013</v>
      </c>
      <c r="D24" s="38">
        <v>2439</v>
      </c>
      <c r="E24" s="38">
        <v>2574</v>
      </c>
    </row>
    <row r="25" spans="1:5" ht="21.95" customHeight="1" x14ac:dyDescent="0.25">
      <c r="A25" s="34">
        <v>13</v>
      </c>
      <c r="B25" s="38" t="s">
        <v>230</v>
      </c>
      <c r="C25" s="38">
        <v>3822</v>
      </c>
      <c r="D25" s="38">
        <v>1903</v>
      </c>
      <c r="E25" s="38">
        <v>1919</v>
      </c>
    </row>
    <row r="26" spans="1:5" ht="21.95" customHeight="1" x14ac:dyDescent="0.25">
      <c r="A26" s="34">
        <v>14</v>
      </c>
      <c r="B26" s="38" t="s">
        <v>231</v>
      </c>
      <c r="C26" s="38">
        <v>3359</v>
      </c>
      <c r="D26" s="38">
        <v>1718</v>
      </c>
      <c r="E26" s="38">
        <v>1641</v>
      </c>
    </row>
    <row r="27" spans="1:5" ht="21.95" customHeight="1" x14ac:dyDescent="0.25">
      <c r="A27" s="34">
        <v>15</v>
      </c>
      <c r="B27" s="38" t="s">
        <v>232</v>
      </c>
      <c r="C27" s="38">
        <v>2784</v>
      </c>
      <c r="D27" s="38">
        <v>1322</v>
      </c>
      <c r="E27" s="38">
        <v>1462</v>
      </c>
    </row>
    <row r="28" spans="1:5" ht="21.95" customHeight="1" x14ac:dyDescent="0.25">
      <c r="A28" s="34">
        <v>16</v>
      </c>
      <c r="B28" s="38" t="s">
        <v>233</v>
      </c>
      <c r="C28" s="38">
        <v>1840</v>
      </c>
      <c r="D28" s="38">
        <v>925</v>
      </c>
      <c r="E28" s="38">
        <v>915</v>
      </c>
    </row>
    <row r="29" spans="1:5" ht="21.95" customHeight="1" x14ac:dyDescent="0.25">
      <c r="A29" s="34">
        <v>17</v>
      </c>
      <c r="B29" s="38" t="s">
        <v>234</v>
      </c>
      <c r="C29" s="38">
        <v>2821</v>
      </c>
      <c r="D29" s="38">
        <v>1422</v>
      </c>
      <c r="E29" s="38">
        <v>1399</v>
      </c>
    </row>
    <row r="30" spans="1:5" ht="21.95" customHeight="1" x14ac:dyDescent="0.25">
      <c r="A30" s="34">
        <v>18</v>
      </c>
      <c r="B30" s="38" t="s">
        <v>235</v>
      </c>
      <c r="C30" s="38">
        <v>1766</v>
      </c>
      <c r="D30" s="38">
        <v>907</v>
      </c>
      <c r="E30" s="38">
        <v>859</v>
      </c>
    </row>
    <row r="31" spans="1:5" ht="21.95" customHeight="1" x14ac:dyDescent="0.25">
      <c r="A31" s="34">
        <v>19</v>
      </c>
      <c r="B31" s="38" t="s">
        <v>236</v>
      </c>
      <c r="C31" s="38">
        <v>1923</v>
      </c>
      <c r="D31" s="38">
        <v>980</v>
      </c>
      <c r="E31" s="38">
        <v>943</v>
      </c>
    </row>
    <row r="32" spans="1:5" ht="21.95" customHeight="1" x14ac:dyDescent="0.25">
      <c r="A32" s="34">
        <v>20</v>
      </c>
      <c r="B32" s="38" t="s">
        <v>237</v>
      </c>
      <c r="C32" s="38">
        <v>2016</v>
      </c>
      <c r="D32" s="38">
        <v>1026</v>
      </c>
      <c r="E32" s="38">
        <v>990</v>
      </c>
    </row>
    <row r="33" spans="1:5" ht="21.95" customHeight="1" x14ac:dyDescent="0.25">
      <c r="A33" s="34">
        <v>21</v>
      </c>
      <c r="B33" s="38" t="s">
        <v>238</v>
      </c>
      <c r="C33" s="38">
        <v>4509</v>
      </c>
      <c r="D33" s="38">
        <v>2253</v>
      </c>
      <c r="E33" s="38">
        <v>2256</v>
      </c>
    </row>
    <row r="34" spans="1:5" ht="21.95" customHeight="1" x14ac:dyDescent="0.25">
      <c r="A34" s="34">
        <v>22</v>
      </c>
      <c r="B34" s="38" t="s">
        <v>239</v>
      </c>
      <c r="C34" s="38">
        <v>3685</v>
      </c>
      <c r="D34" s="38">
        <v>1824</v>
      </c>
      <c r="E34" s="38">
        <v>1861</v>
      </c>
    </row>
    <row r="35" spans="1:5" ht="21.95" customHeight="1" x14ac:dyDescent="0.25">
      <c r="A35" s="34">
        <v>23</v>
      </c>
      <c r="B35" s="38" t="s">
        <v>240</v>
      </c>
      <c r="C35" s="38">
        <v>1729</v>
      </c>
      <c r="D35" s="38">
        <v>863</v>
      </c>
      <c r="E35" s="38">
        <v>866</v>
      </c>
    </row>
    <row r="36" spans="1:5" ht="21.95" customHeight="1" x14ac:dyDescent="0.25">
      <c r="A36" s="34">
        <v>24</v>
      </c>
      <c r="B36" s="38" t="s">
        <v>241</v>
      </c>
      <c r="C36" s="38">
        <v>7042</v>
      </c>
      <c r="D36" s="38">
        <v>3542</v>
      </c>
      <c r="E36" s="38">
        <v>3500</v>
      </c>
    </row>
    <row r="37" spans="1:5" ht="21.95" customHeight="1" x14ac:dyDescent="0.25">
      <c r="A37" s="34">
        <v>25</v>
      </c>
      <c r="B37" s="38" t="s">
        <v>242</v>
      </c>
      <c r="C37" s="38">
        <v>1140</v>
      </c>
      <c r="D37" s="38">
        <v>557</v>
      </c>
      <c r="E37" s="38">
        <v>583</v>
      </c>
    </row>
    <row r="38" spans="1:5" ht="21.95" customHeight="1" x14ac:dyDescent="0.25">
      <c r="A38" s="34">
        <v>26</v>
      </c>
      <c r="B38" s="38" t="s">
        <v>243</v>
      </c>
      <c r="C38" s="38">
        <v>2061</v>
      </c>
      <c r="D38" s="38">
        <v>999</v>
      </c>
      <c r="E38" s="38">
        <v>1062</v>
      </c>
    </row>
    <row r="39" spans="1:5" ht="21.95" customHeight="1" x14ac:dyDescent="0.25">
      <c r="A39" s="34">
        <v>27</v>
      </c>
      <c r="B39" s="38" t="s">
        <v>244</v>
      </c>
      <c r="C39" s="38">
        <v>4190</v>
      </c>
      <c r="D39" s="38">
        <v>2040</v>
      </c>
      <c r="E39" s="38">
        <v>2150</v>
      </c>
    </row>
    <row r="40" spans="1:5" ht="21.95" customHeight="1" x14ac:dyDescent="0.25">
      <c r="A40" s="35">
        <v>28</v>
      </c>
      <c r="B40" s="45" t="s">
        <v>245</v>
      </c>
      <c r="C40" s="45">
        <v>1865</v>
      </c>
      <c r="D40" s="45">
        <v>906</v>
      </c>
      <c r="E40" s="45">
        <v>959</v>
      </c>
    </row>
    <row r="41" spans="1:5" ht="15.75" x14ac:dyDescent="0.25">
      <c r="A41" s="42"/>
      <c r="B41" s="42"/>
      <c r="C41" s="42"/>
      <c r="D41" s="42"/>
      <c r="E41" s="42"/>
    </row>
  </sheetData>
  <mergeCells count="4">
    <mergeCell ref="A4:A5"/>
    <mergeCell ref="B4:B5"/>
    <mergeCell ref="C4:E4"/>
    <mergeCell ref="A1:E1"/>
  </mergeCells>
  <hyperlinks>
    <hyperlink ref="A1:E1" location="'Link of Township'!A1" display="Shan State,Taunggyi District, Ywarngan Township"/>
  </hyperlinks>
  <pageMargins left="0.75" right="0.5" top="0.5" bottom="0.2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sqref="A1:XFD1"/>
    </sheetView>
  </sheetViews>
  <sheetFormatPr defaultRowHeight="15" x14ac:dyDescent="0.25"/>
  <cols>
    <col min="2" max="2" width="32.85546875" customWidth="1"/>
    <col min="3" max="5" width="15.7109375" customWidth="1"/>
  </cols>
  <sheetData>
    <row r="1" spans="1:5" ht="18.75" x14ac:dyDescent="0.3">
      <c r="A1" s="180" t="s">
        <v>1347</v>
      </c>
      <c r="B1" s="180"/>
      <c r="C1" s="180"/>
      <c r="D1" s="180"/>
      <c r="E1" s="180"/>
    </row>
    <row r="2" spans="1:5" ht="15.75" x14ac:dyDescent="0.25">
      <c r="A2" s="42"/>
      <c r="B2" s="42"/>
      <c r="C2" s="42"/>
      <c r="D2" s="42"/>
      <c r="E2" s="72" t="s">
        <v>1341</v>
      </c>
    </row>
    <row r="3" spans="1:5" ht="15.75" x14ac:dyDescent="0.25">
      <c r="A3" s="42"/>
      <c r="B3" s="42"/>
      <c r="C3" s="42"/>
      <c r="D3" s="42"/>
      <c r="E3" s="42"/>
    </row>
    <row r="4" spans="1:5" ht="15.75" x14ac:dyDescent="0.25">
      <c r="A4" s="173" t="s">
        <v>1339</v>
      </c>
      <c r="B4" s="173" t="s">
        <v>1422</v>
      </c>
      <c r="C4" s="174" t="s">
        <v>1340</v>
      </c>
      <c r="D4" s="175"/>
      <c r="E4" s="176"/>
    </row>
    <row r="5" spans="1:5" ht="15.75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5" ht="18.75" customHeight="1" x14ac:dyDescent="0.25">
      <c r="A6" s="46"/>
      <c r="B6" s="26" t="s">
        <v>0</v>
      </c>
      <c r="C6" s="44">
        <v>126567</v>
      </c>
      <c r="D6" s="44">
        <v>64961</v>
      </c>
      <c r="E6" s="44">
        <v>61606</v>
      </c>
    </row>
    <row r="7" spans="1:5" ht="8.25" customHeight="1" x14ac:dyDescent="0.25">
      <c r="A7" s="34"/>
      <c r="B7" s="34"/>
      <c r="C7" s="34"/>
      <c r="D7" s="34"/>
      <c r="E7" s="34"/>
    </row>
    <row r="8" spans="1:5" ht="21.95" customHeight="1" x14ac:dyDescent="0.25">
      <c r="A8" s="34"/>
      <c r="B8" s="31" t="s">
        <v>1338</v>
      </c>
      <c r="C8" s="31">
        <f>SUM(C9:C16)</f>
        <v>29533</v>
      </c>
      <c r="D8" s="31">
        <f t="shared" ref="D8:E8" si="0">SUM(D9:D16)</f>
        <v>16175</v>
      </c>
      <c r="E8" s="31">
        <f t="shared" si="0"/>
        <v>13358</v>
      </c>
    </row>
    <row r="9" spans="1:5" ht="21.95" customHeight="1" x14ac:dyDescent="0.25">
      <c r="A9" s="34">
        <v>1</v>
      </c>
      <c r="B9" s="38" t="s">
        <v>246</v>
      </c>
      <c r="C9" s="38">
        <v>2906</v>
      </c>
      <c r="D9" s="38">
        <v>1384</v>
      </c>
      <c r="E9" s="38">
        <v>1522</v>
      </c>
    </row>
    <row r="10" spans="1:5" ht="21.95" customHeight="1" x14ac:dyDescent="0.25">
      <c r="A10" s="34">
        <v>2</v>
      </c>
      <c r="B10" s="38" t="s">
        <v>218</v>
      </c>
      <c r="C10" s="38">
        <v>2594</v>
      </c>
      <c r="D10" s="38">
        <v>1237</v>
      </c>
      <c r="E10" s="38">
        <v>1357</v>
      </c>
    </row>
    <row r="11" spans="1:5" ht="21.95" customHeight="1" x14ac:dyDescent="0.25">
      <c r="A11" s="34">
        <v>3</v>
      </c>
      <c r="B11" s="38" t="s">
        <v>247</v>
      </c>
      <c r="C11" s="38">
        <v>3837</v>
      </c>
      <c r="D11" s="38">
        <v>1795</v>
      </c>
      <c r="E11" s="38">
        <v>2042</v>
      </c>
    </row>
    <row r="12" spans="1:5" ht="21.95" customHeight="1" x14ac:dyDescent="0.25">
      <c r="A12" s="34">
        <v>4</v>
      </c>
      <c r="B12" s="38" t="s">
        <v>184</v>
      </c>
      <c r="C12" s="38">
        <v>2512</v>
      </c>
      <c r="D12" s="38">
        <v>1356</v>
      </c>
      <c r="E12" s="38">
        <v>1156</v>
      </c>
    </row>
    <row r="13" spans="1:5" ht="21.95" customHeight="1" x14ac:dyDescent="0.25">
      <c r="A13" s="34">
        <v>5</v>
      </c>
      <c r="B13" s="38" t="s">
        <v>248</v>
      </c>
      <c r="C13" s="38">
        <v>1315</v>
      </c>
      <c r="D13" s="38">
        <v>617</v>
      </c>
      <c r="E13" s="38">
        <v>698</v>
      </c>
    </row>
    <row r="14" spans="1:5" ht="21.95" customHeight="1" x14ac:dyDescent="0.25">
      <c r="A14" s="34">
        <v>6</v>
      </c>
      <c r="B14" s="38" t="s">
        <v>249</v>
      </c>
      <c r="C14" s="38">
        <v>9357</v>
      </c>
      <c r="D14" s="38">
        <v>6288</v>
      </c>
      <c r="E14" s="38">
        <v>3069</v>
      </c>
    </row>
    <row r="15" spans="1:5" ht="21.95" customHeight="1" x14ac:dyDescent="0.25">
      <c r="A15" s="34">
        <v>7</v>
      </c>
      <c r="B15" s="38" t="s">
        <v>250</v>
      </c>
      <c r="C15" s="38">
        <v>2855</v>
      </c>
      <c r="D15" s="38">
        <v>1362</v>
      </c>
      <c r="E15" s="38">
        <v>1493</v>
      </c>
    </row>
    <row r="16" spans="1:5" ht="21.95" customHeight="1" x14ac:dyDescent="0.25">
      <c r="A16" s="34">
        <v>8</v>
      </c>
      <c r="B16" s="38" t="s">
        <v>251</v>
      </c>
      <c r="C16" s="38">
        <v>4157</v>
      </c>
      <c r="D16" s="38">
        <v>2136</v>
      </c>
      <c r="E16" s="38">
        <v>2021</v>
      </c>
    </row>
    <row r="17" spans="1:5" ht="21.95" customHeight="1" x14ac:dyDescent="0.25">
      <c r="A17" s="34"/>
      <c r="B17" s="24" t="s">
        <v>1410</v>
      </c>
      <c r="C17" s="24">
        <f>SUM(C18:C30)</f>
        <v>97034</v>
      </c>
      <c r="D17" s="24">
        <f t="shared" ref="D17:E17" si="1">SUM(D18:D30)</f>
        <v>48786</v>
      </c>
      <c r="E17" s="24">
        <f t="shared" si="1"/>
        <v>48248</v>
      </c>
    </row>
    <row r="18" spans="1:5" ht="21.95" customHeight="1" x14ac:dyDescent="0.25">
      <c r="A18" s="34">
        <v>1</v>
      </c>
      <c r="B18" s="38" t="s">
        <v>252</v>
      </c>
      <c r="C18" s="38">
        <v>2836</v>
      </c>
      <c r="D18" s="38">
        <v>1434</v>
      </c>
      <c r="E18" s="38">
        <v>1402</v>
      </c>
    </row>
    <row r="19" spans="1:5" ht="21.95" customHeight="1" x14ac:dyDescent="0.25">
      <c r="A19" s="34">
        <v>2</v>
      </c>
      <c r="B19" s="38" t="s">
        <v>253</v>
      </c>
      <c r="C19" s="38">
        <v>5688</v>
      </c>
      <c r="D19" s="38">
        <v>2889</v>
      </c>
      <c r="E19" s="38">
        <v>2799</v>
      </c>
    </row>
    <row r="20" spans="1:5" ht="21.95" customHeight="1" x14ac:dyDescent="0.25">
      <c r="A20" s="34">
        <v>3</v>
      </c>
      <c r="B20" s="38" t="s">
        <v>254</v>
      </c>
      <c r="C20" s="38">
        <v>36918</v>
      </c>
      <c r="D20" s="38">
        <v>18451</v>
      </c>
      <c r="E20" s="38">
        <v>18467</v>
      </c>
    </row>
    <row r="21" spans="1:5" ht="21.95" customHeight="1" x14ac:dyDescent="0.25">
      <c r="A21" s="34">
        <v>4</v>
      </c>
      <c r="B21" s="38" t="s">
        <v>255</v>
      </c>
      <c r="C21" s="38">
        <v>5030</v>
      </c>
      <c r="D21" s="38">
        <v>2459</v>
      </c>
      <c r="E21" s="38">
        <v>2571</v>
      </c>
    </row>
    <row r="22" spans="1:5" ht="21.95" customHeight="1" x14ac:dyDescent="0.25">
      <c r="A22" s="34">
        <v>5</v>
      </c>
      <c r="B22" s="38" t="s">
        <v>256</v>
      </c>
      <c r="C22" s="38">
        <v>4344</v>
      </c>
      <c r="D22" s="38">
        <v>2176</v>
      </c>
      <c r="E22" s="38">
        <v>2168</v>
      </c>
    </row>
    <row r="23" spans="1:5" ht="21.95" customHeight="1" x14ac:dyDescent="0.25">
      <c r="A23" s="34">
        <v>6</v>
      </c>
      <c r="B23" s="38" t="s">
        <v>257</v>
      </c>
      <c r="C23" s="38">
        <v>8608</v>
      </c>
      <c r="D23" s="38">
        <v>4317</v>
      </c>
      <c r="E23" s="38">
        <v>4291</v>
      </c>
    </row>
    <row r="24" spans="1:5" ht="21.95" customHeight="1" x14ac:dyDescent="0.25">
      <c r="A24" s="34">
        <v>7</v>
      </c>
      <c r="B24" s="38" t="s">
        <v>239</v>
      </c>
      <c r="C24" s="38">
        <v>5602</v>
      </c>
      <c r="D24" s="38">
        <v>2832</v>
      </c>
      <c r="E24" s="38">
        <v>2770</v>
      </c>
    </row>
    <row r="25" spans="1:5" ht="21.95" customHeight="1" x14ac:dyDescent="0.25">
      <c r="A25" s="34">
        <v>8</v>
      </c>
      <c r="B25" s="38" t="s">
        <v>258</v>
      </c>
      <c r="C25" s="38">
        <v>3853</v>
      </c>
      <c r="D25" s="38">
        <v>1914</v>
      </c>
      <c r="E25" s="38">
        <v>1939</v>
      </c>
    </row>
    <row r="26" spans="1:5" ht="21.95" customHeight="1" x14ac:dyDescent="0.25">
      <c r="A26" s="34">
        <v>9</v>
      </c>
      <c r="B26" s="38" t="s">
        <v>259</v>
      </c>
      <c r="C26" s="38">
        <v>6498</v>
      </c>
      <c r="D26" s="38">
        <v>3286</v>
      </c>
      <c r="E26" s="38">
        <v>3212</v>
      </c>
    </row>
    <row r="27" spans="1:5" ht="21.95" customHeight="1" x14ac:dyDescent="0.25">
      <c r="A27" s="34">
        <v>10</v>
      </c>
      <c r="B27" s="38" t="s">
        <v>260</v>
      </c>
      <c r="C27" s="38">
        <v>318</v>
      </c>
      <c r="D27" s="38">
        <v>166</v>
      </c>
      <c r="E27" s="38">
        <v>152</v>
      </c>
    </row>
    <row r="28" spans="1:5" ht="21.95" customHeight="1" x14ac:dyDescent="0.25">
      <c r="A28" s="34">
        <v>11</v>
      </c>
      <c r="B28" s="38" t="s">
        <v>261</v>
      </c>
      <c r="C28" s="38">
        <v>8872</v>
      </c>
      <c r="D28" s="38">
        <v>4469</v>
      </c>
      <c r="E28" s="38">
        <v>4403</v>
      </c>
    </row>
    <row r="29" spans="1:5" ht="21.95" customHeight="1" x14ac:dyDescent="0.25">
      <c r="A29" s="34">
        <v>12</v>
      </c>
      <c r="B29" s="38" t="s">
        <v>262</v>
      </c>
      <c r="C29" s="38">
        <v>5424</v>
      </c>
      <c r="D29" s="38">
        <v>2771</v>
      </c>
      <c r="E29" s="38">
        <v>2653</v>
      </c>
    </row>
    <row r="30" spans="1:5" ht="21.95" customHeight="1" x14ac:dyDescent="0.25">
      <c r="A30" s="35">
        <v>13</v>
      </c>
      <c r="B30" s="45" t="s">
        <v>263</v>
      </c>
      <c r="C30" s="45">
        <v>3043</v>
      </c>
      <c r="D30" s="45">
        <v>1622</v>
      </c>
      <c r="E30" s="45">
        <v>1421</v>
      </c>
    </row>
  </sheetData>
  <mergeCells count="4">
    <mergeCell ref="A4:A5"/>
    <mergeCell ref="B4:B5"/>
    <mergeCell ref="C4:E4"/>
    <mergeCell ref="A1:E1"/>
  </mergeCells>
  <hyperlinks>
    <hyperlink ref="A1:E1" location="'Link of Township'!A1" display="Shan State,Taunggyi District, Yatsauk Township"/>
  </hyperlinks>
  <pageMargins left="0.75" right="0.5" top="0.5" bottom="0.2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selection sqref="A1:XFD1"/>
    </sheetView>
  </sheetViews>
  <sheetFormatPr defaultRowHeight="15" x14ac:dyDescent="0.25"/>
  <cols>
    <col min="2" max="2" width="31.5703125" customWidth="1"/>
    <col min="3" max="5" width="15.7109375" customWidth="1"/>
  </cols>
  <sheetData>
    <row r="1" spans="1:5" ht="18.75" x14ac:dyDescent="0.3">
      <c r="A1" s="180" t="s">
        <v>1348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15.75" x14ac:dyDescent="0.25">
      <c r="A3" s="20"/>
      <c r="B3" s="20"/>
      <c r="C3" s="20"/>
      <c r="D3" s="20"/>
      <c r="E3" s="20"/>
    </row>
    <row r="4" spans="1:5" ht="15.75" x14ac:dyDescent="0.25">
      <c r="A4" s="173" t="s">
        <v>1339</v>
      </c>
      <c r="B4" s="173" t="s">
        <v>1422</v>
      </c>
      <c r="C4" s="174" t="s">
        <v>1340</v>
      </c>
      <c r="D4" s="175"/>
      <c r="E4" s="176"/>
    </row>
    <row r="5" spans="1:5" ht="15.75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5" ht="15.75" x14ac:dyDescent="0.25">
      <c r="A6" s="48"/>
      <c r="B6" s="26" t="s">
        <v>0</v>
      </c>
      <c r="C6" s="26">
        <v>115047</v>
      </c>
      <c r="D6" s="26">
        <v>57411</v>
      </c>
      <c r="E6" s="26">
        <v>57636</v>
      </c>
    </row>
    <row r="7" spans="1:5" ht="9" customHeight="1" x14ac:dyDescent="0.25">
      <c r="A7" s="23"/>
      <c r="B7" s="23"/>
      <c r="C7" s="23"/>
      <c r="D7" s="23"/>
      <c r="E7" s="23"/>
    </row>
    <row r="8" spans="1:5" ht="21.95" customHeight="1" x14ac:dyDescent="0.25">
      <c r="A8" s="23"/>
      <c r="B8" s="24" t="s">
        <v>1338</v>
      </c>
      <c r="C8" s="24">
        <f>SUM(C9:C18)</f>
        <v>12629</v>
      </c>
      <c r="D8" s="24">
        <f t="shared" ref="D8:E8" si="0">SUM(D9:D18)</f>
        <v>6531</v>
      </c>
      <c r="E8" s="24">
        <f t="shared" si="0"/>
        <v>6098</v>
      </c>
    </row>
    <row r="9" spans="1:5" ht="21.95" customHeight="1" x14ac:dyDescent="0.25">
      <c r="A9" s="23">
        <v>1</v>
      </c>
      <c r="B9" s="27" t="s">
        <v>264</v>
      </c>
      <c r="C9" s="27">
        <v>605</v>
      </c>
      <c r="D9" s="27">
        <v>283</v>
      </c>
      <c r="E9" s="27">
        <v>322</v>
      </c>
    </row>
    <row r="10" spans="1:5" ht="21.95" customHeight="1" x14ac:dyDescent="0.25">
      <c r="A10" s="23">
        <v>2</v>
      </c>
      <c r="B10" s="27" t="s">
        <v>265</v>
      </c>
      <c r="C10" s="27">
        <v>243</v>
      </c>
      <c r="D10" s="27">
        <v>136</v>
      </c>
      <c r="E10" s="27">
        <v>107</v>
      </c>
    </row>
    <row r="11" spans="1:5" ht="21.95" customHeight="1" x14ac:dyDescent="0.25">
      <c r="A11" s="23">
        <v>3</v>
      </c>
      <c r="B11" s="27" t="s">
        <v>108</v>
      </c>
      <c r="C11" s="27">
        <v>1755</v>
      </c>
      <c r="D11" s="27">
        <v>887</v>
      </c>
      <c r="E11" s="27">
        <v>868</v>
      </c>
    </row>
    <row r="12" spans="1:5" ht="21.95" customHeight="1" x14ac:dyDescent="0.25">
      <c r="A12" s="23">
        <v>4</v>
      </c>
      <c r="B12" s="27" t="s">
        <v>109</v>
      </c>
      <c r="C12" s="27">
        <v>935</v>
      </c>
      <c r="D12" s="27">
        <v>423</v>
      </c>
      <c r="E12" s="27">
        <v>512</v>
      </c>
    </row>
    <row r="13" spans="1:5" ht="21.95" customHeight="1" x14ac:dyDescent="0.25">
      <c r="A13" s="23">
        <v>5</v>
      </c>
      <c r="B13" s="27" t="s">
        <v>184</v>
      </c>
      <c r="C13" s="27">
        <v>813</v>
      </c>
      <c r="D13" s="27">
        <v>383</v>
      </c>
      <c r="E13" s="27">
        <v>430</v>
      </c>
    </row>
    <row r="14" spans="1:5" ht="21.95" customHeight="1" x14ac:dyDescent="0.25">
      <c r="A14" s="23">
        <v>6</v>
      </c>
      <c r="B14" s="27" t="s">
        <v>266</v>
      </c>
      <c r="C14" s="27">
        <v>1450</v>
      </c>
      <c r="D14" s="27">
        <v>731</v>
      </c>
      <c r="E14" s="27">
        <v>719</v>
      </c>
    </row>
    <row r="15" spans="1:5" ht="21.95" customHeight="1" x14ac:dyDescent="0.25">
      <c r="A15" s="23">
        <v>7</v>
      </c>
      <c r="B15" s="27" t="s">
        <v>267</v>
      </c>
      <c r="C15" s="27">
        <v>1045</v>
      </c>
      <c r="D15" s="27">
        <v>496</v>
      </c>
      <c r="E15" s="27">
        <v>549</v>
      </c>
    </row>
    <row r="16" spans="1:5" ht="21.95" customHeight="1" x14ac:dyDescent="0.25">
      <c r="A16" s="23">
        <v>8</v>
      </c>
      <c r="B16" s="27" t="s">
        <v>268</v>
      </c>
      <c r="C16" s="27">
        <v>1064</v>
      </c>
      <c r="D16" s="27">
        <v>541</v>
      </c>
      <c r="E16" s="27">
        <v>523</v>
      </c>
    </row>
    <row r="17" spans="1:5" ht="21.95" customHeight="1" x14ac:dyDescent="0.25">
      <c r="A17" s="23">
        <v>9</v>
      </c>
      <c r="B17" s="27" t="s">
        <v>269</v>
      </c>
      <c r="C17" s="27">
        <v>987</v>
      </c>
      <c r="D17" s="27">
        <v>537</v>
      </c>
      <c r="E17" s="27">
        <v>450</v>
      </c>
    </row>
    <row r="18" spans="1:5" ht="21.95" customHeight="1" x14ac:dyDescent="0.25">
      <c r="A18" s="23">
        <v>10</v>
      </c>
      <c r="B18" s="27" t="s">
        <v>270</v>
      </c>
      <c r="C18" s="27">
        <v>3732</v>
      </c>
      <c r="D18" s="27">
        <v>2114</v>
      </c>
      <c r="E18" s="27">
        <v>1618</v>
      </c>
    </row>
    <row r="19" spans="1:5" ht="21.95" customHeight="1" x14ac:dyDescent="0.25">
      <c r="A19" s="23"/>
      <c r="B19" s="24" t="s">
        <v>1410</v>
      </c>
      <c r="C19" s="24">
        <f>SUM(C20:C32)</f>
        <v>102418</v>
      </c>
      <c r="D19" s="24">
        <f t="shared" ref="D19:E19" si="1">SUM(D20:D32)</f>
        <v>50880</v>
      </c>
      <c r="E19" s="24">
        <f t="shared" si="1"/>
        <v>51538</v>
      </c>
    </row>
    <row r="20" spans="1:5" ht="21.95" customHeight="1" x14ac:dyDescent="0.25">
      <c r="A20" s="23">
        <v>1</v>
      </c>
      <c r="B20" s="27" t="s">
        <v>271</v>
      </c>
      <c r="C20" s="27">
        <v>2071</v>
      </c>
      <c r="D20" s="27">
        <v>1055</v>
      </c>
      <c r="E20" s="27">
        <v>1016</v>
      </c>
    </row>
    <row r="21" spans="1:5" ht="21.95" customHeight="1" x14ac:dyDescent="0.25">
      <c r="A21" s="23">
        <v>2</v>
      </c>
      <c r="B21" s="27" t="s">
        <v>272</v>
      </c>
      <c r="C21" s="27">
        <v>10337</v>
      </c>
      <c r="D21" s="27">
        <v>5074</v>
      </c>
      <c r="E21" s="27">
        <v>5263</v>
      </c>
    </row>
    <row r="22" spans="1:5" ht="21.95" customHeight="1" x14ac:dyDescent="0.25">
      <c r="A22" s="23">
        <v>3</v>
      </c>
      <c r="B22" s="27" t="s">
        <v>273</v>
      </c>
      <c r="C22" s="27">
        <v>5792</v>
      </c>
      <c r="D22" s="27">
        <v>2852</v>
      </c>
      <c r="E22" s="27">
        <v>2940</v>
      </c>
    </row>
    <row r="23" spans="1:5" ht="21.95" customHeight="1" x14ac:dyDescent="0.25">
      <c r="A23" s="23">
        <v>4</v>
      </c>
      <c r="B23" s="27" t="s">
        <v>274</v>
      </c>
      <c r="C23" s="27">
        <v>6486</v>
      </c>
      <c r="D23" s="27">
        <v>3123</v>
      </c>
      <c r="E23" s="27">
        <v>3363</v>
      </c>
    </row>
    <row r="24" spans="1:5" ht="21.95" customHeight="1" x14ac:dyDescent="0.25">
      <c r="A24" s="23">
        <v>5</v>
      </c>
      <c r="B24" s="27" t="s">
        <v>275</v>
      </c>
      <c r="C24" s="27">
        <v>10568</v>
      </c>
      <c r="D24" s="27">
        <v>5186</v>
      </c>
      <c r="E24" s="27">
        <v>5382</v>
      </c>
    </row>
    <row r="25" spans="1:5" ht="21.95" customHeight="1" x14ac:dyDescent="0.25">
      <c r="A25" s="23">
        <v>6</v>
      </c>
      <c r="B25" s="27" t="s">
        <v>276</v>
      </c>
      <c r="C25" s="27">
        <v>7169</v>
      </c>
      <c r="D25" s="27">
        <v>3805</v>
      </c>
      <c r="E25" s="27">
        <v>3364</v>
      </c>
    </row>
    <row r="26" spans="1:5" ht="21.95" customHeight="1" x14ac:dyDescent="0.25">
      <c r="A26" s="23">
        <v>7</v>
      </c>
      <c r="B26" s="27" t="s">
        <v>277</v>
      </c>
      <c r="C26" s="27">
        <v>8766</v>
      </c>
      <c r="D26" s="27">
        <v>4378</v>
      </c>
      <c r="E26" s="27">
        <v>4388</v>
      </c>
    </row>
    <row r="27" spans="1:5" ht="21.95" customHeight="1" x14ac:dyDescent="0.25">
      <c r="A27" s="23">
        <v>8</v>
      </c>
      <c r="B27" s="27" t="s">
        <v>278</v>
      </c>
      <c r="C27" s="27">
        <v>12126</v>
      </c>
      <c r="D27" s="27">
        <v>5998</v>
      </c>
      <c r="E27" s="27">
        <v>6128</v>
      </c>
    </row>
    <row r="28" spans="1:5" ht="21.95" customHeight="1" x14ac:dyDescent="0.25">
      <c r="A28" s="23">
        <v>9</v>
      </c>
      <c r="B28" s="27" t="s">
        <v>279</v>
      </c>
      <c r="C28" s="27">
        <v>9805</v>
      </c>
      <c r="D28" s="27">
        <v>5255</v>
      </c>
      <c r="E28" s="27">
        <v>4550</v>
      </c>
    </row>
    <row r="29" spans="1:5" ht="21.95" customHeight="1" x14ac:dyDescent="0.25">
      <c r="A29" s="23">
        <v>10</v>
      </c>
      <c r="B29" s="27" t="s">
        <v>280</v>
      </c>
      <c r="C29" s="27">
        <v>5761</v>
      </c>
      <c r="D29" s="27">
        <v>2692</v>
      </c>
      <c r="E29" s="27">
        <v>3069</v>
      </c>
    </row>
    <row r="30" spans="1:5" ht="21.95" customHeight="1" x14ac:dyDescent="0.25">
      <c r="A30" s="23">
        <v>11</v>
      </c>
      <c r="B30" s="27" t="s">
        <v>281</v>
      </c>
      <c r="C30" s="27">
        <v>9649</v>
      </c>
      <c r="D30" s="27">
        <v>4712</v>
      </c>
      <c r="E30" s="27">
        <v>4937</v>
      </c>
    </row>
    <row r="31" spans="1:5" ht="21.95" customHeight="1" x14ac:dyDescent="0.25">
      <c r="A31" s="23">
        <v>12</v>
      </c>
      <c r="B31" s="27" t="s">
        <v>282</v>
      </c>
      <c r="C31" s="27">
        <v>6710</v>
      </c>
      <c r="D31" s="27">
        <v>3208</v>
      </c>
      <c r="E31" s="27">
        <v>3502</v>
      </c>
    </row>
    <row r="32" spans="1:5" ht="21.95" customHeight="1" x14ac:dyDescent="0.25">
      <c r="A32" s="28">
        <v>13</v>
      </c>
      <c r="B32" s="29" t="s">
        <v>283</v>
      </c>
      <c r="C32" s="29">
        <v>7178</v>
      </c>
      <c r="D32" s="29">
        <v>3542</v>
      </c>
      <c r="E32" s="29">
        <v>3636</v>
      </c>
    </row>
  </sheetData>
  <mergeCells count="4">
    <mergeCell ref="A4:A5"/>
    <mergeCell ref="B4:B5"/>
    <mergeCell ref="C4:E4"/>
    <mergeCell ref="A1:E1"/>
  </mergeCells>
  <hyperlinks>
    <hyperlink ref="A1:E1" location="'Link of Township'!A1" display="Shan State,Taunggyi District,  Pinlaung Township"/>
  </hyperlinks>
  <pageMargins left="0.75" right="0.5" top="0.5" bottom="0.2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sqref="A1:XFD1"/>
    </sheetView>
  </sheetViews>
  <sheetFormatPr defaultRowHeight="15" x14ac:dyDescent="0.25"/>
  <cols>
    <col min="2" max="2" width="38.7109375" customWidth="1"/>
    <col min="3" max="5" width="15.7109375" customWidth="1"/>
  </cols>
  <sheetData>
    <row r="1" spans="1:5" ht="18.75" x14ac:dyDescent="0.3">
      <c r="A1" s="180" t="s">
        <v>1362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15.75" x14ac:dyDescent="0.25">
      <c r="A3" s="20"/>
      <c r="B3" s="20"/>
      <c r="C3" s="20"/>
      <c r="D3" s="20"/>
      <c r="E3" s="20"/>
    </row>
    <row r="4" spans="1:5" ht="21.95" customHeight="1" x14ac:dyDescent="0.25">
      <c r="A4" s="173" t="s">
        <v>1339</v>
      </c>
      <c r="B4" s="173" t="s">
        <v>1422</v>
      </c>
      <c r="C4" s="174" t="s">
        <v>1340</v>
      </c>
      <c r="D4" s="175"/>
      <c r="E4" s="176"/>
    </row>
    <row r="5" spans="1:5" ht="21.95" customHeight="1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5" ht="15.75" x14ac:dyDescent="0.25">
      <c r="A6" s="48"/>
      <c r="B6" s="26" t="s">
        <v>0</v>
      </c>
      <c r="C6" s="26">
        <v>103590</v>
      </c>
      <c r="D6" s="26">
        <v>52293</v>
      </c>
      <c r="E6" s="26">
        <v>51297</v>
      </c>
    </row>
    <row r="7" spans="1:5" ht="7.5" customHeight="1" x14ac:dyDescent="0.25">
      <c r="A7" s="23"/>
      <c r="B7" s="23"/>
      <c r="C7" s="23"/>
      <c r="D7" s="23"/>
      <c r="E7" s="23"/>
    </row>
    <row r="8" spans="1:5" ht="23.1" customHeight="1" x14ac:dyDescent="0.25">
      <c r="A8" s="23"/>
      <c r="B8" s="24" t="s">
        <v>1338</v>
      </c>
      <c r="C8" s="24">
        <f>SUM(C9:C15)</f>
        <v>16546</v>
      </c>
      <c r="D8" s="24">
        <f t="shared" ref="D8:E8" si="0">SUM(D9:D15)</f>
        <v>8357</v>
      </c>
      <c r="E8" s="24">
        <f t="shared" si="0"/>
        <v>8189</v>
      </c>
    </row>
    <row r="9" spans="1:5" ht="23.1" customHeight="1" x14ac:dyDescent="0.25">
      <c r="A9" s="23">
        <v>1</v>
      </c>
      <c r="B9" s="27" t="s">
        <v>284</v>
      </c>
      <c r="C9" s="27">
        <v>4476</v>
      </c>
      <c r="D9" s="27">
        <v>2357</v>
      </c>
      <c r="E9" s="27">
        <v>2119</v>
      </c>
    </row>
    <row r="10" spans="1:5" ht="23.1" customHeight="1" x14ac:dyDescent="0.25">
      <c r="A10" s="23">
        <v>2</v>
      </c>
      <c r="B10" s="27" t="s">
        <v>285</v>
      </c>
      <c r="C10" s="27">
        <v>615</v>
      </c>
      <c r="D10" s="27">
        <v>300</v>
      </c>
      <c r="E10" s="27">
        <v>315</v>
      </c>
    </row>
    <row r="11" spans="1:5" ht="23.1" customHeight="1" x14ac:dyDescent="0.25">
      <c r="A11" s="23">
        <v>3</v>
      </c>
      <c r="B11" s="27" t="s">
        <v>286</v>
      </c>
      <c r="C11" s="27">
        <v>4973</v>
      </c>
      <c r="D11" s="27">
        <v>2510</v>
      </c>
      <c r="E11" s="27">
        <v>2463</v>
      </c>
    </row>
    <row r="12" spans="1:5" ht="23.1" customHeight="1" x14ac:dyDescent="0.25">
      <c r="A12" s="23">
        <v>4</v>
      </c>
      <c r="B12" s="27" t="s">
        <v>287</v>
      </c>
      <c r="C12" s="27">
        <v>2097</v>
      </c>
      <c r="D12" s="27">
        <v>1038</v>
      </c>
      <c r="E12" s="27">
        <v>1059</v>
      </c>
    </row>
    <row r="13" spans="1:5" ht="23.1" customHeight="1" x14ac:dyDescent="0.25">
      <c r="A13" s="23">
        <v>5</v>
      </c>
      <c r="B13" s="27" t="s">
        <v>288</v>
      </c>
      <c r="C13" s="27">
        <v>1563</v>
      </c>
      <c r="D13" s="27">
        <v>762</v>
      </c>
      <c r="E13" s="27">
        <v>801</v>
      </c>
    </row>
    <row r="14" spans="1:5" ht="23.1" customHeight="1" x14ac:dyDescent="0.25">
      <c r="A14" s="23">
        <v>6</v>
      </c>
      <c r="B14" s="27" t="s">
        <v>184</v>
      </c>
      <c r="C14" s="27">
        <v>420</v>
      </c>
      <c r="D14" s="27">
        <v>214</v>
      </c>
      <c r="E14" s="27">
        <v>206</v>
      </c>
    </row>
    <row r="15" spans="1:5" ht="23.1" customHeight="1" x14ac:dyDescent="0.25">
      <c r="A15" s="23">
        <v>7</v>
      </c>
      <c r="B15" s="27" t="s">
        <v>218</v>
      </c>
      <c r="C15" s="27">
        <v>2402</v>
      </c>
      <c r="D15" s="27">
        <v>1176</v>
      </c>
      <c r="E15" s="27">
        <v>1226</v>
      </c>
    </row>
    <row r="16" spans="1:5" ht="23.1" customHeight="1" x14ac:dyDescent="0.25">
      <c r="A16" s="23"/>
      <c r="B16" s="24" t="s">
        <v>1410</v>
      </c>
      <c r="C16" s="24">
        <f>SUM(C17:C28)</f>
        <v>87044</v>
      </c>
      <c r="D16" s="24">
        <f t="shared" ref="D16:E16" si="1">SUM(D17:D28)</f>
        <v>43936</v>
      </c>
      <c r="E16" s="24">
        <f t="shared" si="1"/>
        <v>43108</v>
      </c>
    </row>
    <row r="17" spans="1:5" ht="23.1" customHeight="1" x14ac:dyDescent="0.25">
      <c r="A17" s="23">
        <v>1</v>
      </c>
      <c r="B17" s="27" t="s">
        <v>289</v>
      </c>
      <c r="C17" s="27">
        <v>27262</v>
      </c>
      <c r="D17" s="27">
        <v>13587</v>
      </c>
      <c r="E17" s="27">
        <v>13675</v>
      </c>
    </row>
    <row r="18" spans="1:5" ht="23.1" customHeight="1" x14ac:dyDescent="0.25">
      <c r="A18" s="23">
        <v>2</v>
      </c>
      <c r="B18" s="27" t="s">
        <v>290</v>
      </c>
      <c r="C18" s="27">
        <v>7042</v>
      </c>
      <c r="D18" s="27">
        <v>3520</v>
      </c>
      <c r="E18" s="27">
        <v>3522</v>
      </c>
    </row>
    <row r="19" spans="1:5" ht="23.1" customHeight="1" x14ac:dyDescent="0.25">
      <c r="A19" s="23">
        <v>3</v>
      </c>
      <c r="B19" s="27" t="s">
        <v>291</v>
      </c>
      <c r="C19" s="27">
        <v>4420</v>
      </c>
      <c r="D19" s="27">
        <v>2191</v>
      </c>
      <c r="E19" s="27">
        <v>2229</v>
      </c>
    </row>
    <row r="20" spans="1:5" ht="23.1" customHeight="1" x14ac:dyDescent="0.25">
      <c r="A20" s="23">
        <v>4</v>
      </c>
      <c r="B20" s="27" t="s">
        <v>292</v>
      </c>
      <c r="C20" s="27">
        <v>4256</v>
      </c>
      <c r="D20" s="27">
        <v>2112</v>
      </c>
      <c r="E20" s="27">
        <v>2144</v>
      </c>
    </row>
    <row r="21" spans="1:5" ht="23.1" customHeight="1" x14ac:dyDescent="0.25">
      <c r="A21" s="23">
        <v>5</v>
      </c>
      <c r="B21" s="27" t="s">
        <v>293</v>
      </c>
      <c r="C21" s="27">
        <v>2493</v>
      </c>
      <c r="D21" s="27">
        <v>1278</v>
      </c>
      <c r="E21" s="27">
        <v>1215</v>
      </c>
    </row>
    <row r="22" spans="1:5" ht="23.1" customHeight="1" x14ac:dyDescent="0.25">
      <c r="A22" s="23">
        <v>6</v>
      </c>
      <c r="B22" s="27" t="s">
        <v>294</v>
      </c>
      <c r="C22" s="27">
        <v>3581</v>
      </c>
      <c r="D22" s="27">
        <v>1791</v>
      </c>
      <c r="E22" s="27">
        <v>1790</v>
      </c>
    </row>
    <row r="23" spans="1:5" ht="23.1" customHeight="1" x14ac:dyDescent="0.25">
      <c r="A23" s="23">
        <v>7</v>
      </c>
      <c r="B23" s="27" t="s">
        <v>295</v>
      </c>
      <c r="C23" s="27">
        <v>17640</v>
      </c>
      <c r="D23" s="27">
        <v>9034</v>
      </c>
      <c r="E23" s="27">
        <v>8606</v>
      </c>
    </row>
    <row r="24" spans="1:5" ht="23.1" customHeight="1" x14ac:dyDescent="0.25">
      <c r="A24" s="23">
        <v>8</v>
      </c>
      <c r="B24" s="27" t="s">
        <v>296</v>
      </c>
      <c r="C24" s="27">
        <v>5601</v>
      </c>
      <c r="D24" s="27">
        <v>2779</v>
      </c>
      <c r="E24" s="27">
        <v>2822</v>
      </c>
    </row>
    <row r="25" spans="1:5" ht="23.1" customHeight="1" x14ac:dyDescent="0.25">
      <c r="A25" s="23">
        <v>9</v>
      </c>
      <c r="B25" s="27" t="s">
        <v>297</v>
      </c>
      <c r="C25" s="27">
        <v>4732</v>
      </c>
      <c r="D25" s="27">
        <v>2502</v>
      </c>
      <c r="E25" s="27">
        <v>2230</v>
      </c>
    </row>
    <row r="26" spans="1:5" ht="23.1" customHeight="1" x14ac:dyDescent="0.25">
      <c r="A26" s="23">
        <v>10</v>
      </c>
      <c r="B26" s="27" t="s">
        <v>298</v>
      </c>
      <c r="C26" s="27">
        <v>6937</v>
      </c>
      <c r="D26" s="27">
        <v>3538</v>
      </c>
      <c r="E26" s="27">
        <v>3399</v>
      </c>
    </row>
    <row r="27" spans="1:5" ht="23.1" customHeight="1" x14ac:dyDescent="0.25">
      <c r="A27" s="23">
        <v>11</v>
      </c>
      <c r="B27" s="27" t="s">
        <v>299</v>
      </c>
      <c r="C27" s="27">
        <v>1047</v>
      </c>
      <c r="D27" s="27">
        <v>537</v>
      </c>
      <c r="E27" s="27">
        <v>510</v>
      </c>
    </row>
    <row r="28" spans="1:5" ht="23.1" customHeight="1" x14ac:dyDescent="0.25">
      <c r="A28" s="28">
        <v>12</v>
      </c>
      <c r="B28" s="29" t="s">
        <v>300</v>
      </c>
      <c r="C28" s="29">
        <v>2033</v>
      </c>
      <c r="D28" s="29">
        <v>1067</v>
      </c>
      <c r="E28" s="29">
        <v>966</v>
      </c>
    </row>
    <row r="29" spans="1:5" ht="23.1" customHeight="1" x14ac:dyDescent="0.25"/>
  </sheetData>
  <mergeCells count="4">
    <mergeCell ref="A4:A5"/>
    <mergeCell ref="B4:B5"/>
    <mergeCell ref="C4:E4"/>
    <mergeCell ref="A1:E1"/>
  </mergeCells>
  <hyperlinks>
    <hyperlink ref="A1:E1" location="'Link of Township'!A1" display="Shan State,Taunggyi District, Phekon Township"/>
  </hyperlinks>
  <pageMargins left="0.75" right="0.5" top="0.5" bottom="0.2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sqref="A1:XFD1"/>
    </sheetView>
  </sheetViews>
  <sheetFormatPr defaultRowHeight="15" x14ac:dyDescent="0.25"/>
  <cols>
    <col min="1" max="1" width="7.7109375" customWidth="1"/>
    <col min="2" max="2" width="24.85546875" customWidth="1"/>
    <col min="3" max="5" width="15.7109375" customWidth="1"/>
  </cols>
  <sheetData>
    <row r="1" spans="1:5" ht="18.75" x14ac:dyDescent="0.3">
      <c r="A1" s="180" t="s">
        <v>1408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21" t="s">
        <v>1341</v>
      </c>
    </row>
    <row r="3" spans="1:5" ht="15.75" x14ac:dyDescent="0.25">
      <c r="A3" s="20"/>
      <c r="B3" s="20"/>
      <c r="C3" s="20"/>
      <c r="D3" s="20"/>
      <c r="E3" s="20"/>
    </row>
    <row r="4" spans="1:5" ht="23.1" customHeight="1" x14ac:dyDescent="0.25">
      <c r="A4" s="173" t="s">
        <v>1339</v>
      </c>
      <c r="B4" s="173" t="s">
        <v>1422</v>
      </c>
      <c r="C4" s="174" t="s">
        <v>1340</v>
      </c>
      <c r="D4" s="175"/>
      <c r="E4" s="176"/>
    </row>
    <row r="5" spans="1:5" ht="23.1" customHeight="1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5" ht="23.1" customHeight="1" x14ac:dyDescent="0.25">
      <c r="A6" s="48"/>
      <c r="B6" s="26" t="s">
        <v>0</v>
      </c>
      <c r="C6" s="26">
        <v>56417</v>
      </c>
      <c r="D6" s="26">
        <v>27246</v>
      </c>
      <c r="E6" s="26">
        <v>29171</v>
      </c>
    </row>
    <row r="7" spans="1:5" ht="7.5" customHeight="1" x14ac:dyDescent="0.25">
      <c r="A7" s="23"/>
      <c r="B7" s="24"/>
      <c r="C7" s="24"/>
      <c r="D7" s="24"/>
      <c r="E7" s="24"/>
    </row>
    <row r="8" spans="1:5" ht="23.1" customHeight="1" x14ac:dyDescent="0.25">
      <c r="A8" s="23"/>
      <c r="B8" s="24" t="s">
        <v>1338</v>
      </c>
      <c r="C8" s="24">
        <f>SUM(C9:C14)</f>
        <v>3166</v>
      </c>
      <c r="D8" s="24">
        <f t="shared" ref="D8:E8" si="0">SUM(D9:D14)</f>
        <v>1454</v>
      </c>
      <c r="E8" s="24">
        <f t="shared" si="0"/>
        <v>1712</v>
      </c>
    </row>
    <row r="9" spans="1:5" ht="23.1" customHeight="1" x14ac:dyDescent="0.25">
      <c r="A9" s="23">
        <v>1</v>
      </c>
      <c r="B9" s="27" t="s">
        <v>301</v>
      </c>
      <c r="C9" s="27">
        <v>86</v>
      </c>
      <c r="D9" s="27">
        <v>42</v>
      </c>
      <c r="E9" s="27">
        <v>44</v>
      </c>
    </row>
    <row r="10" spans="1:5" ht="23.1" customHeight="1" x14ac:dyDescent="0.25">
      <c r="A10" s="23">
        <v>2</v>
      </c>
      <c r="B10" s="27" t="s">
        <v>302</v>
      </c>
      <c r="C10" s="27">
        <v>1312</v>
      </c>
      <c r="D10" s="27">
        <v>602</v>
      </c>
      <c r="E10" s="27">
        <v>710</v>
      </c>
    </row>
    <row r="11" spans="1:5" ht="23.1" customHeight="1" x14ac:dyDescent="0.25">
      <c r="A11" s="23">
        <v>3</v>
      </c>
      <c r="B11" s="27" t="s">
        <v>303</v>
      </c>
      <c r="C11" s="27">
        <v>580</v>
      </c>
      <c r="D11" s="27">
        <v>274</v>
      </c>
      <c r="E11" s="27">
        <v>306</v>
      </c>
    </row>
    <row r="12" spans="1:5" ht="23.1" customHeight="1" x14ac:dyDescent="0.25">
      <c r="A12" s="23">
        <v>4</v>
      </c>
      <c r="B12" s="27" t="s">
        <v>304</v>
      </c>
      <c r="C12" s="27">
        <v>438</v>
      </c>
      <c r="D12" s="27">
        <v>183</v>
      </c>
      <c r="E12" s="27">
        <v>255</v>
      </c>
    </row>
    <row r="13" spans="1:5" ht="23.1" customHeight="1" x14ac:dyDescent="0.25">
      <c r="A13" s="23">
        <v>5</v>
      </c>
      <c r="B13" s="27" t="s">
        <v>305</v>
      </c>
      <c r="C13" s="27">
        <v>291</v>
      </c>
      <c r="D13" s="27">
        <v>138</v>
      </c>
      <c r="E13" s="27">
        <v>153</v>
      </c>
    </row>
    <row r="14" spans="1:5" ht="23.1" customHeight="1" x14ac:dyDescent="0.25">
      <c r="A14" s="23">
        <v>6</v>
      </c>
      <c r="B14" s="27" t="s">
        <v>306</v>
      </c>
      <c r="C14" s="27">
        <v>459</v>
      </c>
      <c r="D14" s="27">
        <v>215</v>
      </c>
      <c r="E14" s="27">
        <v>244</v>
      </c>
    </row>
    <row r="15" spans="1:5" ht="23.1" customHeight="1" x14ac:dyDescent="0.25">
      <c r="A15" s="23"/>
      <c r="B15" s="24" t="s">
        <v>1410</v>
      </c>
      <c r="C15" s="24">
        <f>SUM(C16:C22)</f>
        <v>53251</v>
      </c>
      <c r="D15" s="24">
        <f t="shared" ref="D15:E15" si="1">SUM(D16:D22)</f>
        <v>25792</v>
      </c>
      <c r="E15" s="24">
        <f t="shared" si="1"/>
        <v>27459</v>
      </c>
    </row>
    <row r="16" spans="1:5" ht="23.1" customHeight="1" x14ac:dyDescent="0.25">
      <c r="A16" s="23">
        <v>1</v>
      </c>
      <c r="B16" s="27" t="s">
        <v>307</v>
      </c>
      <c r="C16" s="27">
        <v>6724</v>
      </c>
      <c r="D16" s="27">
        <v>3321</v>
      </c>
      <c r="E16" s="27">
        <v>3403</v>
      </c>
    </row>
    <row r="17" spans="1:5" ht="23.1" customHeight="1" x14ac:dyDescent="0.25">
      <c r="A17" s="23">
        <v>2</v>
      </c>
      <c r="B17" s="27" t="s">
        <v>308</v>
      </c>
      <c r="C17" s="27">
        <v>2751</v>
      </c>
      <c r="D17" s="27">
        <v>1359</v>
      </c>
      <c r="E17" s="27">
        <v>1392</v>
      </c>
    </row>
    <row r="18" spans="1:5" ht="23.1" customHeight="1" x14ac:dyDescent="0.25">
      <c r="A18" s="23">
        <v>3</v>
      </c>
      <c r="B18" s="27" t="s">
        <v>293</v>
      </c>
      <c r="C18" s="27">
        <v>8271</v>
      </c>
      <c r="D18" s="27">
        <v>3998</v>
      </c>
      <c r="E18" s="27">
        <v>4273</v>
      </c>
    </row>
    <row r="19" spans="1:5" ht="23.1" customHeight="1" x14ac:dyDescent="0.25">
      <c r="A19" s="23">
        <v>4</v>
      </c>
      <c r="B19" s="27" t="s">
        <v>309</v>
      </c>
      <c r="C19" s="27">
        <v>7598</v>
      </c>
      <c r="D19" s="27">
        <v>3598</v>
      </c>
      <c r="E19" s="27">
        <v>4000</v>
      </c>
    </row>
    <row r="20" spans="1:5" ht="23.1" customHeight="1" x14ac:dyDescent="0.25">
      <c r="A20" s="23">
        <v>5</v>
      </c>
      <c r="B20" s="27" t="s">
        <v>310</v>
      </c>
      <c r="C20" s="27">
        <v>11293</v>
      </c>
      <c r="D20" s="27">
        <v>5473</v>
      </c>
      <c r="E20" s="27">
        <v>5820</v>
      </c>
    </row>
    <row r="21" spans="1:5" ht="23.1" customHeight="1" x14ac:dyDescent="0.25">
      <c r="A21" s="23">
        <v>6</v>
      </c>
      <c r="B21" s="27" t="s">
        <v>311</v>
      </c>
      <c r="C21" s="27">
        <v>9614</v>
      </c>
      <c r="D21" s="27">
        <v>4661</v>
      </c>
      <c r="E21" s="27">
        <v>4953</v>
      </c>
    </row>
    <row r="22" spans="1:5" ht="23.1" customHeight="1" x14ac:dyDescent="0.25">
      <c r="A22" s="28">
        <v>7</v>
      </c>
      <c r="B22" s="29" t="s">
        <v>312</v>
      </c>
      <c r="C22" s="29">
        <v>7000</v>
      </c>
      <c r="D22" s="29">
        <v>3382</v>
      </c>
      <c r="E22" s="29">
        <v>3618</v>
      </c>
    </row>
  </sheetData>
  <mergeCells count="4">
    <mergeCell ref="A4:A5"/>
    <mergeCell ref="B4:B5"/>
    <mergeCell ref="C4:E4"/>
    <mergeCell ref="A1:E1"/>
  </mergeCells>
  <hyperlinks>
    <hyperlink ref="A1:E1" location="'Link of Township'!A1" display="Shan State,Taunggyi District,Kyauktalongyi (Sub-Township)"/>
  </hyperlinks>
  <pageMargins left="0.75" right="0.5" top="0.5" bottom="0.2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sqref="A1:XFD1"/>
    </sheetView>
  </sheetViews>
  <sheetFormatPr defaultRowHeight="15" x14ac:dyDescent="0.25"/>
  <cols>
    <col min="2" max="2" width="27.85546875" customWidth="1"/>
    <col min="3" max="5" width="15.7109375" customWidth="1"/>
  </cols>
  <sheetData>
    <row r="1" spans="1:8" ht="18.75" x14ac:dyDescent="0.3">
      <c r="A1" s="180" t="s">
        <v>1349</v>
      </c>
      <c r="B1" s="180"/>
      <c r="C1" s="180"/>
      <c r="D1" s="180"/>
      <c r="E1" s="180"/>
    </row>
    <row r="2" spans="1:8" ht="15.75" x14ac:dyDescent="0.25">
      <c r="A2" s="20"/>
      <c r="B2" s="20"/>
      <c r="C2" s="20"/>
      <c r="D2" s="20"/>
      <c r="E2" s="74" t="s">
        <v>1341</v>
      </c>
    </row>
    <row r="3" spans="1:8" ht="15.75" x14ac:dyDescent="0.25">
      <c r="A3" s="20"/>
      <c r="B3" s="20"/>
      <c r="C3" s="20"/>
      <c r="D3" s="20"/>
      <c r="E3" s="20"/>
    </row>
    <row r="4" spans="1:8" ht="23.1" customHeight="1" x14ac:dyDescent="0.25">
      <c r="A4" s="173" t="s">
        <v>1339</v>
      </c>
      <c r="B4" s="173" t="s">
        <v>1422</v>
      </c>
      <c r="C4" s="174" t="s">
        <v>1340</v>
      </c>
      <c r="D4" s="175"/>
      <c r="E4" s="176"/>
    </row>
    <row r="5" spans="1:8" ht="23.1" customHeight="1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8" ht="23.1" customHeight="1" x14ac:dyDescent="0.25">
      <c r="A6" s="48"/>
      <c r="B6" s="26" t="s">
        <v>0</v>
      </c>
      <c r="C6" s="26">
        <v>38163</v>
      </c>
      <c r="D6" s="26">
        <v>19365</v>
      </c>
      <c r="E6" s="26">
        <v>18798</v>
      </c>
      <c r="F6" s="8"/>
      <c r="G6" s="8"/>
      <c r="H6" s="8"/>
    </row>
    <row r="7" spans="1:8" ht="10.5" customHeight="1" x14ac:dyDescent="0.25">
      <c r="A7" s="23"/>
      <c r="B7" s="23"/>
      <c r="C7" s="23"/>
      <c r="D7" s="23"/>
      <c r="E7" s="23"/>
      <c r="F7" s="8"/>
      <c r="G7" s="8"/>
      <c r="H7" s="8"/>
    </row>
    <row r="8" spans="1:8" ht="23.1" customHeight="1" x14ac:dyDescent="0.25">
      <c r="A8" s="23"/>
      <c r="B8" s="24" t="s">
        <v>1338</v>
      </c>
      <c r="C8" s="24">
        <f>SUM(C9:C14)</f>
        <v>8252</v>
      </c>
      <c r="D8" s="24">
        <f>SUM(D9:D14)</f>
        <v>4171</v>
      </c>
      <c r="E8" s="24">
        <f>SUM(E9:E14)</f>
        <v>4081</v>
      </c>
      <c r="F8" s="8"/>
      <c r="G8" s="8"/>
      <c r="H8" s="8"/>
    </row>
    <row r="9" spans="1:8" ht="23.1" customHeight="1" x14ac:dyDescent="0.25">
      <c r="A9" s="23">
        <v>1</v>
      </c>
      <c r="B9" s="27" t="s">
        <v>25</v>
      </c>
      <c r="C9" s="27">
        <v>1490</v>
      </c>
      <c r="D9" s="27">
        <v>831</v>
      </c>
      <c r="E9" s="27">
        <v>659</v>
      </c>
      <c r="F9" s="8"/>
      <c r="G9" s="8"/>
      <c r="H9" s="8"/>
    </row>
    <row r="10" spans="1:8" ht="23.1" customHeight="1" x14ac:dyDescent="0.25">
      <c r="A10" s="23">
        <v>2</v>
      </c>
      <c r="B10" s="27" t="s">
        <v>26</v>
      </c>
      <c r="C10" s="27">
        <v>653</v>
      </c>
      <c r="D10" s="27">
        <v>314</v>
      </c>
      <c r="E10" s="27">
        <v>339</v>
      </c>
      <c r="F10" s="8"/>
      <c r="G10" s="8"/>
      <c r="H10" s="8"/>
    </row>
    <row r="11" spans="1:8" ht="23.1" customHeight="1" x14ac:dyDescent="0.25">
      <c r="A11" s="23">
        <v>3</v>
      </c>
      <c r="B11" s="27" t="s">
        <v>27</v>
      </c>
      <c r="C11" s="27">
        <v>1516</v>
      </c>
      <c r="D11" s="27">
        <v>727</v>
      </c>
      <c r="E11" s="27">
        <v>789</v>
      </c>
      <c r="F11" s="8"/>
      <c r="G11" s="8"/>
      <c r="H11" s="8"/>
    </row>
    <row r="12" spans="1:8" ht="23.1" customHeight="1" x14ac:dyDescent="0.25">
      <c r="A12" s="23">
        <v>4</v>
      </c>
      <c r="B12" s="27" t="s">
        <v>28</v>
      </c>
      <c r="C12" s="27">
        <v>1211</v>
      </c>
      <c r="D12" s="27">
        <v>608</v>
      </c>
      <c r="E12" s="27">
        <v>603</v>
      </c>
      <c r="F12" s="8"/>
      <c r="G12" s="8"/>
      <c r="H12" s="8"/>
    </row>
    <row r="13" spans="1:8" ht="23.1" customHeight="1" x14ac:dyDescent="0.25">
      <c r="A13" s="23">
        <v>5</v>
      </c>
      <c r="B13" s="27" t="s">
        <v>29</v>
      </c>
      <c r="C13" s="27">
        <v>1115</v>
      </c>
      <c r="D13" s="27">
        <v>539</v>
      </c>
      <c r="E13" s="27">
        <v>576</v>
      </c>
      <c r="F13" s="8"/>
      <c r="G13" s="8"/>
      <c r="H13" s="8"/>
    </row>
    <row r="14" spans="1:8" ht="23.1" customHeight="1" x14ac:dyDescent="0.25">
      <c r="A14" s="23">
        <v>6</v>
      </c>
      <c r="B14" s="27" t="s">
        <v>30</v>
      </c>
      <c r="C14" s="27">
        <v>2267</v>
      </c>
      <c r="D14" s="27">
        <v>1152</v>
      </c>
      <c r="E14" s="27">
        <v>1115</v>
      </c>
      <c r="F14" s="8"/>
      <c r="G14" s="8"/>
      <c r="H14" s="8"/>
    </row>
    <row r="15" spans="1:8" ht="23.1" customHeight="1" x14ac:dyDescent="0.25">
      <c r="A15" s="23"/>
      <c r="B15" s="24" t="s">
        <v>1410</v>
      </c>
      <c r="C15" s="24">
        <f>SUM(C16:C20)</f>
        <v>29911</v>
      </c>
      <c r="D15" s="24">
        <f t="shared" ref="D15:E15" si="0">SUM(D16:D20)</f>
        <v>15194</v>
      </c>
      <c r="E15" s="24">
        <f t="shared" si="0"/>
        <v>14717</v>
      </c>
      <c r="F15" s="8"/>
      <c r="G15" s="8"/>
      <c r="H15" s="8"/>
    </row>
    <row r="16" spans="1:8" ht="23.1" customHeight="1" x14ac:dyDescent="0.25">
      <c r="A16" s="23">
        <v>1</v>
      </c>
      <c r="B16" s="27" t="s">
        <v>313</v>
      </c>
      <c r="C16" s="27">
        <v>3117</v>
      </c>
      <c r="D16" s="27">
        <v>1617</v>
      </c>
      <c r="E16" s="27">
        <v>1500</v>
      </c>
      <c r="F16" s="8"/>
      <c r="G16" s="8"/>
      <c r="H16" s="8"/>
    </row>
    <row r="17" spans="1:8" ht="23.1" customHeight="1" x14ac:dyDescent="0.25">
      <c r="A17" s="23">
        <v>2</v>
      </c>
      <c r="B17" s="27" t="s">
        <v>314</v>
      </c>
      <c r="C17" s="27">
        <v>779</v>
      </c>
      <c r="D17" s="27">
        <v>409</v>
      </c>
      <c r="E17" s="27">
        <v>370</v>
      </c>
      <c r="F17" s="8"/>
      <c r="G17" s="8"/>
      <c r="H17" s="8"/>
    </row>
    <row r="18" spans="1:8" ht="23.1" customHeight="1" x14ac:dyDescent="0.25">
      <c r="A18" s="23">
        <v>3</v>
      </c>
      <c r="B18" s="27" t="s">
        <v>315</v>
      </c>
      <c r="C18" s="27">
        <v>15607</v>
      </c>
      <c r="D18" s="27">
        <v>7924</v>
      </c>
      <c r="E18" s="27">
        <v>7683</v>
      </c>
      <c r="F18" s="8"/>
      <c r="G18" s="8"/>
      <c r="H18" s="8"/>
    </row>
    <row r="19" spans="1:8" ht="23.1" customHeight="1" x14ac:dyDescent="0.25">
      <c r="A19" s="23">
        <v>4</v>
      </c>
      <c r="B19" s="27" t="s">
        <v>316</v>
      </c>
      <c r="C19" s="27">
        <v>3084</v>
      </c>
      <c r="D19" s="27">
        <v>1589</v>
      </c>
      <c r="E19" s="27">
        <v>1495</v>
      </c>
      <c r="F19" s="8"/>
      <c r="G19" s="8"/>
      <c r="H19" s="8"/>
    </row>
    <row r="20" spans="1:8" ht="23.1" customHeight="1" x14ac:dyDescent="0.25">
      <c r="A20" s="28">
        <v>5</v>
      </c>
      <c r="B20" s="29" t="s">
        <v>317</v>
      </c>
      <c r="C20" s="29">
        <v>7324</v>
      </c>
      <c r="D20" s="29">
        <v>3655</v>
      </c>
      <c r="E20" s="29">
        <v>3669</v>
      </c>
      <c r="F20" s="8"/>
      <c r="G20" s="8"/>
      <c r="H20" s="8"/>
    </row>
  </sheetData>
  <mergeCells count="4">
    <mergeCell ref="A4:A5"/>
    <mergeCell ref="B4:B5"/>
    <mergeCell ref="C4:E4"/>
    <mergeCell ref="A1:E1"/>
  </mergeCells>
  <hyperlinks>
    <hyperlink ref="A1:E1" location="'Link of Township'!A1" display="Shan State,Taunggyi District,Indaw(Sub-Township)"/>
  </hyperlinks>
  <pageMargins left="0.75" right="0.5" top="0.5" bottom="0.2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sqref="A1:XFD1"/>
    </sheetView>
  </sheetViews>
  <sheetFormatPr defaultRowHeight="15" x14ac:dyDescent="0.25"/>
  <cols>
    <col min="2" max="2" width="26.140625" customWidth="1"/>
    <col min="3" max="5" width="15.7109375" customWidth="1"/>
  </cols>
  <sheetData>
    <row r="1" spans="1:8" ht="18.75" x14ac:dyDescent="0.3">
      <c r="A1" s="180" t="s">
        <v>1350</v>
      </c>
      <c r="B1" s="180"/>
      <c r="C1" s="180"/>
      <c r="D1" s="180"/>
      <c r="E1" s="180"/>
    </row>
    <row r="2" spans="1:8" ht="15.75" x14ac:dyDescent="0.25">
      <c r="A2" s="20"/>
      <c r="B2" s="20"/>
      <c r="C2" s="20"/>
      <c r="D2" s="20"/>
      <c r="E2" s="20" t="s">
        <v>1341</v>
      </c>
    </row>
    <row r="3" spans="1:8" ht="9" customHeight="1" x14ac:dyDescent="0.25">
      <c r="A3" s="20"/>
      <c r="B3" s="20"/>
      <c r="C3" s="20"/>
      <c r="D3" s="20"/>
      <c r="E3" s="20"/>
    </row>
    <row r="4" spans="1:8" ht="23.1" customHeight="1" x14ac:dyDescent="0.25">
      <c r="A4" s="173" t="s">
        <v>1339</v>
      </c>
      <c r="B4" s="173" t="s">
        <v>1422</v>
      </c>
      <c r="C4" s="174" t="s">
        <v>1340</v>
      </c>
      <c r="D4" s="175"/>
      <c r="E4" s="176"/>
    </row>
    <row r="5" spans="1:8" ht="23.1" customHeight="1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8" ht="23.1" customHeight="1" x14ac:dyDescent="0.25">
      <c r="A6" s="48"/>
      <c r="B6" s="26" t="s">
        <v>0</v>
      </c>
      <c r="C6" s="26">
        <v>77210</v>
      </c>
      <c r="D6" s="26">
        <v>37947</v>
      </c>
      <c r="E6" s="26">
        <v>39263</v>
      </c>
      <c r="F6" s="8"/>
      <c r="G6" s="8"/>
      <c r="H6" s="8"/>
    </row>
    <row r="7" spans="1:8" ht="7.5" customHeight="1" x14ac:dyDescent="0.25">
      <c r="A7" s="23"/>
      <c r="B7" s="23"/>
      <c r="C7" s="23"/>
      <c r="D7" s="23"/>
      <c r="E7" s="23"/>
      <c r="F7" s="8"/>
      <c r="G7" s="8"/>
      <c r="H7" s="8"/>
    </row>
    <row r="8" spans="1:8" ht="23.1" customHeight="1" x14ac:dyDescent="0.25">
      <c r="A8" s="23"/>
      <c r="B8" s="24" t="s">
        <v>1338</v>
      </c>
      <c r="C8" s="24">
        <f>SUM(C9:C11)</f>
        <v>4861</v>
      </c>
      <c r="D8" s="24">
        <f t="shared" ref="D8:E8" si="0">SUM(D9:D11)</f>
        <v>2425</v>
      </c>
      <c r="E8" s="24">
        <f t="shared" si="0"/>
        <v>2436</v>
      </c>
      <c r="F8" s="8"/>
      <c r="G8" s="8"/>
      <c r="H8" s="8"/>
    </row>
    <row r="9" spans="1:8" ht="23.1" customHeight="1" x14ac:dyDescent="0.25">
      <c r="A9" s="23">
        <v>1</v>
      </c>
      <c r="B9" s="27" t="s">
        <v>25</v>
      </c>
      <c r="C9" s="27">
        <v>3326</v>
      </c>
      <c r="D9" s="27">
        <v>1609</v>
      </c>
      <c r="E9" s="27">
        <v>1717</v>
      </c>
      <c r="F9" s="8"/>
      <c r="G9" s="8"/>
      <c r="H9" s="8"/>
    </row>
    <row r="10" spans="1:8" ht="23.1" customHeight="1" x14ac:dyDescent="0.25">
      <c r="A10" s="23">
        <v>2</v>
      </c>
      <c r="B10" s="27" t="s">
        <v>26</v>
      </c>
      <c r="C10" s="27">
        <v>328</v>
      </c>
      <c r="D10" s="27">
        <v>153</v>
      </c>
      <c r="E10" s="27">
        <v>175</v>
      </c>
      <c r="F10" s="8"/>
      <c r="G10" s="8"/>
      <c r="H10" s="8"/>
    </row>
    <row r="11" spans="1:8" ht="23.1" customHeight="1" x14ac:dyDescent="0.25">
      <c r="A11" s="23">
        <v>3</v>
      </c>
      <c r="B11" s="27" t="s">
        <v>27</v>
      </c>
      <c r="C11" s="27">
        <v>1207</v>
      </c>
      <c r="D11" s="27">
        <v>663</v>
      </c>
      <c r="E11" s="27">
        <v>544</v>
      </c>
      <c r="F11" s="8"/>
      <c r="G11" s="8"/>
      <c r="H11" s="8"/>
    </row>
    <row r="12" spans="1:8" ht="23.1" customHeight="1" x14ac:dyDescent="0.25">
      <c r="A12" s="23"/>
      <c r="B12" s="49" t="s">
        <v>1410</v>
      </c>
      <c r="C12" s="24">
        <f>SUM(C13:C24)</f>
        <v>72349</v>
      </c>
      <c r="D12" s="24">
        <f t="shared" ref="D12:E12" si="1">SUM(D13:D24)</f>
        <v>35522</v>
      </c>
      <c r="E12" s="24">
        <f t="shared" si="1"/>
        <v>36827</v>
      </c>
      <c r="F12" s="8"/>
      <c r="G12" s="8"/>
      <c r="H12" s="8"/>
    </row>
    <row r="13" spans="1:8" ht="23.1" customHeight="1" x14ac:dyDescent="0.25">
      <c r="A13" s="23">
        <v>1</v>
      </c>
      <c r="B13" s="27" t="s">
        <v>318</v>
      </c>
      <c r="C13" s="27">
        <v>11284</v>
      </c>
      <c r="D13" s="27">
        <v>5599</v>
      </c>
      <c r="E13" s="27">
        <v>5685</v>
      </c>
      <c r="F13" s="8"/>
      <c r="G13" s="8"/>
      <c r="H13" s="8"/>
    </row>
    <row r="14" spans="1:8" ht="23.1" customHeight="1" x14ac:dyDescent="0.25">
      <c r="A14" s="23">
        <v>2</v>
      </c>
      <c r="B14" s="27" t="s">
        <v>319</v>
      </c>
      <c r="C14" s="27">
        <v>6621</v>
      </c>
      <c r="D14" s="27">
        <v>3226</v>
      </c>
      <c r="E14" s="27">
        <v>3395</v>
      </c>
      <c r="F14" s="8"/>
      <c r="G14" s="8"/>
      <c r="H14" s="8"/>
    </row>
    <row r="15" spans="1:8" ht="23.1" customHeight="1" x14ac:dyDescent="0.25">
      <c r="A15" s="23">
        <v>3</v>
      </c>
      <c r="B15" s="27" t="s">
        <v>320</v>
      </c>
      <c r="C15" s="27">
        <v>9099</v>
      </c>
      <c r="D15" s="27">
        <v>4417</v>
      </c>
      <c r="E15" s="27">
        <v>4682</v>
      </c>
      <c r="F15" s="8"/>
      <c r="G15" s="8"/>
      <c r="H15" s="8"/>
    </row>
    <row r="16" spans="1:8" ht="23.1" customHeight="1" x14ac:dyDescent="0.25">
      <c r="A16" s="23">
        <v>4</v>
      </c>
      <c r="B16" s="27" t="s">
        <v>321</v>
      </c>
      <c r="C16" s="27">
        <v>6019</v>
      </c>
      <c r="D16" s="27">
        <v>3134</v>
      </c>
      <c r="E16" s="27">
        <v>2885</v>
      </c>
      <c r="F16" s="8"/>
      <c r="G16" s="8"/>
      <c r="H16" s="8"/>
    </row>
    <row r="17" spans="1:8" ht="23.1" customHeight="1" x14ac:dyDescent="0.25">
      <c r="A17" s="23">
        <v>5</v>
      </c>
      <c r="B17" s="27" t="s">
        <v>322</v>
      </c>
      <c r="C17" s="27">
        <v>9512</v>
      </c>
      <c r="D17" s="27">
        <v>4492</v>
      </c>
      <c r="E17" s="27">
        <v>5020</v>
      </c>
      <c r="F17" s="8"/>
      <c r="G17" s="8"/>
      <c r="H17" s="8"/>
    </row>
    <row r="18" spans="1:8" ht="23.1" customHeight="1" x14ac:dyDescent="0.25">
      <c r="A18" s="23">
        <v>6</v>
      </c>
      <c r="B18" s="27" t="s">
        <v>323</v>
      </c>
      <c r="C18" s="27">
        <v>5268</v>
      </c>
      <c r="D18" s="27">
        <v>2541</v>
      </c>
      <c r="E18" s="27">
        <v>2727</v>
      </c>
      <c r="F18" s="8"/>
      <c r="G18" s="8"/>
      <c r="H18" s="8"/>
    </row>
    <row r="19" spans="1:8" ht="23.1" customHeight="1" x14ac:dyDescent="0.25">
      <c r="A19" s="23">
        <v>7</v>
      </c>
      <c r="B19" s="27" t="s">
        <v>324</v>
      </c>
      <c r="C19" s="27">
        <v>3901</v>
      </c>
      <c r="D19" s="27">
        <v>1862</v>
      </c>
      <c r="E19" s="27">
        <v>2039</v>
      </c>
      <c r="F19" s="8"/>
      <c r="G19" s="8"/>
      <c r="H19" s="8"/>
    </row>
    <row r="20" spans="1:8" ht="23.1" customHeight="1" x14ac:dyDescent="0.25">
      <c r="A20" s="23">
        <v>8</v>
      </c>
      <c r="B20" s="27" t="s">
        <v>325</v>
      </c>
      <c r="C20" s="27">
        <v>1972</v>
      </c>
      <c r="D20" s="27">
        <v>1005</v>
      </c>
      <c r="E20" s="27">
        <v>967</v>
      </c>
      <c r="F20" s="8"/>
      <c r="G20" s="8"/>
      <c r="H20" s="8"/>
    </row>
    <row r="21" spans="1:8" ht="23.1" customHeight="1" x14ac:dyDescent="0.25">
      <c r="A21" s="23">
        <v>9</v>
      </c>
      <c r="B21" s="27" t="s">
        <v>326</v>
      </c>
      <c r="C21" s="27">
        <v>3089</v>
      </c>
      <c r="D21" s="27">
        <v>1456</v>
      </c>
      <c r="E21" s="27">
        <v>1633</v>
      </c>
      <c r="F21" s="8"/>
      <c r="G21" s="8"/>
      <c r="H21" s="8"/>
    </row>
    <row r="22" spans="1:8" ht="23.1" customHeight="1" x14ac:dyDescent="0.25">
      <c r="A22" s="23">
        <v>10</v>
      </c>
      <c r="B22" s="27" t="s">
        <v>327</v>
      </c>
      <c r="C22" s="27">
        <v>6632</v>
      </c>
      <c r="D22" s="27">
        <v>3174</v>
      </c>
      <c r="E22" s="27">
        <v>3458</v>
      </c>
      <c r="F22" s="8"/>
      <c r="G22" s="8"/>
      <c r="H22" s="8"/>
    </row>
    <row r="23" spans="1:8" ht="23.1" customHeight="1" x14ac:dyDescent="0.25">
      <c r="A23" s="23">
        <v>11</v>
      </c>
      <c r="B23" s="27" t="s">
        <v>328</v>
      </c>
      <c r="C23" s="27">
        <v>3583</v>
      </c>
      <c r="D23" s="27">
        <v>1918</v>
      </c>
      <c r="E23" s="27">
        <v>1665</v>
      </c>
      <c r="F23" s="8"/>
      <c r="G23" s="8"/>
      <c r="H23" s="8"/>
    </row>
    <row r="24" spans="1:8" ht="23.1" customHeight="1" x14ac:dyDescent="0.25">
      <c r="A24" s="28">
        <v>12</v>
      </c>
      <c r="B24" s="29" t="s">
        <v>329</v>
      </c>
      <c r="C24" s="29">
        <v>5369</v>
      </c>
      <c r="D24" s="29">
        <v>2698</v>
      </c>
      <c r="E24" s="29">
        <v>2671</v>
      </c>
      <c r="F24" s="8"/>
      <c r="G24" s="8"/>
      <c r="H24" s="8"/>
    </row>
  </sheetData>
  <mergeCells count="4">
    <mergeCell ref="A4:A5"/>
    <mergeCell ref="B4:B5"/>
    <mergeCell ref="C4:E4"/>
    <mergeCell ref="A1:E1"/>
  </mergeCells>
  <hyperlinks>
    <hyperlink ref="A1:E1" location="'Link of Township'!A1" display="Shan State,Taunggyi District, Naungtayar(Sub-Township)"/>
  </hyperlinks>
  <pageMargins left="0.75" right="0.5" top="0.5" bottom="0.2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sqref="A1:XFD1"/>
    </sheetView>
  </sheetViews>
  <sheetFormatPr defaultRowHeight="21" x14ac:dyDescent="0.35"/>
  <cols>
    <col min="1" max="1" width="9.140625" style="5"/>
    <col min="2" max="2" width="30.85546875" style="5" customWidth="1"/>
    <col min="3" max="5" width="15.7109375" style="5" customWidth="1"/>
    <col min="6" max="16384" width="9.140625" style="5"/>
  </cols>
  <sheetData>
    <row r="1" spans="1:8" x14ac:dyDescent="0.35">
      <c r="A1" s="180" t="s">
        <v>1351</v>
      </c>
      <c r="B1" s="180"/>
      <c r="C1" s="180"/>
      <c r="D1" s="180"/>
      <c r="E1" s="180"/>
    </row>
    <row r="2" spans="1:8" x14ac:dyDescent="0.35">
      <c r="A2" s="20"/>
      <c r="B2" s="20"/>
      <c r="C2" s="20"/>
      <c r="D2" s="20"/>
      <c r="E2" s="74" t="s">
        <v>1341</v>
      </c>
    </row>
    <row r="3" spans="1:8" ht="11.25" customHeight="1" x14ac:dyDescent="0.35">
      <c r="A3" s="20"/>
      <c r="B3" s="20"/>
      <c r="C3" s="20"/>
      <c r="D3" s="20"/>
      <c r="E3" s="20"/>
    </row>
    <row r="4" spans="1:8" ht="23.1" customHeight="1" x14ac:dyDescent="0.35">
      <c r="A4" s="173" t="s">
        <v>1339</v>
      </c>
      <c r="B4" s="173" t="s">
        <v>1422</v>
      </c>
      <c r="C4" s="174" t="s">
        <v>1340</v>
      </c>
      <c r="D4" s="175"/>
      <c r="E4" s="176"/>
    </row>
    <row r="5" spans="1:8" ht="23.1" customHeight="1" x14ac:dyDescent="0.35">
      <c r="A5" s="173"/>
      <c r="B5" s="173"/>
      <c r="C5" s="22" t="s">
        <v>0</v>
      </c>
      <c r="D5" s="22" t="s">
        <v>1</v>
      </c>
      <c r="E5" s="22" t="s">
        <v>2</v>
      </c>
    </row>
    <row r="6" spans="1:8" ht="23.1" customHeight="1" x14ac:dyDescent="0.35">
      <c r="A6" s="51"/>
      <c r="B6" s="26" t="s">
        <v>0</v>
      </c>
      <c r="C6" s="26">
        <v>52371</v>
      </c>
      <c r="D6" s="26">
        <v>25231</v>
      </c>
      <c r="E6" s="26">
        <v>27140</v>
      </c>
      <c r="F6" s="8"/>
      <c r="G6" s="8"/>
      <c r="H6" s="8"/>
    </row>
    <row r="7" spans="1:8" ht="11.25" customHeight="1" x14ac:dyDescent="0.35">
      <c r="A7" s="24"/>
      <c r="B7" s="24"/>
      <c r="C7" s="24"/>
      <c r="D7" s="24"/>
      <c r="E7" s="24"/>
      <c r="F7" s="8"/>
      <c r="G7" s="8"/>
      <c r="H7" s="8"/>
    </row>
    <row r="8" spans="1:8" ht="23.1" customHeight="1" x14ac:dyDescent="0.35">
      <c r="A8" s="24"/>
      <c r="B8" s="24" t="s">
        <v>1338</v>
      </c>
      <c r="C8" s="24">
        <f>SUM(C9:C12)</f>
        <v>13460</v>
      </c>
      <c r="D8" s="24">
        <f t="shared" ref="D8:E8" si="0">SUM(D9:D12)</f>
        <v>6417</v>
      </c>
      <c r="E8" s="24">
        <f t="shared" si="0"/>
        <v>7043</v>
      </c>
      <c r="F8" s="8"/>
      <c r="G8" s="8"/>
      <c r="H8" s="8"/>
    </row>
    <row r="9" spans="1:8" ht="23.1" customHeight="1" x14ac:dyDescent="0.35">
      <c r="A9" s="23">
        <v>1</v>
      </c>
      <c r="B9" s="27" t="s">
        <v>25</v>
      </c>
      <c r="C9" s="27">
        <v>2206</v>
      </c>
      <c r="D9" s="27">
        <v>1060</v>
      </c>
      <c r="E9" s="27">
        <v>1146</v>
      </c>
      <c r="F9" s="8"/>
      <c r="G9" s="8"/>
      <c r="H9" s="8"/>
    </row>
    <row r="10" spans="1:8" ht="23.1" customHeight="1" x14ac:dyDescent="0.35">
      <c r="A10" s="23">
        <v>2</v>
      </c>
      <c r="B10" s="27" t="s">
        <v>26</v>
      </c>
      <c r="C10" s="27">
        <v>3587</v>
      </c>
      <c r="D10" s="27">
        <v>1715</v>
      </c>
      <c r="E10" s="27">
        <v>1872</v>
      </c>
      <c r="F10" s="8"/>
      <c r="G10" s="8"/>
      <c r="H10" s="8"/>
    </row>
    <row r="11" spans="1:8" ht="23.1" customHeight="1" x14ac:dyDescent="0.35">
      <c r="A11" s="23">
        <v>3</v>
      </c>
      <c r="B11" s="27" t="s">
        <v>27</v>
      </c>
      <c r="C11" s="27">
        <v>2391</v>
      </c>
      <c r="D11" s="27">
        <v>1121</v>
      </c>
      <c r="E11" s="27">
        <v>1270</v>
      </c>
      <c r="F11" s="8"/>
      <c r="G11" s="8"/>
      <c r="H11" s="8"/>
    </row>
    <row r="12" spans="1:8" ht="23.1" customHeight="1" x14ac:dyDescent="0.35">
      <c r="A12" s="23">
        <v>4</v>
      </c>
      <c r="B12" s="27" t="s">
        <v>28</v>
      </c>
      <c r="C12" s="27">
        <v>5276</v>
      </c>
      <c r="D12" s="27">
        <v>2521</v>
      </c>
      <c r="E12" s="27">
        <v>2755</v>
      </c>
      <c r="F12" s="8"/>
      <c r="G12" s="8"/>
      <c r="H12" s="8"/>
    </row>
    <row r="13" spans="1:8" ht="23.1" customHeight="1" x14ac:dyDescent="0.35">
      <c r="A13" s="23"/>
      <c r="B13" s="24" t="s">
        <v>1410</v>
      </c>
      <c r="C13" s="24">
        <f>SUM(C14:C24)</f>
        <v>38911</v>
      </c>
      <c r="D13" s="24">
        <f t="shared" ref="D13:E13" si="1">SUM(D14:D24)</f>
        <v>18814</v>
      </c>
      <c r="E13" s="24">
        <f t="shared" si="1"/>
        <v>20097</v>
      </c>
      <c r="F13" s="8"/>
      <c r="G13" s="8"/>
      <c r="H13" s="8"/>
    </row>
    <row r="14" spans="1:8" ht="23.1" customHeight="1" x14ac:dyDescent="0.35">
      <c r="A14" s="23">
        <v>1</v>
      </c>
      <c r="B14" s="27" t="s">
        <v>330</v>
      </c>
      <c r="C14" s="27">
        <v>2985</v>
      </c>
      <c r="D14" s="27">
        <v>1420</v>
      </c>
      <c r="E14" s="27">
        <v>1565</v>
      </c>
      <c r="F14" s="8"/>
      <c r="G14" s="8"/>
      <c r="H14" s="8"/>
    </row>
    <row r="15" spans="1:8" ht="23.1" customHeight="1" x14ac:dyDescent="0.35">
      <c r="A15" s="23">
        <v>2</v>
      </c>
      <c r="B15" s="27" t="s">
        <v>331</v>
      </c>
      <c r="C15" s="27">
        <v>1828</v>
      </c>
      <c r="D15" s="27">
        <v>878</v>
      </c>
      <c r="E15" s="27">
        <v>950</v>
      </c>
      <c r="F15" s="8"/>
      <c r="G15" s="8"/>
      <c r="H15" s="8"/>
    </row>
    <row r="16" spans="1:8" ht="23.1" customHeight="1" x14ac:dyDescent="0.35">
      <c r="A16" s="23">
        <v>3</v>
      </c>
      <c r="B16" s="27" t="s">
        <v>332</v>
      </c>
      <c r="C16" s="27">
        <v>3901</v>
      </c>
      <c r="D16" s="27">
        <v>1872</v>
      </c>
      <c r="E16" s="27">
        <v>2029</v>
      </c>
      <c r="F16" s="8"/>
      <c r="G16" s="8"/>
      <c r="H16" s="8"/>
    </row>
    <row r="17" spans="1:8" ht="23.1" customHeight="1" x14ac:dyDescent="0.35">
      <c r="A17" s="23">
        <v>4</v>
      </c>
      <c r="B17" s="27" t="s">
        <v>333</v>
      </c>
      <c r="C17" s="27">
        <v>8124</v>
      </c>
      <c r="D17" s="27">
        <v>3974</v>
      </c>
      <c r="E17" s="27">
        <v>4150</v>
      </c>
      <c r="F17" s="8"/>
      <c r="G17" s="8"/>
      <c r="H17" s="8"/>
    </row>
    <row r="18" spans="1:8" ht="23.1" customHeight="1" x14ac:dyDescent="0.35">
      <c r="A18" s="23">
        <v>5</v>
      </c>
      <c r="B18" s="27" t="s">
        <v>334</v>
      </c>
      <c r="C18" s="27">
        <v>2594</v>
      </c>
      <c r="D18" s="27">
        <v>1240</v>
      </c>
      <c r="E18" s="27">
        <v>1354</v>
      </c>
      <c r="F18" s="8"/>
      <c r="G18" s="8"/>
      <c r="H18" s="8"/>
    </row>
    <row r="19" spans="1:8" ht="23.1" customHeight="1" x14ac:dyDescent="0.35">
      <c r="A19" s="23">
        <v>6</v>
      </c>
      <c r="B19" s="27" t="s">
        <v>335</v>
      </c>
      <c r="C19" s="27">
        <v>2138</v>
      </c>
      <c r="D19" s="27">
        <v>1163</v>
      </c>
      <c r="E19" s="27">
        <v>975</v>
      </c>
      <c r="F19" s="8"/>
      <c r="G19" s="8"/>
      <c r="H19" s="8"/>
    </row>
    <row r="20" spans="1:8" ht="23.1" customHeight="1" x14ac:dyDescent="0.35">
      <c r="A20" s="23">
        <v>7</v>
      </c>
      <c r="B20" s="27" t="s">
        <v>336</v>
      </c>
      <c r="C20" s="27">
        <v>3307</v>
      </c>
      <c r="D20" s="27">
        <v>1550</v>
      </c>
      <c r="E20" s="27">
        <v>1757</v>
      </c>
      <c r="F20" s="8"/>
      <c r="G20" s="8"/>
      <c r="H20" s="8"/>
    </row>
    <row r="21" spans="1:8" ht="23.1" customHeight="1" x14ac:dyDescent="0.35">
      <c r="A21" s="23">
        <v>8</v>
      </c>
      <c r="B21" s="27" t="s">
        <v>337</v>
      </c>
      <c r="C21" s="27">
        <v>5452</v>
      </c>
      <c r="D21" s="27">
        <v>2608</v>
      </c>
      <c r="E21" s="27">
        <v>2844</v>
      </c>
      <c r="F21" s="8"/>
      <c r="G21" s="8"/>
      <c r="H21" s="8"/>
    </row>
    <row r="22" spans="1:8" ht="23.1" customHeight="1" x14ac:dyDescent="0.35">
      <c r="A22" s="23">
        <v>9</v>
      </c>
      <c r="B22" s="27" t="s">
        <v>338</v>
      </c>
      <c r="C22" s="27">
        <v>3017</v>
      </c>
      <c r="D22" s="27">
        <v>1427</v>
      </c>
      <c r="E22" s="27">
        <v>1590</v>
      </c>
      <c r="F22" s="8"/>
      <c r="G22" s="8"/>
      <c r="H22" s="8"/>
    </row>
    <row r="23" spans="1:8" ht="23.1" customHeight="1" x14ac:dyDescent="0.35">
      <c r="A23" s="23">
        <v>10</v>
      </c>
      <c r="B23" s="27" t="s">
        <v>133</v>
      </c>
      <c r="C23" s="27">
        <v>3605</v>
      </c>
      <c r="D23" s="27">
        <v>1721</v>
      </c>
      <c r="E23" s="27">
        <v>1884</v>
      </c>
      <c r="F23" s="8"/>
      <c r="G23" s="8"/>
      <c r="H23" s="8"/>
    </row>
    <row r="24" spans="1:8" ht="23.1" customHeight="1" x14ac:dyDescent="0.35">
      <c r="A24" s="28">
        <v>11</v>
      </c>
      <c r="B24" s="29" t="s">
        <v>339</v>
      </c>
      <c r="C24" s="29">
        <v>1960</v>
      </c>
      <c r="D24" s="29">
        <v>961</v>
      </c>
      <c r="E24" s="29">
        <v>999</v>
      </c>
      <c r="F24" s="8"/>
      <c r="G24" s="8"/>
      <c r="H24" s="8"/>
    </row>
  </sheetData>
  <mergeCells count="4">
    <mergeCell ref="A4:A5"/>
    <mergeCell ref="B4:B5"/>
    <mergeCell ref="C4:E4"/>
    <mergeCell ref="A1:E1"/>
  </mergeCells>
  <hyperlinks>
    <hyperlink ref="A1:E1" location="'Link of Township'!A1" display="Shan State,  Loilem District, Loilem Township"/>
  </hyperlinks>
  <pageMargins left="0.75" right="0.5" top="0.5" bottom="0.2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selection sqref="A1:XFD1"/>
    </sheetView>
  </sheetViews>
  <sheetFormatPr defaultRowHeight="21" x14ac:dyDescent="0.35"/>
  <cols>
    <col min="1" max="1" width="9.140625" style="5"/>
    <col min="2" max="2" width="27.5703125" style="5" customWidth="1"/>
    <col min="3" max="5" width="15.7109375" style="5" customWidth="1"/>
    <col min="6" max="16384" width="9.140625" style="5"/>
  </cols>
  <sheetData>
    <row r="1" spans="1:5" x14ac:dyDescent="0.35">
      <c r="A1" s="180" t="s">
        <v>1352</v>
      </c>
      <c r="B1" s="180"/>
      <c r="C1" s="180"/>
      <c r="D1" s="180"/>
      <c r="E1" s="180"/>
    </row>
    <row r="2" spans="1:5" x14ac:dyDescent="0.35">
      <c r="A2" s="20"/>
      <c r="B2" s="20"/>
      <c r="C2" s="20"/>
      <c r="D2" s="20"/>
      <c r="E2" s="74" t="s">
        <v>1341</v>
      </c>
    </row>
    <row r="3" spans="1:5" ht="10.5" customHeight="1" x14ac:dyDescent="0.35">
      <c r="A3" s="20"/>
      <c r="B3" s="20"/>
      <c r="C3" s="20"/>
      <c r="D3" s="20"/>
      <c r="E3" s="20"/>
    </row>
    <row r="4" spans="1:5" x14ac:dyDescent="0.35">
      <c r="A4" s="173" t="s">
        <v>1339</v>
      </c>
      <c r="B4" s="173" t="s">
        <v>1422</v>
      </c>
      <c r="C4" s="174" t="s">
        <v>1340</v>
      </c>
      <c r="D4" s="175"/>
      <c r="E4" s="176"/>
    </row>
    <row r="5" spans="1:5" x14ac:dyDescent="0.35">
      <c r="A5" s="173"/>
      <c r="B5" s="173"/>
      <c r="C5" s="22" t="s">
        <v>0</v>
      </c>
      <c r="D5" s="22" t="s">
        <v>1</v>
      </c>
      <c r="E5" s="22" t="s">
        <v>2</v>
      </c>
    </row>
    <row r="6" spans="1:5" x14ac:dyDescent="0.35">
      <c r="A6" s="48"/>
      <c r="B6" s="26" t="s">
        <v>0</v>
      </c>
      <c r="C6" s="26">
        <v>48831</v>
      </c>
      <c r="D6" s="26">
        <v>23646</v>
      </c>
      <c r="E6" s="26">
        <v>25185</v>
      </c>
    </row>
    <row r="7" spans="1:5" ht="9.75" customHeight="1" x14ac:dyDescent="0.35">
      <c r="A7" s="23"/>
      <c r="B7" s="15"/>
      <c r="C7" s="15"/>
      <c r="D7" s="15"/>
      <c r="E7" s="15"/>
    </row>
    <row r="8" spans="1:5" ht="23.1" customHeight="1" x14ac:dyDescent="0.35">
      <c r="A8" s="23"/>
      <c r="B8" s="24" t="s">
        <v>1338</v>
      </c>
      <c r="C8" s="24">
        <f>SUM(C9:C12)</f>
        <v>8001</v>
      </c>
      <c r="D8" s="24">
        <f t="shared" ref="D8:E8" si="0">SUM(D9:D12)</f>
        <v>3845</v>
      </c>
      <c r="E8" s="24">
        <f t="shared" si="0"/>
        <v>4156</v>
      </c>
    </row>
    <row r="9" spans="1:5" ht="23.1" customHeight="1" x14ac:dyDescent="0.35">
      <c r="A9" s="23">
        <v>1</v>
      </c>
      <c r="B9" s="27" t="s">
        <v>340</v>
      </c>
      <c r="C9" s="27">
        <v>1935</v>
      </c>
      <c r="D9" s="27">
        <v>988</v>
      </c>
      <c r="E9" s="27">
        <v>947</v>
      </c>
    </row>
    <row r="10" spans="1:5" ht="23.1" customHeight="1" x14ac:dyDescent="0.35">
      <c r="A10" s="23">
        <v>2</v>
      </c>
      <c r="B10" s="27" t="s">
        <v>341</v>
      </c>
      <c r="C10" s="27">
        <v>1160</v>
      </c>
      <c r="D10" s="27">
        <v>551</v>
      </c>
      <c r="E10" s="27">
        <v>609</v>
      </c>
    </row>
    <row r="11" spans="1:5" ht="23.1" customHeight="1" x14ac:dyDescent="0.35">
      <c r="A11" s="23">
        <v>3</v>
      </c>
      <c r="B11" s="27" t="s">
        <v>342</v>
      </c>
      <c r="C11" s="27">
        <v>1593</v>
      </c>
      <c r="D11" s="27">
        <v>778</v>
      </c>
      <c r="E11" s="27">
        <v>815</v>
      </c>
    </row>
    <row r="12" spans="1:5" ht="23.1" customHeight="1" x14ac:dyDescent="0.35">
      <c r="A12" s="23">
        <v>4</v>
      </c>
      <c r="B12" s="27" t="s">
        <v>343</v>
      </c>
      <c r="C12" s="27">
        <v>3313</v>
      </c>
      <c r="D12" s="27">
        <v>1528</v>
      </c>
      <c r="E12" s="27">
        <v>1785</v>
      </c>
    </row>
    <row r="13" spans="1:5" ht="23.1" customHeight="1" x14ac:dyDescent="0.35">
      <c r="A13" s="23"/>
      <c r="B13" s="24" t="s">
        <v>1410</v>
      </c>
      <c r="C13" s="24">
        <f>SUM(C14:C32)</f>
        <v>40830</v>
      </c>
      <c r="D13" s="24">
        <f t="shared" ref="D13:E13" si="1">SUM(D14:D32)</f>
        <v>19801</v>
      </c>
      <c r="E13" s="24">
        <f t="shared" si="1"/>
        <v>21029</v>
      </c>
    </row>
    <row r="14" spans="1:5" ht="23.1" customHeight="1" x14ac:dyDescent="0.35">
      <c r="A14" s="23">
        <v>1</v>
      </c>
      <c r="B14" s="27" t="s">
        <v>344</v>
      </c>
      <c r="C14" s="27">
        <v>9985</v>
      </c>
      <c r="D14" s="27">
        <v>4935</v>
      </c>
      <c r="E14" s="27">
        <v>5050</v>
      </c>
    </row>
    <row r="15" spans="1:5" ht="23.1" customHeight="1" x14ac:dyDescent="0.35">
      <c r="A15" s="23">
        <v>2</v>
      </c>
      <c r="B15" s="27" t="s">
        <v>345</v>
      </c>
      <c r="C15" s="27">
        <v>1259</v>
      </c>
      <c r="D15" s="27">
        <v>598</v>
      </c>
      <c r="E15" s="27">
        <v>661</v>
      </c>
    </row>
    <row r="16" spans="1:5" ht="23.1" customHeight="1" x14ac:dyDescent="0.35">
      <c r="A16" s="23">
        <v>3</v>
      </c>
      <c r="B16" s="27" t="s">
        <v>346</v>
      </c>
      <c r="C16" s="27">
        <v>983</v>
      </c>
      <c r="D16" s="27">
        <v>480</v>
      </c>
      <c r="E16" s="27">
        <v>503</v>
      </c>
    </row>
    <row r="17" spans="1:5" ht="23.1" customHeight="1" x14ac:dyDescent="0.35">
      <c r="A17" s="23">
        <v>4</v>
      </c>
      <c r="B17" s="27" t="s">
        <v>347</v>
      </c>
      <c r="C17" s="27">
        <v>2718</v>
      </c>
      <c r="D17" s="27">
        <v>1290</v>
      </c>
      <c r="E17" s="27">
        <v>1428</v>
      </c>
    </row>
    <row r="18" spans="1:5" ht="23.1" customHeight="1" x14ac:dyDescent="0.35">
      <c r="A18" s="23">
        <v>5</v>
      </c>
      <c r="B18" s="27" t="s">
        <v>348</v>
      </c>
      <c r="C18" s="27">
        <v>2815</v>
      </c>
      <c r="D18" s="27">
        <v>1355</v>
      </c>
      <c r="E18" s="27">
        <v>1460</v>
      </c>
    </row>
    <row r="19" spans="1:5" ht="23.1" customHeight="1" x14ac:dyDescent="0.35">
      <c r="A19" s="23">
        <v>6</v>
      </c>
      <c r="B19" s="27" t="s">
        <v>349</v>
      </c>
      <c r="C19" s="27">
        <v>1585</v>
      </c>
      <c r="D19" s="27">
        <v>768</v>
      </c>
      <c r="E19" s="27">
        <v>817</v>
      </c>
    </row>
    <row r="20" spans="1:5" ht="23.1" customHeight="1" x14ac:dyDescent="0.35">
      <c r="A20" s="23">
        <v>7</v>
      </c>
      <c r="B20" s="27" t="s">
        <v>350</v>
      </c>
      <c r="C20" s="27">
        <v>1580</v>
      </c>
      <c r="D20" s="27">
        <v>756</v>
      </c>
      <c r="E20" s="27">
        <v>824</v>
      </c>
    </row>
    <row r="21" spans="1:5" ht="23.1" customHeight="1" x14ac:dyDescent="0.35">
      <c r="A21" s="23">
        <v>8</v>
      </c>
      <c r="B21" s="27" t="s">
        <v>351</v>
      </c>
      <c r="C21" s="27">
        <v>2222</v>
      </c>
      <c r="D21" s="27">
        <v>1141</v>
      </c>
      <c r="E21" s="27">
        <v>1081</v>
      </c>
    </row>
    <row r="22" spans="1:5" ht="23.1" customHeight="1" x14ac:dyDescent="0.35">
      <c r="A22" s="23">
        <v>9</v>
      </c>
      <c r="B22" s="27" t="s">
        <v>352</v>
      </c>
      <c r="C22" s="27">
        <v>3340</v>
      </c>
      <c r="D22" s="27">
        <v>1699</v>
      </c>
      <c r="E22" s="27">
        <v>1641</v>
      </c>
    </row>
    <row r="23" spans="1:5" ht="23.1" customHeight="1" x14ac:dyDescent="0.35">
      <c r="A23" s="23">
        <v>10</v>
      </c>
      <c r="B23" s="27" t="s">
        <v>353</v>
      </c>
      <c r="C23" s="27">
        <v>1594</v>
      </c>
      <c r="D23" s="27">
        <v>743</v>
      </c>
      <c r="E23" s="27">
        <v>851</v>
      </c>
    </row>
    <row r="24" spans="1:5" ht="23.1" customHeight="1" x14ac:dyDescent="0.35">
      <c r="A24" s="23">
        <v>11</v>
      </c>
      <c r="B24" s="27" t="s">
        <v>354</v>
      </c>
      <c r="C24" s="27">
        <v>1420</v>
      </c>
      <c r="D24" s="27">
        <v>683</v>
      </c>
      <c r="E24" s="27">
        <v>737</v>
      </c>
    </row>
    <row r="25" spans="1:5" ht="23.1" customHeight="1" x14ac:dyDescent="0.35">
      <c r="A25" s="23">
        <v>12</v>
      </c>
      <c r="B25" s="27" t="s">
        <v>355</v>
      </c>
      <c r="C25" s="27">
        <v>1705</v>
      </c>
      <c r="D25" s="27">
        <v>802</v>
      </c>
      <c r="E25" s="27">
        <v>903</v>
      </c>
    </row>
    <row r="26" spans="1:5" ht="23.1" customHeight="1" x14ac:dyDescent="0.35">
      <c r="A26" s="23">
        <v>13</v>
      </c>
      <c r="B26" s="27" t="s">
        <v>356</v>
      </c>
      <c r="C26" s="27">
        <v>1210</v>
      </c>
      <c r="D26" s="27">
        <v>580</v>
      </c>
      <c r="E26" s="27">
        <v>630</v>
      </c>
    </row>
    <row r="27" spans="1:5" ht="23.1" customHeight="1" x14ac:dyDescent="0.35">
      <c r="A27" s="23">
        <v>14</v>
      </c>
      <c r="B27" s="27" t="s">
        <v>357</v>
      </c>
      <c r="C27" s="27">
        <v>549</v>
      </c>
      <c r="D27" s="27">
        <v>262</v>
      </c>
      <c r="E27" s="27">
        <v>287</v>
      </c>
    </row>
    <row r="28" spans="1:5" ht="23.1" customHeight="1" x14ac:dyDescent="0.35">
      <c r="A28" s="23">
        <v>15</v>
      </c>
      <c r="B28" s="27" t="s">
        <v>358</v>
      </c>
      <c r="C28" s="27">
        <v>2240</v>
      </c>
      <c r="D28" s="27">
        <v>1074</v>
      </c>
      <c r="E28" s="27">
        <v>1166</v>
      </c>
    </row>
    <row r="29" spans="1:5" ht="23.1" customHeight="1" x14ac:dyDescent="0.35">
      <c r="A29" s="23">
        <v>16</v>
      </c>
      <c r="B29" s="27" t="s">
        <v>359</v>
      </c>
      <c r="C29" s="27">
        <v>1087</v>
      </c>
      <c r="D29" s="27">
        <v>484</v>
      </c>
      <c r="E29" s="27">
        <v>603</v>
      </c>
    </row>
    <row r="30" spans="1:5" ht="23.1" customHeight="1" x14ac:dyDescent="0.35">
      <c r="A30" s="23">
        <v>17</v>
      </c>
      <c r="B30" s="27" t="s">
        <v>360</v>
      </c>
      <c r="C30" s="27">
        <v>484</v>
      </c>
      <c r="D30" s="27">
        <v>226</v>
      </c>
      <c r="E30" s="27">
        <v>258</v>
      </c>
    </row>
    <row r="31" spans="1:5" ht="23.1" customHeight="1" x14ac:dyDescent="0.35">
      <c r="A31" s="23">
        <v>18</v>
      </c>
      <c r="B31" s="27" t="s">
        <v>361</v>
      </c>
      <c r="C31" s="27">
        <v>2243</v>
      </c>
      <c r="D31" s="27">
        <v>1072</v>
      </c>
      <c r="E31" s="27">
        <v>1171</v>
      </c>
    </row>
    <row r="32" spans="1:5" ht="23.1" customHeight="1" x14ac:dyDescent="0.35">
      <c r="A32" s="28">
        <v>19</v>
      </c>
      <c r="B32" s="29" t="s">
        <v>362</v>
      </c>
      <c r="C32" s="29">
        <v>1811</v>
      </c>
      <c r="D32" s="29">
        <v>853</v>
      </c>
      <c r="E32" s="29">
        <v>958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 Loilem District, Le`char Township"/>
  </hyperlinks>
  <pageMargins left="0.75" right="0.5" top="0.5" bottom="0.2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7" workbookViewId="0">
      <selection sqref="A1:XFD1"/>
    </sheetView>
  </sheetViews>
  <sheetFormatPr defaultRowHeight="21" x14ac:dyDescent="0.35"/>
  <cols>
    <col min="1" max="1" width="9.140625" style="5"/>
    <col min="2" max="2" width="27" style="5" customWidth="1"/>
    <col min="3" max="5" width="15.7109375" style="5" customWidth="1"/>
    <col min="6" max="16384" width="9.140625" style="5"/>
  </cols>
  <sheetData>
    <row r="1" spans="1:5" x14ac:dyDescent="0.35">
      <c r="A1" s="180" t="s">
        <v>1353</v>
      </c>
      <c r="B1" s="180"/>
      <c r="C1" s="180"/>
      <c r="D1" s="180"/>
      <c r="E1" s="180"/>
    </row>
    <row r="2" spans="1:5" x14ac:dyDescent="0.35">
      <c r="A2" s="20"/>
      <c r="B2" s="20"/>
      <c r="C2" s="20"/>
      <c r="D2" s="20"/>
      <c r="E2" s="74" t="s">
        <v>1341</v>
      </c>
    </row>
    <row r="3" spans="1:5" ht="13.5" customHeight="1" x14ac:dyDescent="0.35">
      <c r="A3" s="20"/>
      <c r="B3" s="20"/>
      <c r="C3" s="20"/>
      <c r="D3" s="20"/>
      <c r="E3" s="20"/>
    </row>
    <row r="4" spans="1:5" x14ac:dyDescent="0.35">
      <c r="A4" s="173" t="s">
        <v>1339</v>
      </c>
      <c r="B4" s="173" t="s">
        <v>1422</v>
      </c>
      <c r="C4" s="174" t="s">
        <v>1340</v>
      </c>
      <c r="D4" s="175"/>
      <c r="E4" s="176"/>
    </row>
    <row r="5" spans="1:5" x14ac:dyDescent="0.35">
      <c r="A5" s="173"/>
      <c r="B5" s="173"/>
      <c r="C5" s="22" t="s">
        <v>0</v>
      </c>
      <c r="D5" s="22" t="s">
        <v>1</v>
      </c>
      <c r="E5" s="22" t="s">
        <v>2</v>
      </c>
    </row>
    <row r="6" spans="1:5" x14ac:dyDescent="0.35">
      <c r="A6" s="48"/>
      <c r="B6" s="26" t="s">
        <v>0</v>
      </c>
      <c r="C6" s="26">
        <v>92302</v>
      </c>
      <c r="D6" s="26">
        <v>46542</v>
      </c>
      <c r="E6" s="26">
        <v>45760</v>
      </c>
    </row>
    <row r="7" spans="1:5" ht="10.5" customHeight="1" x14ac:dyDescent="0.35">
      <c r="A7" s="23"/>
      <c r="B7" s="24"/>
      <c r="C7" s="24"/>
      <c r="D7" s="24"/>
      <c r="E7" s="24"/>
    </row>
    <row r="8" spans="1:5" ht="23.1" customHeight="1" x14ac:dyDescent="0.35">
      <c r="A8" s="23"/>
      <c r="B8" s="24" t="s">
        <v>1338</v>
      </c>
      <c r="C8" s="24">
        <f>SUM(C9:C13)</f>
        <v>23792</v>
      </c>
      <c r="D8" s="24">
        <f t="shared" ref="D8:E8" si="0">SUM(D9:D13)</f>
        <v>11946</v>
      </c>
      <c r="E8" s="24">
        <f t="shared" si="0"/>
        <v>11846</v>
      </c>
    </row>
    <row r="9" spans="1:5" ht="23.1" customHeight="1" x14ac:dyDescent="0.35">
      <c r="A9" s="23">
        <v>1</v>
      </c>
      <c r="B9" s="27" t="s">
        <v>25</v>
      </c>
      <c r="C9" s="27">
        <v>5243</v>
      </c>
      <c r="D9" s="27">
        <v>2529</v>
      </c>
      <c r="E9" s="27">
        <v>2714</v>
      </c>
    </row>
    <row r="10" spans="1:5" ht="23.1" customHeight="1" x14ac:dyDescent="0.35">
      <c r="A10" s="23">
        <v>2</v>
      </c>
      <c r="B10" s="27" t="s">
        <v>26</v>
      </c>
      <c r="C10" s="27">
        <v>4726</v>
      </c>
      <c r="D10" s="27">
        <v>2499</v>
      </c>
      <c r="E10" s="27">
        <v>2227</v>
      </c>
    </row>
    <row r="11" spans="1:5" ht="23.1" customHeight="1" x14ac:dyDescent="0.35">
      <c r="A11" s="23">
        <v>3</v>
      </c>
      <c r="B11" s="27" t="s">
        <v>27</v>
      </c>
      <c r="C11" s="27">
        <v>2685</v>
      </c>
      <c r="D11" s="27">
        <v>1322</v>
      </c>
      <c r="E11" s="27">
        <v>1363</v>
      </c>
    </row>
    <row r="12" spans="1:5" ht="23.1" customHeight="1" x14ac:dyDescent="0.35">
      <c r="A12" s="23">
        <v>4</v>
      </c>
      <c r="B12" s="27" t="s">
        <v>28</v>
      </c>
      <c r="C12" s="27">
        <v>7756</v>
      </c>
      <c r="D12" s="27">
        <v>3914</v>
      </c>
      <c r="E12" s="27">
        <v>3842</v>
      </c>
    </row>
    <row r="13" spans="1:5" ht="23.1" customHeight="1" x14ac:dyDescent="0.35">
      <c r="A13" s="23">
        <v>5</v>
      </c>
      <c r="B13" s="27" t="s">
        <v>29</v>
      </c>
      <c r="C13" s="27">
        <v>3382</v>
      </c>
      <c r="D13" s="27">
        <v>1682</v>
      </c>
      <c r="E13" s="27">
        <v>1700</v>
      </c>
    </row>
    <row r="14" spans="1:5" ht="23.1" customHeight="1" x14ac:dyDescent="0.35">
      <c r="A14" s="23"/>
      <c r="B14" s="24" t="s">
        <v>1410</v>
      </c>
      <c r="C14" s="24">
        <f>SUM(C15:C29)</f>
        <v>68510</v>
      </c>
      <c r="D14" s="24">
        <f t="shared" ref="D14:E14" si="1">SUM(D15:D29)</f>
        <v>34596</v>
      </c>
      <c r="E14" s="24">
        <f t="shared" si="1"/>
        <v>33914</v>
      </c>
    </row>
    <row r="15" spans="1:5" ht="23.1" customHeight="1" x14ac:dyDescent="0.35">
      <c r="A15" s="23">
        <v>1</v>
      </c>
      <c r="B15" s="27" t="s">
        <v>363</v>
      </c>
      <c r="C15" s="27">
        <v>3879</v>
      </c>
      <c r="D15" s="27">
        <v>1932</v>
      </c>
      <c r="E15" s="27">
        <v>1947</v>
      </c>
    </row>
    <row r="16" spans="1:5" ht="23.1" customHeight="1" x14ac:dyDescent="0.35">
      <c r="A16" s="23">
        <v>2</v>
      </c>
      <c r="B16" s="27" t="s">
        <v>364</v>
      </c>
      <c r="C16" s="27">
        <v>3854</v>
      </c>
      <c r="D16" s="27">
        <v>1900</v>
      </c>
      <c r="E16" s="27">
        <v>1954</v>
      </c>
    </row>
    <row r="17" spans="1:5" ht="23.1" customHeight="1" x14ac:dyDescent="0.35">
      <c r="A17" s="23">
        <v>3</v>
      </c>
      <c r="B17" s="27" t="s">
        <v>365</v>
      </c>
      <c r="C17" s="27">
        <v>1851</v>
      </c>
      <c r="D17" s="27">
        <v>892</v>
      </c>
      <c r="E17" s="27">
        <v>959</v>
      </c>
    </row>
    <row r="18" spans="1:5" ht="23.1" customHeight="1" x14ac:dyDescent="0.35">
      <c r="A18" s="23">
        <v>4</v>
      </c>
      <c r="B18" s="27" t="s">
        <v>366</v>
      </c>
      <c r="C18" s="27">
        <v>7547</v>
      </c>
      <c r="D18" s="27">
        <v>3920</v>
      </c>
      <c r="E18" s="27">
        <v>3627</v>
      </c>
    </row>
    <row r="19" spans="1:5" ht="23.1" customHeight="1" x14ac:dyDescent="0.35">
      <c r="A19" s="23">
        <v>5</v>
      </c>
      <c r="B19" s="27" t="s">
        <v>367</v>
      </c>
      <c r="C19" s="27">
        <v>5108</v>
      </c>
      <c r="D19" s="27">
        <v>2701</v>
      </c>
      <c r="E19" s="27">
        <v>2407</v>
      </c>
    </row>
    <row r="20" spans="1:5" ht="23.1" customHeight="1" x14ac:dyDescent="0.35">
      <c r="A20" s="23">
        <v>6</v>
      </c>
      <c r="B20" s="27" t="s">
        <v>368</v>
      </c>
      <c r="C20" s="27">
        <v>2111</v>
      </c>
      <c r="D20" s="27">
        <v>1016</v>
      </c>
      <c r="E20" s="27">
        <v>1095</v>
      </c>
    </row>
    <row r="21" spans="1:5" ht="23.1" customHeight="1" x14ac:dyDescent="0.35">
      <c r="A21" s="23">
        <v>7</v>
      </c>
      <c r="B21" s="27" t="s">
        <v>369</v>
      </c>
      <c r="C21" s="27">
        <v>3901</v>
      </c>
      <c r="D21" s="27">
        <v>1897</v>
      </c>
      <c r="E21" s="27">
        <v>2004</v>
      </c>
    </row>
    <row r="22" spans="1:5" ht="23.1" customHeight="1" x14ac:dyDescent="0.35">
      <c r="A22" s="23">
        <v>8</v>
      </c>
      <c r="B22" s="27" t="s">
        <v>370</v>
      </c>
      <c r="C22" s="27">
        <v>2797</v>
      </c>
      <c r="D22" s="27">
        <v>1416</v>
      </c>
      <c r="E22" s="27">
        <v>1381</v>
      </c>
    </row>
    <row r="23" spans="1:5" ht="23.1" customHeight="1" x14ac:dyDescent="0.35">
      <c r="A23" s="23">
        <v>9</v>
      </c>
      <c r="B23" s="27" t="s">
        <v>371</v>
      </c>
      <c r="C23" s="27">
        <v>7036</v>
      </c>
      <c r="D23" s="27">
        <v>3474</v>
      </c>
      <c r="E23" s="27">
        <v>3562</v>
      </c>
    </row>
    <row r="24" spans="1:5" ht="23.1" customHeight="1" x14ac:dyDescent="0.35">
      <c r="A24" s="23">
        <v>10</v>
      </c>
      <c r="B24" s="27" t="s">
        <v>372</v>
      </c>
      <c r="C24" s="27">
        <v>3909</v>
      </c>
      <c r="D24" s="27">
        <v>1996</v>
      </c>
      <c r="E24" s="27">
        <v>1913</v>
      </c>
    </row>
    <row r="25" spans="1:5" ht="23.1" customHeight="1" x14ac:dyDescent="0.35">
      <c r="A25" s="23">
        <v>11</v>
      </c>
      <c r="B25" s="27" t="s">
        <v>373</v>
      </c>
      <c r="C25" s="27">
        <v>6068</v>
      </c>
      <c r="D25" s="27">
        <v>3082</v>
      </c>
      <c r="E25" s="27">
        <v>2986</v>
      </c>
    </row>
    <row r="26" spans="1:5" ht="23.1" customHeight="1" x14ac:dyDescent="0.35">
      <c r="A26" s="23">
        <v>12</v>
      </c>
      <c r="B26" s="27" t="s">
        <v>374</v>
      </c>
      <c r="C26" s="27">
        <v>8823</v>
      </c>
      <c r="D26" s="27">
        <v>4537</v>
      </c>
      <c r="E26" s="27">
        <v>4286</v>
      </c>
    </row>
    <row r="27" spans="1:5" ht="23.1" customHeight="1" x14ac:dyDescent="0.35">
      <c r="A27" s="23">
        <v>13</v>
      </c>
      <c r="B27" s="27" t="s">
        <v>375</v>
      </c>
      <c r="C27" s="27">
        <v>5473</v>
      </c>
      <c r="D27" s="27">
        <v>2713</v>
      </c>
      <c r="E27" s="27">
        <v>2760</v>
      </c>
    </row>
    <row r="28" spans="1:5" ht="23.1" customHeight="1" x14ac:dyDescent="0.35">
      <c r="A28" s="23">
        <v>14</v>
      </c>
      <c r="B28" s="27" t="s">
        <v>376</v>
      </c>
      <c r="C28" s="27">
        <v>4016</v>
      </c>
      <c r="D28" s="27">
        <v>2070</v>
      </c>
      <c r="E28" s="27">
        <v>1946</v>
      </c>
    </row>
    <row r="29" spans="1:5" ht="23.1" customHeight="1" x14ac:dyDescent="0.35">
      <c r="A29" s="28">
        <v>15</v>
      </c>
      <c r="B29" s="29" t="s">
        <v>377</v>
      </c>
      <c r="C29" s="29">
        <v>2137</v>
      </c>
      <c r="D29" s="29">
        <v>1050</v>
      </c>
      <c r="E29" s="29">
        <v>1087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 Loilem District,  Nanhsam(South) Township"/>
  </hyperlinks>
  <pageMargins left="0.75" right="0.5" top="0.5" bottom="0.2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sqref="A1:XFD1"/>
    </sheetView>
  </sheetViews>
  <sheetFormatPr defaultRowHeight="15" x14ac:dyDescent="0.25"/>
  <cols>
    <col min="2" max="2" width="21.42578125" customWidth="1"/>
    <col min="3" max="5" width="15.7109375" customWidth="1"/>
  </cols>
  <sheetData>
    <row r="1" spans="1:5" ht="18.75" x14ac:dyDescent="0.3">
      <c r="A1" s="180" t="s">
        <v>1354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12.75" customHeight="1" x14ac:dyDescent="0.25">
      <c r="A3" s="20"/>
      <c r="B3" s="20"/>
      <c r="C3" s="20"/>
      <c r="D3" s="20"/>
      <c r="E3" s="20"/>
    </row>
    <row r="4" spans="1:5" ht="15.75" x14ac:dyDescent="0.25">
      <c r="A4" s="173" t="s">
        <v>1339</v>
      </c>
      <c r="B4" s="173" t="s">
        <v>1422</v>
      </c>
      <c r="C4" s="174" t="s">
        <v>1340</v>
      </c>
      <c r="D4" s="175"/>
      <c r="E4" s="176"/>
    </row>
    <row r="5" spans="1:5" ht="15.75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5" ht="15.75" x14ac:dyDescent="0.25">
      <c r="A6" s="48"/>
      <c r="B6" s="26" t="s">
        <v>0</v>
      </c>
      <c r="C6" s="26">
        <v>21823</v>
      </c>
      <c r="D6" s="26">
        <v>10872</v>
      </c>
      <c r="E6" s="26">
        <v>10951</v>
      </c>
    </row>
    <row r="7" spans="1:5" ht="9.75" customHeight="1" x14ac:dyDescent="0.25">
      <c r="A7" s="23"/>
      <c r="B7" s="24"/>
      <c r="C7" s="24"/>
      <c r="D7" s="24"/>
      <c r="E7" s="24"/>
    </row>
    <row r="8" spans="1:5" ht="23.1" customHeight="1" x14ac:dyDescent="0.25">
      <c r="A8" s="23"/>
      <c r="B8" s="24" t="s">
        <v>1338</v>
      </c>
      <c r="C8" s="24">
        <f>SUM(C9:C13)</f>
        <v>7581</v>
      </c>
      <c r="D8" s="24">
        <f t="shared" ref="D8:E8" si="0">SUM(D9:D13)</f>
        <v>3767</v>
      </c>
      <c r="E8" s="24">
        <f t="shared" si="0"/>
        <v>3814</v>
      </c>
    </row>
    <row r="9" spans="1:5" ht="23.1" customHeight="1" x14ac:dyDescent="0.25">
      <c r="A9" s="23">
        <v>1</v>
      </c>
      <c r="B9" s="27" t="s">
        <v>25</v>
      </c>
      <c r="C9" s="27">
        <v>463</v>
      </c>
      <c r="D9" s="27">
        <v>208</v>
      </c>
      <c r="E9" s="27">
        <v>255</v>
      </c>
    </row>
    <row r="10" spans="1:5" ht="23.1" customHeight="1" x14ac:dyDescent="0.25">
      <c r="A10" s="23">
        <v>2</v>
      </c>
      <c r="B10" s="27" t="s">
        <v>26</v>
      </c>
      <c r="C10" s="27">
        <v>493</v>
      </c>
      <c r="D10" s="27">
        <v>227</v>
      </c>
      <c r="E10" s="27">
        <v>266</v>
      </c>
    </row>
    <row r="11" spans="1:5" ht="23.1" customHeight="1" x14ac:dyDescent="0.25">
      <c r="A11" s="23">
        <v>3</v>
      </c>
      <c r="B11" s="27" t="s">
        <v>27</v>
      </c>
      <c r="C11" s="27">
        <v>4296</v>
      </c>
      <c r="D11" s="27">
        <v>2188</v>
      </c>
      <c r="E11" s="27">
        <v>2108</v>
      </c>
    </row>
    <row r="12" spans="1:5" ht="23.1" customHeight="1" x14ac:dyDescent="0.25">
      <c r="A12" s="23">
        <v>4</v>
      </c>
      <c r="B12" s="27" t="s">
        <v>28</v>
      </c>
      <c r="C12" s="27">
        <v>1483</v>
      </c>
      <c r="D12" s="27">
        <v>707</v>
      </c>
      <c r="E12" s="27">
        <v>776</v>
      </c>
    </row>
    <row r="13" spans="1:5" ht="23.1" customHeight="1" x14ac:dyDescent="0.25">
      <c r="A13" s="23">
        <v>5</v>
      </c>
      <c r="B13" s="27" t="s">
        <v>29</v>
      </c>
      <c r="C13" s="27">
        <v>846</v>
      </c>
      <c r="D13" s="27">
        <v>437</v>
      </c>
      <c r="E13" s="27">
        <v>409</v>
      </c>
    </row>
    <row r="14" spans="1:5" ht="23.1" customHeight="1" x14ac:dyDescent="0.25">
      <c r="A14" s="23"/>
      <c r="B14" s="24" t="s">
        <v>1410</v>
      </c>
      <c r="C14" s="24">
        <f>SUM(C15:C23)</f>
        <v>14242</v>
      </c>
      <c r="D14" s="24">
        <f t="shared" ref="D14:E14" si="1">SUM(D15:D23)</f>
        <v>7105</v>
      </c>
      <c r="E14" s="24">
        <f t="shared" si="1"/>
        <v>7137</v>
      </c>
    </row>
    <row r="15" spans="1:5" ht="23.1" customHeight="1" x14ac:dyDescent="0.25">
      <c r="A15" s="23">
        <v>1</v>
      </c>
      <c r="B15" s="27" t="s">
        <v>378</v>
      </c>
      <c r="C15" s="27">
        <v>5229</v>
      </c>
      <c r="D15" s="27">
        <v>2615</v>
      </c>
      <c r="E15" s="27">
        <v>2614</v>
      </c>
    </row>
    <row r="16" spans="1:5" ht="23.1" customHeight="1" x14ac:dyDescent="0.25">
      <c r="A16" s="23">
        <v>2</v>
      </c>
      <c r="B16" s="27" t="s">
        <v>379</v>
      </c>
      <c r="C16" s="27">
        <v>5895</v>
      </c>
      <c r="D16" s="27">
        <v>2983</v>
      </c>
      <c r="E16" s="27">
        <v>2912</v>
      </c>
    </row>
    <row r="17" spans="1:5" ht="23.1" customHeight="1" x14ac:dyDescent="0.25">
      <c r="A17" s="23">
        <v>3</v>
      </c>
      <c r="B17" s="27" t="s">
        <v>380</v>
      </c>
      <c r="C17" s="27">
        <v>193</v>
      </c>
      <c r="D17" s="27">
        <v>90</v>
      </c>
      <c r="E17" s="27">
        <v>103</v>
      </c>
    </row>
    <row r="18" spans="1:5" ht="23.1" customHeight="1" x14ac:dyDescent="0.25">
      <c r="A18" s="23">
        <v>4</v>
      </c>
      <c r="B18" s="27" t="s">
        <v>381</v>
      </c>
      <c r="C18" s="27">
        <v>1331</v>
      </c>
      <c r="D18" s="27">
        <v>628</v>
      </c>
      <c r="E18" s="27">
        <v>703</v>
      </c>
    </row>
    <row r="19" spans="1:5" ht="23.1" customHeight="1" x14ac:dyDescent="0.25">
      <c r="A19" s="23">
        <v>5</v>
      </c>
      <c r="B19" s="27" t="s">
        <v>382</v>
      </c>
      <c r="C19" s="27">
        <v>303</v>
      </c>
      <c r="D19" s="27">
        <v>144</v>
      </c>
      <c r="E19" s="27">
        <v>159</v>
      </c>
    </row>
    <row r="20" spans="1:5" ht="23.1" customHeight="1" x14ac:dyDescent="0.25">
      <c r="A20" s="23">
        <v>6</v>
      </c>
      <c r="B20" s="27" t="s">
        <v>383</v>
      </c>
      <c r="C20" s="27">
        <v>313</v>
      </c>
      <c r="D20" s="27">
        <v>139</v>
      </c>
      <c r="E20" s="27">
        <v>174</v>
      </c>
    </row>
    <row r="21" spans="1:5" ht="23.1" customHeight="1" x14ac:dyDescent="0.25">
      <c r="A21" s="23">
        <v>7</v>
      </c>
      <c r="B21" s="27" t="s">
        <v>384</v>
      </c>
      <c r="C21" s="27">
        <v>197</v>
      </c>
      <c r="D21" s="27">
        <v>102</v>
      </c>
      <c r="E21" s="27">
        <v>95</v>
      </c>
    </row>
    <row r="22" spans="1:5" ht="23.1" customHeight="1" x14ac:dyDescent="0.25">
      <c r="A22" s="23">
        <v>8</v>
      </c>
      <c r="B22" s="27" t="s">
        <v>385</v>
      </c>
      <c r="C22" s="27">
        <v>204</v>
      </c>
      <c r="D22" s="27">
        <v>100</v>
      </c>
      <c r="E22" s="27">
        <v>104</v>
      </c>
    </row>
    <row r="23" spans="1:5" ht="23.1" customHeight="1" x14ac:dyDescent="0.25">
      <c r="A23" s="28">
        <v>9</v>
      </c>
      <c r="B23" s="29" t="s">
        <v>386</v>
      </c>
      <c r="C23" s="29">
        <v>577</v>
      </c>
      <c r="D23" s="29">
        <v>304</v>
      </c>
      <c r="E23" s="29">
        <v>273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 Loilem District, Kunhing Township"/>
  </hyperlinks>
  <pageMargins left="0.75" right="0.5" top="0.5" bottom="0.2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sqref="A1:XFD1"/>
    </sheetView>
  </sheetViews>
  <sheetFormatPr defaultRowHeight="21" x14ac:dyDescent="0.35"/>
  <cols>
    <col min="1" max="1" width="9.140625" style="5"/>
    <col min="2" max="2" width="22" style="5" customWidth="1"/>
    <col min="3" max="5" width="15.7109375" style="5" customWidth="1"/>
    <col min="6" max="16384" width="9.140625" style="5"/>
  </cols>
  <sheetData>
    <row r="1" spans="1:10" ht="25.5" customHeight="1" x14ac:dyDescent="0.35">
      <c r="A1" s="180" t="s">
        <v>1355</v>
      </c>
      <c r="B1" s="180"/>
      <c r="C1" s="180"/>
      <c r="D1" s="180"/>
      <c r="E1" s="180"/>
    </row>
    <row r="2" spans="1:10" x14ac:dyDescent="0.35">
      <c r="A2" s="20"/>
      <c r="B2" s="20"/>
      <c r="C2" s="20"/>
      <c r="D2" s="20"/>
      <c r="E2" s="74" t="s">
        <v>1341</v>
      </c>
    </row>
    <row r="3" spans="1:10" ht="12.75" customHeight="1" x14ac:dyDescent="0.35">
      <c r="A3" s="20"/>
      <c r="B3" s="20"/>
      <c r="C3" s="20"/>
      <c r="D3" s="20"/>
      <c r="E3" s="20"/>
    </row>
    <row r="4" spans="1:10" x14ac:dyDescent="0.35">
      <c r="A4" s="173" t="s">
        <v>1339</v>
      </c>
      <c r="B4" s="173" t="s">
        <v>1422</v>
      </c>
      <c r="C4" s="174" t="s">
        <v>1340</v>
      </c>
      <c r="D4" s="175"/>
      <c r="E4" s="176"/>
    </row>
    <row r="5" spans="1:10" x14ac:dyDescent="0.35">
      <c r="A5" s="173"/>
      <c r="B5" s="173"/>
      <c r="C5" s="22" t="s">
        <v>0</v>
      </c>
      <c r="D5" s="22" t="s">
        <v>1</v>
      </c>
      <c r="E5" s="22" t="s">
        <v>2</v>
      </c>
    </row>
    <row r="6" spans="1:10" x14ac:dyDescent="0.35">
      <c r="A6" s="51"/>
      <c r="B6" s="26" t="s">
        <v>0</v>
      </c>
      <c r="C6" s="26">
        <v>44500</v>
      </c>
      <c r="D6" s="26">
        <v>20905</v>
      </c>
      <c r="E6" s="26">
        <v>23595</v>
      </c>
    </row>
    <row r="7" spans="1:10" ht="10.5" customHeight="1" x14ac:dyDescent="0.35">
      <c r="A7" s="24"/>
      <c r="B7" s="24"/>
      <c r="C7" s="24"/>
      <c r="D7" s="24"/>
      <c r="E7" s="24"/>
    </row>
    <row r="8" spans="1:10" ht="23.1" customHeight="1" x14ac:dyDescent="0.35">
      <c r="A8" s="24"/>
      <c r="B8" s="24" t="s">
        <v>1338</v>
      </c>
      <c r="C8" s="24">
        <f>SUM(C9:C14)</f>
        <v>4282</v>
      </c>
      <c r="D8" s="24">
        <f t="shared" ref="D8:E8" si="0">SUM(D9:D14)</f>
        <v>2105</v>
      </c>
      <c r="E8" s="24">
        <f t="shared" si="0"/>
        <v>2177</v>
      </c>
      <c r="I8" s="8"/>
      <c r="J8" s="8"/>
    </row>
    <row r="9" spans="1:10" ht="23.1" customHeight="1" x14ac:dyDescent="0.35">
      <c r="A9" s="23">
        <v>1</v>
      </c>
      <c r="B9" s="27" t="s">
        <v>387</v>
      </c>
      <c r="C9" s="27">
        <v>333</v>
      </c>
      <c r="D9" s="27">
        <v>146</v>
      </c>
      <c r="E9" s="27">
        <v>187</v>
      </c>
    </row>
    <row r="10" spans="1:10" ht="23.1" customHeight="1" x14ac:dyDescent="0.35">
      <c r="A10" s="23">
        <v>2</v>
      </c>
      <c r="B10" s="27" t="s">
        <v>388</v>
      </c>
      <c r="C10" s="27">
        <v>530</v>
      </c>
      <c r="D10" s="27">
        <v>271</v>
      </c>
      <c r="E10" s="27">
        <v>259</v>
      </c>
    </row>
    <row r="11" spans="1:10" ht="23.1" customHeight="1" x14ac:dyDescent="0.35">
      <c r="A11" s="23">
        <v>3</v>
      </c>
      <c r="B11" s="27" t="s">
        <v>389</v>
      </c>
      <c r="C11" s="27">
        <v>1352</v>
      </c>
      <c r="D11" s="27">
        <v>643</v>
      </c>
      <c r="E11" s="27">
        <v>709</v>
      </c>
    </row>
    <row r="12" spans="1:10" ht="23.1" customHeight="1" x14ac:dyDescent="0.35">
      <c r="A12" s="23">
        <v>4</v>
      </c>
      <c r="B12" s="27" t="s">
        <v>15</v>
      </c>
      <c r="C12" s="27">
        <v>894</v>
      </c>
      <c r="D12" s="27">
        <v>439</v>
      </c>
      <c r="E12" s="27">
        <v>455</v>
      </c>
    </row>
    <row r="13" spans="1:10" ht="23.1" customHeight="1" x14ac:dyDescent="0.35">
      <c r="A13" s="23">
        <v>5</v>
      </c>
      <c r="B13" s="27" t="s">
        <v>390</v>
      </c>
      <c r="C13" s="27">
        <v>1011</v>
      </c>
      <c r="D13" s="27">
        <v>525</v>
      </c>
      <c r="E13" s="27">
        <v>486</v>
      </c>
    </row>
    <row r="14" spans="1:10" ht="23.1" customHeight="1" x14ac:dyDescent="0.35">
      <c r="A14" s="23">
        <v>6</v>
      </c>
      <c r="B14" s="27" t="s">
        <v>391</v>
      </c>
      <c r="C14" s="27">
        <v>162</v>
      </c>
      <c r="D14" s="27">
        <v>81</v>
      </c>
      <c r="E14" s="27">
        <v>81</v>
      </c>
    </row>
    <row r="15" spans="1:10" ht="23.1" customHeight="1" x14ac:dyDescent="0.35">
      <c r="A15" s="23"/>
      <c r="B15" s="24" t="s">
        <v>1410</v>
      </c>
      <c r="C15" s="24">
        <f>SUM(C16:C32)</f>
        <v>40218</v>
      </c>
      <c r="D15" s="24">
        <f t="shared" ref="D15:E15" si="1">SUM(D16:D32)</f>
        <v>18800</v>
      </c>
      <c r="E15" s="24">
        <f t="shared" si="1"/>
        <v>21418</v>
      </c>
    </row>
    <row r="16" spans="1:10" ht="23.1" customHeight="1" x14ac:dyDescent="0.35">
      <c r="A16" s="23">
        <v>1</v>
      </c>
      <c r="B16" s="27" t="s">
        <v>392</v>
      </c>
      <c r="C16" s="27">
        <v>2373</v>
      </c>
      <c r="D16" s="27">
        <v>1097</v>
      </c>
      <c r="E16" s="27">
        <v>1276</v>
      </c>
    </row>
    <row r="17" spans="1:5" ht="23.1" customHeight="1" x14ac:dyDescent="0.35">
      <c r="A17" s="23">
        <v>2</v>
      </c>
      <c r="B17" s="27" t="s">
        <v>393</v>
      </c>
      <c r="C17" s="27">
        <v>1506</v>
      </c>
      <c r="D17" s="27">
        <v>713</v>
      </c>
      <c r="E17" s="27">
        <v>793</v>
      </c>
    </row>
    <row r="18" spans="1:5" ht="23.1" customHeight="1" x14ac:dyDescent="0.35">
      <c r="A18" s="23">
        <v>3</v>
      </c>
      <c r="B18" s="27" t="s">
        <v>394</v>
      </c>
      <c r="C18" s="27">
        <v>1119</v>
      </c>
      <c r="D18" s="27">
        <v>547</v>
      </c>
      <c r="E18" s="27">
        <v>572</v>
      </c>
    </row>
    <row r="19" spans="1:5" ht="23.1" customHeight="1" x14ac:dyDescent="0.35">
      <c r="A19" s="23">
        <v>4</v>
      </c>
      <c r="B19" s="27" t="s">
        <v>395</v>
      </c>
      <c r="C19" s="27">
        <v>2247</v>
      </c>
      <c r="D19" s="27">
        <v>1025</v>
      </c>
      <c r="E19" s="27">
        <v>1222</v>
      </c>
    </row>
    <row r="20" spans="1:5" ht="23.1" customHeight="1" x14ac:dyDescent="0.35">
      <c r="A20" s="23">
        <v>5</v>
      </c>
      <c r="B20" s="27" t="s">
        <v>396</v>
      </c>
      <c r="C20" s="27">
        <v>1151</v>
      </c>
      <c r="D20" s="27">
        <v>530</v>
      </c>
      <c r="E20" s="27">
        <v>621</v>
      </c>
    </row>
    <row r="21" spans="1:5" ht="23.1" customHeight="1" x14ac:dyDescent="0.35">
      <c r="A21" s="23">
        <v>6</v>
      </c>
      <c r="B21" s="27" t="s">
        <v>397</v>
      </c>
      <c r="C21" s="27">
        <v>2159</v>
      </c>
      <c r="D21" s="27">
        <v>992</v>
      </c>
      <c r="E21" s="27">
        <v>1167</v>
      </c>
    </row>
    <row r="22" spans="1:5" ht="23.1" customHeight="1" x14ac:dyDescent="0.35">
      <c r="A22" s="23">
        <v>7</v>
      </c>
      <c r="B22" s="27" t="s">
        <v>398</v>
      </c>
      <c r="C22" s="27">
        <v>3427</v>
      </c>
      <c r="D22" s="27">
        <v>1607</v>
      </c>
      <c r="E22" s="27">
        <v>1820</v>
      </c>
    </row>
    <row r="23" spans="1:5" ht="23.1" customHeight="1" x14ac:dyDescent="0.35">
      <c r="A23" s="23">
        <v>8</v>
      </c>
      <c r="B23" s="27" t="s">
        <v>399</v>
      </c>
      <c r="C23" s="27">
        <v>1426</v>
      </c>
      <c r="D23" s="27">
        <v>669</v>
      </c>
      <c r="E23" s="27">
        <v>757</v>
      </c>
    </row>
    <row r="24" spans="1:5" ht="23.1" customHeight="1" x14ac:dyDescent="0.35">
      <c r="A24" s="23">
        <v>9</v>
      </c>
      <c r="B24" s="27" t="s">
        <v>400</v>
      </c>
      <c r="C24" s="27">
        <v>1277</v>
      </c>
      <c r="D24" s="27">
        <v>603</v>
      </c>
      <c r="E24" s="27">
        <v>674</v>
      </c>
    </row>
    <row r="25" spans="1:5" ht="23.1" customHeight="1" x14ac:dyDescent="0.35">
      <c r="A25" s="23">
        <v>10</v>
      </c>
      <c r="B25" s="27" t="s">
        <v>401</v>
      </c>
      <c r="C25" s="27">
        <v>1899</v>
      </c>
      <c r="D25" s="27">
        <v>917</v>
      </c>
      <c r="E25" s="27">
        <v>982</v>
      </c>
    </row>
    <row r="26" spans="1:5" ht="23.1" customHeight="1" x14ac:dyDescent="0.35">
      <c r="A26" s="23">
        <v>11</v>
      </c>
      <c r="B26" s="27" t="s">
        <v>402</v>
      </c>
      <c r="C26" s="27">
        <v>1746</v>
      </c>
      <c r="D26" s="27">
        <v>797</v>
      </c>
      <c r="E26" s="27">
        <v>949</v>
      </c>
    </row>
    <row r="27" spans="1:5" ht="23.1" customHeight="1" x14ac:dyDescent="0.35">
      <c r="A27" s="23">
        <v>12</v>
      </c>
      <c r="B27" s="27" t="s">
        <v>403</v>
      </c>
      <c r="C27" s="27">
        <v>5120</v>
      </c>
      <c r="D27" s="27">
        <v>2424</v>
      </c>
      <c r="E27" s="27">
        <v>2696</v>
      </c>
    </row>
    <row r="28" spans="1:5" ht="23.1" customHeight="1" x14ac:dyDescent="0.35">
      <c r="A28" s="23">
        <v>13</v>
      </c>
      <c r="B28" s="27" t="s">
        <v>404</v>
      </c>
      <c r="C28" s="27">
        <v>1466</v>
      </c>
      <c r="D28" s="27">
        <v>637</v>
      </c>
      <c r="E28" s="27">
        <v>829</v>
      </c>
    </row>
    <row r="29" spans="1:5" ht="23.1" customHeight="1" x14ac:dyDescent="0.35">
      <c r="A29" s="23">
        <v>14</v>
      </c>
      <c r="B29" s="27" t="s">
        <v>405</v>
      </c>
      <c r="C29" s="27">
        <v>3018</v>
      </c>
      <c r="D29" s="27">
        <v>1394</v>
      </c>
      <c r="E29" s="27">
        <v>1624</v>
      </c>
    </row>
    <row r="30" spans="1:5" ht="23.1" customHeight="1" x14ac:dyDescent="0.35">
      <c r="A30" s="23">
        <v>15</v>
      </c>
      <c r="B30" s="27" t="s">
        <v>348</v>
      </c>
      <c r="C30" s="27">
        <v>5772</v>
      </c>
      <c r="D30" s="27">
        <v>2836</v>
      </c>
      <c r="E30" s="27">
        <v>2936</v>
      </c>
    </row>
    <row r="31" spans="1:5" ht="23.1" customHeight="1" x14ac:dyDescent="0.35">
      <c r="A31" s="23">
        <v>16</v>
      </c>
      <c r="B31" s="27" t="s">
        <v>406</v>
      </c>
      <c r="C31" s="27">
        <v>2476</v>
      </c>
      <c r="D31" s="27">
        <v>1088</v>
      </c>
      <c r="E31" s="27">
        <v>1388</v>
      </c>
    </row>
    <row r="32" spans="1:5" ht="23.1" customHeight="1" x14ac:dyDescent="0.35">
      <c r="A32" s="28">
        <v>17</v>
      </c>
      <c r="B32" s="29" t="s">
        <v>407</v>
      </c>
      <c r="C32" s="29">
        <v>2036</v>
      </c>
      <c r="D32" s="29">
        <v>924</v>
      </c>
      <c r="E32" s="29">
        <v>1112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 Loilem District,  Kehsi Township"/>
  </hyperlinks>
  <pageMargins left="0.75" right="0.5" top="0.5" bottom="0.2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selection sqref="A1:XFD1"/>
    </sheetView>
  </sheetViews>
  <sheetFormatPr defaultRowHeight="21" x14ac:dyDescent="0.35"/>
  <cols>
    <col min="1" max="1" width="9.140625" style="5"/>
    <col min="2" max="2" width="29.42578125" style="5" customWidth="1"/>
    <col min="3" max="5" width="15.7109375" style="5" customWidth="1"/>
    <col min="6" max="16384" width="9.140625" style="5"/>
  </cols>
  <sheetData>
    <row r="1" spans="1:5" x14ac:dyDescent="0.35">
      <c r="A1" s="180" t="s">
        <v>1356</v>
      </c>
      <c r="B1" s="180"/>
      <c r="C1" s="180"/>
      <c r="D1" s="180"/>
      <c r="E1" s="180"/>
    </row>
    <row r="2" spans="1:5" x14ac:dyDescent="0.35">
      <c r="A2" s="20"/>
      <c r="B2" s="20"/>
      <c r="C2" s="20"/>
      <c r="D2" s="20"/>
      <c r="E2" s="74" t="s">
        <v>1341</v>
      </c>
    </row>
    <row r="3" spans="1:5" ht="9" customHeight="1" x14ac:dyDescent="0.35">
      <c r="A3" s="20"/>
      <c r="B3" s="20"/>
      <c r="C3" s="20"/>
      <c r="D3" s="20"/>
      <c r="E3" s="20"/>
    </row>
    <row r="4" spans="1:5" x14ac:dyDescent="0.35">
      <c r="A4" s="173" t="s">
        <v>1339</v>
      </c>
      <c r="B4" s="173" t="s">
        <v>1422</v>
      </c>
      <c r="C4" s="174" t="s">
        <v>1340</v>
      </c>
      <c r="D4" s="175"/>
      <c r="E4" s="176"/>
    </row>
    <row r="5" spans="1:5" x14ac:dyDescent="0.35">
      <c r="A5" s="173"/>
      <c r="B5" s="173"/>
      <c r="C5" s="22" t="s">
        <v>0</v>
      </c>
      <c r="D5" s="22" t="s">
        <v>1</v>
      </c>
      <c r="E5" s="22" t="s">
        <v>2</v>
      </c>
    </row>
    <row r="6" spans="1:5" ht="26.25" customHeight="1" x14ac:dyDescent="0.35">
      <c r="A6" s="48"/>
      <c r="B6" s="26" t="s">
        <v>0</v>
      </c>
      <c r="C6" s="26">
        <v>74294</v>
      </c>
      <c r="D6" s="26">
        <v>35122</v>
      </c>
      <c r="E6" s="26">
        <v>39172</v>
      </c>
    </row>
    <row r="7" spans="1:5" ht="9.75" customHeight="1" x14ac:dyDescent="0.35">
      <c r="A7" s="23"/>
      <c r="B7" s="24"/>
      <c r="C7" s="24"/>
      <c r="D7" s="24"/>
      <c r="E7" s="24"/>
    </row>
    <row r="8" spans="1:5" ht="24.95" customHeight="1" x14ac:dyDescent="0.35">
      <c r="A8" s="23"/>
      <c r="B8" s="24" t="s">
        <v>1338</v>
      </c>
      <c r="C8" s="24">
        <f>SUM(C9:C13)</f>
        <v>10620</v>
      </c>
      <c r="D8" s="24">
        <f t="shared" ref="D8:E8" si="0">SUM(D9:D13)</f>
        <v>5156</v>
      </c>
      <c r="E8" s="24">
        <f t="shared" si="0"/>
        <v>5464</v>
      </c>
    </row>
    <row r="9" spans="1:5" ht="24.95" customHeight="1" x14ac:dyDescent="0.35">
      <c r="A9" s="23">
        <v>1</v>
      </c>
      <c r="B9" s="27" t="s">
        <v>25</v>
      </c>
      <c r="C9" s="27">
        <v>3042</v>
      </c>
      <c r="D9" s="27">
        <v>1442</v>
      </c>
      <c r="E9" s="27">
        <v>1600</v>
      </c>
    </row>
    <row r="10" spans="1:5" ht="24.95" customHeight="1" x14ac:dyDescent="0.35">
      <c r="A10" s="23">
        <v>2</v>
      </c>
      <c r="B10" s="27" t="s">
        <v>26</v>
      </c>
      <c r="C10" s="27">
        <v>1533</v>
      </c>
      <c r="D10" s="27">
        <v>776</v>
      </c>
      <c r="E10" s="27">
        <v>757</v>
      </c>
    </row>
    <row r="11" spans="1:5" ht="24.95" customHeight="1" x14ac:dyDescent="0.35">
      <c r="A11" s="23">
        <v>3</v>
      </c>
      <c r="B11" s="27" t="s">
        <v>27</v>
      </c>
      <c r="C11" s="27">
        <v>1460</v>
      </c>
      <c r="D11" s="27">
        <v>752</v>
      </c>
      <c r="E11" s="27">
        <v>708</v>
      </c>
    </row>
    <row r="12" spans="1:5" ht="24.95" customHeight="1" x14ac:dyDescent="0.35">
      <c r="A12" s="23">
        <v>4</v>
      </c>
      <c r="B12" s="27" t="s">
        <v>28</v>
      </c>
      <c r="C12" s="27">
        <v>3161</v>
      </c>
      <c r="D12" s="27">
        <v>1507</v>
      </c>
      <c r="E12" s="27">
        <v>1654</v>
      </c>
    </row>
    <row r="13" spans="1:5" ht="24.95" customHeight="1" x14ac:dyDescent="0.35">
      <c r="A13" s="23">
        <v>5</v>
      </c>
      <c r="B13" s="27" t="s">
        <v>29</v>
      </c>
      <c r="C13" s="27">
        <v>1424</v>
      </c>
      <c r="D13" s="27">
        <v>679</v>
      </c>
      <c r="E13" s="27">
        <v>745</v>
      </c>
    </row>
    <row r="14" spans="1:5" ht="24.95" customHeight="1" x14ac:dyDescent="0.35">
      <c r="A14" s="23"/>
      <c r="B14" s="24" t="s">
        <v>1410</v>
      </c>
      <c r="C14" s="24">
        <f>SUM(C15:C38)</f>
        <v>63674</v>
      </c>
      <c r="D14" s="24">
        <f t="shared" ref="D14:E14" si="1">SUM(D15:D38)</f>
        <v>29966</v>
      </c>
      <c r="E14" s="24">
        <f t="shared" si="1"/>
        <v>33708</v>
      </c>
    </row>
    <row r="15" spans="1:5" ht="24.95" customHeight="1" x14ac:dyDescent="0.35">
      <c r="A15" s="23">
        <v>1</v>
      </c>
      <c r="B15" s="27" t="s">
        <v>408</v>
      </c>
      <c r="C15" s="27">
        <v>1041</v>
      </c>
      <c r="D15" s="27">
        <v>482</v>
      </c>
      <c r="E15" s="27">
        <v>559</v>
      </c>
    </row>
    <row r="16" spans="1:5" ht="24.95" customHeight="1" x14ac:dyDescent="0.35">
      <c r="A16" s="23">
        <v>2</v>
      </c>
      <c r="B16" s="27" t="s">
        <v>409</v>
      </c>
      <c r="C16" s="27">
        <v>1002</v>
      </c>
      <c r="D16" s="27">
        <v>499</v>
      </c>
      <c r="E16" s="27">
        <v>503</v>
      </c>
    </row>
    <row r="17" spans="1:5" ht="24.95" customHeight="1" x14ac:dyDescent="0.35">
      <c r="A17" s="23">
        <v>3</v>
      </c>
      <c r="B17" s="27" t="s">
        <v>410</v>
      </c>
      <c r="C17" s="27">
        <v>1129</v>
      </c>
      <c r="D17" s="27">
        <v>546</v>
      </c>
      <c r="E17" s="27">
        <v>583</v>
      </c>
    </row>
    <row r="18" spans="1:5" ht="24.95" customHeight="1" x14ac:dyDescent="0.35">
      <c r="A18" s="23">
        <v>4</v>
      </c>
      <c r="B18" s="27" t="s">
        <v>51</v>
      </c>
      <c r="C18" s="27">
        <v>1381</v>
      </c>
      <c r="D18" s="27">
        <v>681</v>
      </c>
      <c r="E18" s="27">
        <v>700</v>
      </c>
    </row>
    <row r="19" spans="1:5" ht="24.95" customHeight="1" x14ac:dyDescent="0.35">
      <c r="A19" s="23">
        <v>5</v>
      </c>
      <c r="B19" s="27" t="s">
        <v>411</v>
      </c>
      <c r="C19" s="27">
        <v>1863</v>
      </c>
      <c r="D19" s="27">
        <v>865</v>
      </c>
      <c r="E19" s="27">
        <v>998</v>
      </c>
    </row>
    <row r="20" spans="1:5" ht="24.95" customHeight="1" x14ac:dyDescent="0.35">
      <c r="A20" s="23">
        <v>6</v>
      </c>
      <c r="B20" s="27" t="s">
        <v>412</v>
      </c>
      <c r="C20" s="27">
        <v>2785</v>
      </c>
      <c r="D20" s="27">
        <v>1256</v>
      </c>
      <c r="E20" s="27">
        <v>1529</v>
      </c>
    </row>
    <row r="21" spans="1:5" ht="24.95" customHeight="1" x14ac:dyDescent="0.35">
      <c r="A21" s="23">
        <v>7</v>
      </c>
      <c r="B21" s="27" t="s">
        <v>413</v>
      </c>
      <c r="C21" s="27">
        <v>1311</v>
      </c>
      <c r="D21" s="27">
        <v>618</v>
      </c>
      <c r="E21" s="27">
        <v>693</v>
      </c>
    </row>
    <row r="22" spans="1:5" ht="24.95" customHeight="1" x14ac:dyDescent="0.35">
      <c r="A22" s="23">
        <v>8</v>
      </c>
      <c r="B22" s="27" t="s">
        <v>414</v>
      </c>
      <c r="C22" s="27">
        <v>663</v>
      </c>
      <c r="D22" s="27">
        <v>315</v>
      </c>
      <c r="E22" s="27">
        <v>348</v>
      </c>
    </row>
    <row r="23" spans="1:5" ht="24.95" customHeight="1" x14ac:dyDescent="0.35">
      <c r="A23" s="23">
        <v>9</v>
      </c>
      <c r="B23" s="27" t="s">
        <v>415</v>
      </c>
      <c r="C23" s="27">
        <v>1986</v>
      </c>
      <c r="D23" s="27">
        <v>961</v>
      </c>
      <c r="E23" s="27">
        <v>1025</v>
      </c>
    </row>
    <row r="24" spans="1:5" ht="24.95" customHeight="1" x14ac:dyDescent="0.35">
      <c r="A24" s="23">
        <v>10</v>
      </c>
      <c r="B24" s="27" t="s">
        <v>416</v>
      </c>
      <c r="C24" s="27">
        <v>3024</v>
      </c>
      <c r="D24" s="27">
        <v>1342</v>
      </c>
      <c r="E24" s="27">
        <v>1682</v>
      </c>
    </row>
    <row r="25" spans="1:5" ht="24.95" customHeight="1" x14ac:dyDescent="0.35">
      <c r="A25" s="23">
        <v>11</v>
      </c>
      <c r="B25" s="27" t="s">
        <v>417</v>
      </c>
      <c r="C25" s="27">
        <v>4236</v>
      </c>
      <c r="D25" s="27">
        <v>2069</v>
      </c>
      <c r="E25" s="27">
        <v>2167</v>
      </c>
    </row>
    <row r="26" spans="1:5" ht="24.95" customHeight="1" x14ac:dyDescent="0.35">
      <c r="A26" s="23">
        <v>12</v>
      </c>
      <c r="B26" s="27" t="s">
        <v>418</v>
      </c>
      <c r="C26" s="27">
        <v>1106</v>
      </c>
      <c r="D26" s="27">
        <v>517</v>
      </c>
      <c r="E26" s="27">
        <v>589</v>
      </c>
    </row>
    <row r="27" spans="1:5" ht="24.95" customHeight="1" x14ac:dyDescent="0.35">
      <c r="A27" s="23">
        <v>13</v>
      </c>
      <c r="B27" s="27" t="s">
        <v>395</v>
      </c>
      <c r="C27" s="27">
        <v>3528</v>
      </c>
      <c r="D27" s="27">
        <v>1683</v>
      </c>
      <c r="E27" s="27">
        <v>1845</v>
      </c>
    </row>
    <row r="28" spans="1:5" ht="24.95" customHeight="1" x14ac:dyDescent="0.35">
      <c r="A28" s="23">
        <v>14</v>
      </c>
      <c r="B28" s="27" t="s">
        <v>419</v>
      </c>
      <c r="C28" s="27">
        <v>3077</v>
      </c>
      <c r="D28" s="27">
        <v>1476</v>
      </c>
      <c r="E28" s="27">
        <v>1601</v>
      </c>
    </row>
    <row r="29" spans="1:5" ht="24.95" customHeight="1" x14ac:dyDescent="0.35">
      <c r="A29" s="23">
        <v>15</v>
      </c>
      <c r="B29" s="27" t="s">
        <v>420</v>
      </c>
      <c r="C29" s="27">
        <v>2737</v>
      </c>
      <c r="D29" s="27">
        <v>1349</v>
      </c>
      <c r="E29" s="27">
        <v>1388</v>
      </c>
    </row>
    <row r="30" spans="1:5" ht="24.95" customHeight="1" x14ac:dyDescent="0.35">
      <c r="A30" s="23">
        <v>16</v>
      </c>
      <c r="B30" s="27" t="s">
        <v>421</v>
      </c>
      <c r="C30" s="27">
        <v>5574</v>
      </c>
      <c r="D30" s="27">
        <v>2489</v>
      </c>
      <c r="E30" s="27">
        <v>3085</v>
      </c>
    </row>
    <row r="31" spans="1:5" ht="24.95" customHeight="1" x14ac:dyDescent="0.35">
      <c r="A31" s="23">
        <v>17</v>
      </c>
      <c r="B31" s="27" t="s">
        <v>422</v>
      </c>
      <c r="C31" s="27">
        <v>2814</v>
      </c>
      <c r="D31" s="27">
        <v>1329</v>
      </c>
      <c r="E31" s="27">
        <v>1485</v>
      </c>
    </row>
    <row r="32" spans="1:5" ht="24.95" customHeight="1" x14ac:dyDescent="0.35">
      <c r="A32" s="23">
        <v>18</v>
      </c>
      <c r="B32" s="27" t="s">
        <v>423</v>
      </c>
      <c r="C32" s="27">
        <v>2168</v>
      </c>
      <c r="D32" s="27">
        <v>1038</v>
      </c>
      <c r="E32" s="27">
        <v>1130</v>
      </c>
    </row>
    <row r="33" spans="1:5" ht="24.95" customHeight="1" x14ac:dyDescent="0.35">
      <c r="A33" s="23">
        <v>19</v>
      </c>
      <c r="B33" s="27" t="s">
        <v>424</v>
      </c>
      <c r="C33" s="27">
        <v>1963</v>
      </c>
      <c r="D33" s="27">
        <v>927</v>
      </c>
      <c r="E33" s="27">
        <v>1036</v>
      </c>
    </row>
    <row r="34" spans="1:5" ht="24.95" customHeight="1" x14ac:dyDescent="0.35">
      <c r="A34" s="23">
        <v>20</v>
      </c>
      <c r="B34" s="27" t="s">
        <v>425</v>
      </c>
      <c r="C34" s="27">
        <v>4628</v>
      </c>
      <c r="D34" s="27">
        <v>2223</v>
      </c>
      <c r="E34" s="27">
        <v>2405</v>
      </c>
    </row>
    <row r="35" spans="1:5" ht="24.95" customHeight="1" x14ac:dyDescent="0.35">
      <c r="A35" s="23">
        <v>21</v>
      </c>
      <c r="B35" s="27" t="s">
        <v>426</v>
      </c>
      <c r="C35" s="27">
        <v>3483</v>
      </c>
      <c r="D35" s="27">
        <v>1613</v>
      </c>
      <c r="E35" s="27">
        <v>1870</v>
      </c>
    </row>
    <row r="36" spans="1:5" ht="24.95" customHeight="1" x14ac:dyDescent="0.35">
      <c r="A36" s="23">
        <v>22</v>
      </c>
      <c r="B36" s="27" t="s">
        <v>427</v>
      </c>
      <c r="C36" s="27">
        <v>4246</v>
      </c>
      <c r="D36" s="27">
        <v>1964</v>
      </c>
      <c r="E36" s="27">
        <v>2282</v>
      </c>
    </row>
    <row r="37" spans="1:5" ht="24.95" customHeight="1" x14ac:dyDescent="0.35">
      <c r="A37" s="23">
        <v>23</v>
      </c>
      <c r="B37" s="27" t="s">
        <v>428</v>
      </c>
      <c r="C37" s="27">
        <v>5632</v>
      </c>
      <c r="D37" s="27">
        <v>2622</v>
      </c>
      <c r="E37" s="27">
        <v>3010</v>
      </c>
    </row>
    <row r="38" spans="1:5" ht="24.95" customHeight="1" x14ac:dyDescent="0.35">
      <c r="A38" s="28">
        <v>24</v>
      </c>
      <c r="B38" s="29" t="s">
        <v>429</v>
      </c>
      <c r="C38" s="29">
        <v>2297</v>
      </c>
      <c r="D38" s="29">
        <v>1102</v>
      </c>
      <c r="E38" s="29">
        <v>1195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 Loilem District,  Mongkai Township"/>
  </hyperlinks>
  <pageMargins left="0.75" right="0.5" top="0.5" bottom="0.2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sqref="A1:XFD1"/>
    </sheetView>
  </sheetViews>
  <sheetFormatPr defaultRowHeight="15" x14ac:dyDescent="0.25"/>
  <cols>
    <col min="2" max="2" width="23" customWidth="1"/>
    <col min="3" max="5" width="15.7109375" customWidth="1"/>
  </cols>
  <sheetData>
    <row r="1" spans="1:5" ht="18.75" x14ac:dyDescent="0.3">
      <c r="A1" s="180" t="s">
        <v>1357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15.75" x14ac:dyDescent="0.25">
      <c r="A3" s="20"/>
      <c r="B3" s="20"/>
      <c r="C3" s="20"/>
      <c r="D3" s="20"/>
      <c r="E3" s="20"/>
    </row>
    <row r="4" spans="1:5" ht="27" customHeight="1" x14ac:dyDescent="0.25">
      <c r="A4" s="173" t="s">
        <v>1339</v>
      </c>
      <c r="B4" s="173" t="s">
        <v>1422</v>
      </c>
      <c r="C4" s="174" t="s">
        <v>1340</v>
      </c>
      <c r="D4" s="175"/>
      <c r="E4" s="176"/>
    </row>
    <row r="5" spans="1:5" ht="28.5" customHeight="1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5" ht="15.75" x14ac:dyDescent="0.25">
      <c r="A6" s="48"/>
      <c r="B6" s="26" t="s">
        <v>0</v>
      </c>
      <c r="C6" s="26">
        <v>42695</v>
      </c>
      <c r="D6" s="26">
        <v>20363</v>
      </c>
      <c r="E6" s="26">
        <v>22332</v>
      </c>
    </row>
    <row r="7" spans="1:5" ht="14.25" customHeight="1" x14ac:dyDescent="0.25">
      <c r="A7" s="23"/>
      <c r="B7" s="24"/>
      <c r="C7" s="24"/>
      <c r="D7" s="24"/>
      <c r="E7" s="24"/>
    </row>
    <row r="8" spans="1:5" ht="23.1" customHeight="1" x14ac:dyDescent="0.25">
      <c r="A8" s="23"/>
      <c r="B8" s="24" t="s">
        <v>1338</v>
      </c>
      <c r="C8" s="24">
        <f>SUM(C9:C12)</f>
        <v>9809</v>
      </c>
      <c r="D8" s="24">
        <f t="shared" ref="D8:E8" si="0">SUM(D9:D12)</f>
        <v>4839</v>
      </c>
      <c r="E8" s="24">
        <f t="shared" si="0"/>
        <v>4970</v>
      </c>
    </row>
    <row r="9" spans="1:5" ht="23.1" customHeight="1" x14ac:dyDescent="0.25">
      <c r="A9" s="23">
        <v>1</v>
      </c>
      <c r="B9" s="27" t="s">
        <v>25</v>
      </c>
      <c r="C9" s="27">
        <v>1483</v>
      </c>
      <c r="D9" s="27">
        <v>755</v>
      </c>
      <c r="E9" s="27">
        <v>728</v>
      </c>
    </row>
    <row r="10" spans="1:5" ht="23.1" customHeight="1" x14ac:dyDescent="0.25">
      <c r="A10" s="23">
        <v>2</v>
      </c>
      <c r="B10" s="27" t="s">
        <v>26</v>
      </c>
      <c r="C10" s="27">
        <v>3142</v>
      </c>
      <c r="D10" s="27">
        <v>1575</v>
      </c>
      <c r="E10" s="27">
        <v>1567</v>
      </c>
    </row>
    <row r="11" spans="1:5" ht="23.1" customHeight="1" x14ac:dyDescent="0.25">
      <c r="A11" s="23">
        <v>3</v>
      </c>
      <c r="B11" s="27" t="s">
        <v>27</v>
      </c>
      <c r="C11" s="27">
        <v>753</v>
      </c>
      <c r="D11" s="27">
        <v>329</v>
      </c>
      <c r="E11" s="27">
        <v>424</v>
      </c>
    </row>
    <row r="12" spans="1:5" ht="23.1" customHeight="1" x14ac:dyDescent="0.25">
      <c r="A12" s="23">
        <v>4</v>
      </c>
      <c r="B12" s="27" t="s">
        <v>28</v>
      </c>
      <c r="C12" s="27">
        <v>4431</v>
      </c>
      <c r="D12" s="27">
        <v>2180</v>
      </c>
      <c r="E12" s="27">
        <v>2251</v>
      </c>
    </row>
    <row r="13" spans="1:5" ht="23.1" customHeight="1" x14ac:dyDescent="0.25">
      <c r="A13" s="23"/>
      <c r="B13" s="23"/>
      <c r="C13" s="23"/>
      <c r="D13" s="23"/>
      <c r="E13" s="23"/>
    </row>
    <row r="14" spans="1:5" ht="23.1" customHeight="1" x14ac:dyDescent="0.25">
      <c r="A14" s="23"/>
      <c r="B14" s="24" t="s">
        <v>1410</v>
      </c>
      <c r="C14" s="24">
        <f>SUM(C15:C27)</f>
        <v>32886</v>
      </c>
      <c r="D14" s="24">
        <f t="shared" ref="D14:E14" si="1">SUM(D15:D27)</f>
        <v>15524</v>
      </c>
      <c r="E14" s="24">
        <f t="shared" si="1"/>
        <v>17362</v>
      </c>
    </row>
    <row r="15" spans="1:5" ht="23.1" customHeight="1" x14ac:dyDescent="0.25">
      <c r="A15" s="23">
        <v>1</v>
      </c>
      <c r="B15" s="27" t="s">
        <v>430</v>
      </c>
      <c r="C15" s="27">
        <v>3413</v>
      </c>
      <c r="D15" s="27">
        <v>1683</v>
      </c>
      <c r="E15" s="27">
        <v>1730</v>
      </c>
    </row>
    <row r="16" spans="1:5" ht="23.1" customHeight="1" x14ac:dyDescent="0.25">
      <c r="A16" s="23">
        <v>2</v>
      </c>
      <c r="B16" s="27" t="s">
        <v>431</v>
      </c>
      <c r="C16" s="27">
        <v>1127</v>
      </c>
      <c r="D16" s="27">
        <v>541</v>
      </c>
      <c r="E16" s="27">
        <v>586</v>
      </c>
    </row>
    <row r="17" spans="1:5" ht="23.1" customHeight="1" x14ac:dyDescent="0.25">
      <c r="A17" s="23">
        <v>3</v>
      </c>
      <c r="B17" s="27" t="s">
        <v>432</v>
      </c>
      <c r="C17" s="27">
        <v>2607</v>
      </c>
      <c r="D17" s="27">
        <v>1206</v>
      </c>
      <c r="E17" s="27">
        <v>1401</v>
      </c>
    </row>
    <row r="18" spans="1:5" ht="23.1" customHeight="1" x14ac:dyDescent="0.25">
      <c r="A18" s="23">
        <v>4</v>
      </c>
      <c r="B18" s="27" t="s">
        <v>433</v>
      </c>
      <c r="C18" s="27">
        <v>1765</v>
      </c>
      <c r="D18" s="27">
        <v>798</v>
      </c>
      <c r="E18" s="27">
        <v>967</v>
      </c>
    </row>
    <row r="19" spans="1:5" ht="23.1" customHeight="1" x14ac:dyDescent="0.25">
      <c r="A19" s="23">
        <v>5</v>
      </c>
      <c r="B19" s="27" t="s">
        <v>434</v>
      </c>
      <c r="C19" s="27">
        <v>3025</v>
      </c>
      <c r="D19" s="27">
        <v>1449</v>
      </c>
      <c r="E19" s="27">
        <v>1576</v>
      </c>
    </row>
    <row r="20" spans="1:5" ht="23.1" customHeight="1" x14ac:dyDescent="0.25">
      <c r="A20" s="23">
        <v>6</v>
      </c>
      <c r="B20" s="27" t="s">
        <v>435</v>
      </c>
      <c r="C20" s="27">
        <v>3576</v>
      </c>
      <c r="D20" s="27">
        <v>1708</v>
      </c>
      <c r="E20" s="27">
        <v>1868</v>
      </c>
    </row>
    <row r="21" spans="1:5" ht="23.1" customHeight="1" x14ac:dyDescent="0.25">
      <c r="A21" s="23">
        <v>7</v>
      </c>
      <c r="B21" s="27" t="s">
        <v>436</v>
      </c>
      <c r="C21" s="27">
        <v>4592</v>
      </c>
      <c r="D21" s="27">
        <v>2159</v>
      </c>
      <c r="E21" s="27">
        <v>2433</v>
      </c>
    </row>
    <row r="22" spans="1:5" ht="23.1" customHeight="1" x14ac:dyDescent="0.25">
      <c r="A22" s="23">
        <v>8</v>
      </c>
      <c r="B22" s="27" t="s">
        <v>437</v>
      </c>
      <c r="C22" s="27">
        <v>2334</v>
      </c>
      <c r="D22" s="27">
        <v>1102</v>
      </c>
      <c r="E22" s="27">
        <v>1232</v>
      </c>
    </row>
    <row r="23" spans="1:5" ht="23.1" customHeight="1" x14ac:dyDescent="0.25">
      <c r="A23" s="23">
        <v>9</v>
      </c>
      <c r="B23" s="27" t="s">
        <v>438</v>
      </c>
      <c r="C23" s="27">
        <v>1671</v>
      </c>
      <c r="D23" s="27">
        <v>804</v>
      </c>
      <c r="E23" s="27">
        <v>867</v>
      </c>
    </row>
    <row r="24" spans="1:5" ht="23.1" customHeight="1" x14ac:dyDescent="0.25">
      <c r="A24" s="23">
        <v>10</v>
      </c>
      <c r="B24" s="27" t="s">
        <v>439</v>
      </c>
      <c r="C24" s="27">
        <v>2082</v>
      </c>
      <c r="D24" s="27">
        <v>899</v>
      </c>
      <c r="E24" s="27">
        <v>1183</v>
      </c>
    </row>
    <row r="25" spans="1:5" ht="23.1" customHeight="1" x14ac:dyDescent="0.25">
      <c r="A25" s="23">
        <v>11</v>
      </c>
      <c r="B25" s="27" t="s">
        <v>440</v>
      </c>
      <c r="C25" s="27">
        <v>1931</v>
      </c>
      <c r="D25" s="27">
        <v>933</v>
      </c>
      <c r="E25" s="27">
        <v>998</v>
      </c>
    </row>
    <row r="26" spans="1:5" ht="23.1" customHeight="1" x14ac:dyDescent="0.25">
      <c r="A26" s="23">
        <v>12</v>
      </c>
      <c r="B26" s="27" t="s">
        <v>441</v>
      </c>
      <c r="C26" s="27">
        <v>2499</v>
      </c>
      <c r="D26" s="27">
        <v>1190</v>
      </c>
      <c r="E26" s="27">
        <v>1309</v>
      </c>
    </row>
    <row r="27" spans="1:5" ht="23.1" customHeight="1" x14ac:dyDescent="0.25">
      <c r="A27" s="28">
        <v>13</v>
      </c>
      <c r="B27" s="29" t="s">
        <v>442</v>
      </c>
      <c r="C27" s="29">
        <v>2264</v>
      </c>
      <c r="D27" s="29">
        <v>1052</v>
      </c>
      <c r="E27" s="29">
        <v>1212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 Loilem District,  Mineshu Township"/>
  </hyperlinks>
  <pageMargins left="0.75" right="0.5" top="0.5" bottom="0.2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sqref="A1:XFD5"/>
    </sheetView>
  </sheetViews>
  <sheetFormatPr defaultRowHeight="15" x14ac:dyDescent="0.25"/>
  <cols>
    <col min="2" max="2" width="23.28515625" customWidth="1"/>
    <col min="3" max="5" width="18.7109375" customWidth="1"/>
  </cols>
  <sheetData>
    <row r="1" spans="1:5" ht="18.75" x14ac:dyDescent="0.3">
      <c r="A1" s="180" t="s">
        <v>1358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15.75" x14ac:dyDescent="0.25">
      <c r="A3" s="20"/>
      <c r="B3" s="20"/>
      <c r="C3" s="20"/>
      <c r="D3" s="20"/>
      <c r="E3" s="20"/>
    </row>
    <row r="4" spans="1:5" ht="23.1" customHeight="1" x14ac:dyDescent="0.25">
      <c r="A4" s="173" t="s">
        <v>1339</v>
      </c>
      <c r="B4" s="173" t="s">
        <v>1422</v>
      </c>
      <c r="C4" s="174" t="s">
        <v>1340</v>
      </c>
      <c r="D4" s="175"/>
      <c r="E4" s="176"/>
    </row>
    <row r="5" spans="1:5" ht="23.1" customHeight="1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5" ht="23.1" customHeight="1" x14ac:dyDescent="0.25">
      <c r="A6" s="48"/>
      <c r="B6" s="26" t="s">
        <v>0</v>
      </c>
      <c r="C6" s="26">
        <v>72186</v>
      </c>
      <c r="D6" s="26">
        <v>35328</v>
      </c>
      <c r="E6" s="26">
        <v>36858</v>
      </c>
    </row>
    <row r="7" spans="1:5" ht="9" customHeight="1" x14ac:dyDescent="0.25">
      <c r="A7" s="23"/>
      <c r="B7" s="24"/>
      <c r="C7" s="24"/>
      <c r="D7" s="24"/>
      <c r="E7" s="24"/>
    </row>
    <row r="8" spans="1:5" ht="23.1" customHeight="1" x14ac:dyDescent="0.25">
      <c r="A8" s="23"/>
      <c r="B8" s="24" t="s">
        <v>1338</v>
      </c>
      <c r="C8" s="24">
        <f>SUM(C9:C12)</f>
        <v>27115</v>
      </c>
      <c r="D8" s="24">
        <f t="shared" ref="D8:E8" si="0">SUM(D9:D12)</f>
        <v>13615</v>
      </c>
      <c r="E8" s="24">
        <f t="shared" si="0"/>
        <v>13500</v>
      </c>
    </row>
    <row r="9" spans="1:5" ht="23.1" customHeight="1" x14ac:dyDescent="0.25">
      <c r="A9" s="23">
        <v>1</v>
      </c>
      <c r="B9" s="27" t="s">
        <v>25</v>
      </c>
      <c r="C9" s="27">
        <v>5514</v>
      </c>
      <c r="D9" s="27">
        <v>2735</v>
      </c>
      <c r="E9" s="27">
        <v>2779</v>
      </c>
    </row>
    <row r="10" spans="1:5" ht="23.1" customHeight="1" x14ac:dyDescent="0.25">
      <c r="A10" s="23">
        <v>2</v>
      </c>
      <c r="B10" s="27" t="s">
        <v>26</v>
      </c>
      <c r="C10" s="27">
        <v>11199</v>
      </c>
      <c r="D10" s="27">
        <v>5616</v>
      </c>
      <c r="E10" s="27">
        <v>5583</v>
      </c>
    </row>
    <row r="11" spans="1:5" ht="23.1" customHeight="1" x14ac:dyDescent="0.25">
      <c r="A11" s="23">
        <v>3</v>
      </c>
      <c r="B11" s="27" t="s">
        <v>27</v>
      </c>
      <c r="C11" s="27">
        <v>4125</v>
      </c>
      <c r="D11" s="27">
        <v>1925</v>
      </c>
      <c r="E11" s="27">
        <v>2200</v>
      </c>
    </row>
    <row r="12" spans="1:5" ht="23.1" customHeight="1" x14ac:dyDescent="0.25">
      <c r="A12" s="23">
        <v>4</v>
      </c>
      <c r="B12" s="27" t="s">
        <v>28</v>
      </c>
      <c r="C12" s="27">
        <v>6277</v>
      </c>
      <c r="D12" s="27">
        <v>3339</v>
      </c>
      <c r="E12" s="27">
        <v>2938</v>
      </c>
    </row>
    <row r="13" spans="1:5" ht="23.1" customHeight="1" x14ac:dyDescent="0.25">
      <c r="A13" s="23"/>
      <c r="B13" s="24" t="s">
        <v>1410</v>
      </c>
      <c r="C13" s="24">
        <f>SUM(C14:C21)</f>
        <v>45071</v>
      </c>
      <c r="D13" s="24">
        <f t="shared" ref="D13:E13" si="1">SUM(D14:D21)</f>
        <v>21713</v>
      </c>
      <c r="E13" s="24">
        <f t="shared" si="1"/>
        <v>23358</v>
      </c>
    </row>
    <row r="14" spans="1:5" ht="23.1" customHeight="1" x14ac:dyDescent="0.25">
      <c r="A14" s="23">
        <v>1</v>
      </c>
      <c r="B14" s="27" t="s">
        <v>443</v>
      </c>
      <c r="C14" s="27">
        <v>4279</v>
      </c>
      <c r="D14" s="27">
        <v>2088</v>
      </c>
      <c r="E14" s="27">
        <v>2191</v>
      </c>
    </row>
    <row r="15" spans="1:5" ht="23.1" customHeight="1" x14ac:dyDescent="0.25">
      <c r="A15" s="23">
        <v>2</v>
      </c>
      <c r="B15" s="27" t="s">
        <v>444</v>
      </c>
      <c r="C15" s="27">
        <v>5619</v>
      </c>
      <c r="D15" s="27">
        <v>2549</v>
      </c>
      <c r="E15" s="27">
        <v>3070</v>
      </c>
    </row>
    <row r="16" spans="1:5" ht="23.1" customHeight="1" x14ac:dyDescent="0.25">
      <c r="A16" s="23">
        <v>3</v>
      </c>
      <c r="B16" s="27" t="s">
        <v>445</v>
      </c>
      <c r="C16" s="27">
        <v>6193</v>
      </c>
      <c r="D16" s="27">
        <v>3005</v>
      </c>
      <c r="E16" s="27">
        <v>3188</v>
      </c>
    </row>
    <row r="17" spans="1:5" ht="23.1" customHeight="1" x14ac:dyDescent="0.25">
      <c r="A17" s="23">
        <v>4</v>
      </c>
      <c r="B17" s="27" t="s">
        <v>130</v>
      </c>
      <c r="C17" s="27">
        <v>4830</v>
      </c>
      <c r="D17" s="27">
        <v>2338</v>
      </c>
      <c r="E17" s="27">
        <v>2492</v>
      </c>
    </row>
    <row r="18" spans="1:5" ht="23.1" customHeight="1" x14ac:dyDescent="0.25">
      <c r="A18" s="23">
        <v>5</v>
      </c>
      <c r="B18" s="27" t="s">
        <v>446</v>
      </c>
      <c r="C18" s="27">
        <v>2319</v>
      </c>
      <c r="D18" s="27">
        <v>1123</v>
      </c>
      <c r="E18" s="27">
        <v>1196</v>
      </c>
    </row>
    <row r="19" spans="1:5" ht="23.1" customHeight="1" x14ac:dyDescent="0.25">
      <c r="A19" s="23">
        <v>6</v>
      </c>
      <c r="B19" s="27" t="s">
        <v>447</v>
      </c>
      <c r="C19" s="27">
        <v>2879</v>
      </c>
      <c r="D19" s="27">
        <v>1480</v>
      </c>
      <c r="E19" s="27">
        <v>1399</v>
      </c>
    </row>
    <row r="20" spans="1:5" ht="23.1" customHeight="1" x14ac:dyDescent="0.25">
      <c r="A20" s="23">
        <v>7</v>
      </c>
      <c r="B20" s="27" t="s">
        <v>448</v>
      </c>
      <c r="C20" s="27">
        <v>6852</v>
      </c>
      <c r="D20" s="27">
        <v>3326</v>
      </c>
      <c r="E20" s="27">
        <v>3526</v>
      </c>
    </row>
    <row r="21" spans="1:5" ht="23.1" customHeight="1" x14ac:dyDescent="0.25">
      <c r="A21" s="28">
        <v>8</v>
      </c>
      <c r="B21" s="29" t="s">
        <v>449</v>
      </c>
      <c r="C21" s="29">
        <v>12100</v>
      </c>
      <c r="D21" s="29">
        <v>5804</v>
      </c>
      <c r="E21" s="29">
        <v>6296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 Loilem District,  Panglong(Sub-Township)"/>
  </hyperlinks>
  <pageMargins left="0.75" right="0.5" top="0.5" bottom="0.2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sqref="A1:E1"/>
    </sheetView>
  </sheetViews>
  <sheetFormatPr defaultRowHeight="15" x14ac:dyDescent="0.25"/>
  <cols>
    <col min="2" max="2" width="24.7109375" customWidth="1"/>
    <col min="3" max="5" width="15.7109375" customWidth="1"/>
  </cols>
  <sheetData>
    <row r="1" spans="1:5" ht="18.75" x14ac:dyDescent="0.3">
      <c r="A1" s="180" t="s">
        <v>1360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21" t="s">
        <v>1341</v>
      </c>
    </row>
    <row r="3" spans="1:5" ht="15.75" x14ac:dyDescent="0.25">
      <c r="A3" s="20"/>
      <c r="B3" s="20"/>
      <c r="C3" s="20"/>
      <c r="D3" s="20"/>
      <c r="E3" s="20"/>
    </row>
    <row r="4" spans="1:5" ht="23.1" customHeight="1" x14ac:dyDescent="0.25">
      <c r="A4" s="173" t="s">
        <v>1339</v>
      </c>
      <c r="B4" s="173" t="s">
        <v>1422</v>
      </c>
      <c r="C4" s="174" t="s">
        <v>1340</v>
      </c>
      <c r="D4" s="175"/>
      <c r="E4" s="176"/>
    </row>
    <row r="5" spans="1:5" ht="23.1" customHeight="1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5" ht="23.1" customHeight="1" x14ac:dyDescent="0.25">
      <c r="A6" s="48"/>
      <c r="B6" s="26" t="s">
        <v>0</v>
      </c>
      <c r="C6" s="26">
        <v>24659</v>
      </c>
      <c r="D6" s="26">
        <v>12749</v>
      </c>
      <c r="E6" s="26">
        <v>11910</v>
      </c>
    </row>
    <row r="7" spans="1:5" ht="13.5" customHeight="1" x14ac:dyDescent="0.25">
      <c r="A7" s="23"/>
      <c r="B7" s="24"/>
      <c r="C7" s="24"/>
      <c r="D7" s="24"/>
      <c r="E7" s="24"/>
    </row>
    <row r="8" spans="1:5" ht="23.1" customHeight="1" x14ac:dyDescent="0.25">
      <c r="A8" s="23"/>
      <c r="B8" s="24" t="s">
        <v>1338</v>
      </c>
      <c r="C8" s="24">
        <f>SUM(C9:C14)</f>
        <v>9470</v>
      </c>
      <c r="D8" s="24">
        <f t="shared" ref="D8:E8" si="0">SUM(D9:D14)</f>
        <v>4719</v>
      </c>
      <c r="E8" s="24">
        <f t="shared" si="0"/>
        <v>4751</v>
      </c>
    </row>
    <row r="9" spans="1:5" ht="23.1" customHeight="1" x14ac:dyDescent="0.25">
      <c r="A9" s="23">
        <v>1</v>
      </c>
      <c r="B9" s="27" t="s">
        <v>25</v>
      </c>
      <c r="C9" s="27">
        <v>2657</v>
      </c>
      <c r="D9" s="27">
        <v>1381</v>
      </c>
      <c r="E9" s="27">
        <v>1276</v>
      </c>
    </row>
    <row r="10" spans="1:5" ht="23.1" customHeight="1" x14ac:dyDescent="0.25">
      <c r="A10" s="23">
        <v>2</v>
      </c>
      <c r="B10" s="27" t="s">
        <v>26</v>
      </c>
      <c r="C10" s="27">
        <v>2039</v>
      </c>
      <c r="D10" s="27">
        <v>1043</v>
      </c>
      <c r="E10" s="27">
        <v>996</v>
      </c>
    </row>
    <row r="11" spans="1:5" ht="23.1" customHeight="1" x14ac:dyDescent="0.25">
      <c r="A11" s="23">
        <v>3</v>
      </c>
      <c r="B11" s="27" t="s">
        <v>27</v>
      </c>
      <c r="C11" s="27">
        <v>1581</v>
      </c>
      <c r="D11" s="27">
        <v>752</v>
      </c>
      <c r="E11" s="27">
        <v>829</v>
      </c>
    </row>
    <row r="12" spans="1:5" ht="23.1" customHeight="1" x14ac:dyDescent="0.25">
      <c r="A12" s="23">
        <v>4</v>
      </c>
      <c r="B12" s="27" t="s">
        <v>28</v>
      </c>
      <c r="C12" s="27">
        <v>1101</v>
      </c>
      <c r="D12" s="27">
        <v>515</v>
      </c>
      <c r="E12" s="27">
        <v>586</v>
      </c>
    </row>
    <row r="13" spans="1:5" ht="23.1" customHeight="1" x14ac:dyDescent="0.25">
      <c r="A13" s="23">
        <v>5</v>
      </c>
      <c r="B13" s="27" t="s">
        <v>29</v>
      </c>
      <c r="C13" s="27">
        <v>494</v>
      </c>
      <c r="D13" s="27">
        <v>206</v>
      </c>
      <c r="E13" s="27">
        <v>288</v>
      </c>
    </row>
    <row r="14" spans="1:5" ht="23.1" customHeight="1" x14ac:dyDescent="0.25">
      <c r="A14" s="23">
        <v>6</v>
      </c>
      <c r="B14" s="27" t="s">
        <v>30</v>
      </c>
      <c r="C14" s="27">
        <v>1598</v>
      </c>
      <c r="D14" s="27">
        <v>822</v>
      </c>
      <c r="E14" s="27">
        <v>776</v>
      </c>
    </row>
    <row r="15" spans="1:5" ht="23.1" customHeight="1" x14ac:dyDescent="0.25">
      <c r="A15" s="23"/>
      <c r="B15" s="24" t="s">
        <v>1410</v>
      </c>
      <c r="C15" s="24">
        <f>SUM(C16:C20)</f>
        <v>15189</v>
      </c>
      <c r="D15" s="24">
        <f t="shared" ref="D15:E15" si="1">SUM(D16:D20)</f>
        <v>8030</v>
      </c>
      <c r="E15" s="24">
        <f t="shared" si="1"/>
        <v>7159</v>
      </c>
    </row>
    <row r="16" spans="1:5" ht="23.1" customHeight="1" x14ac:dyDescent="0.25">
      <c r="A16" s="23">
        <v>1</v>
      </c>
      <c r="B16" s="27" t="s">
        <v>450</v>
      </c>
      <c r="C16" s="27">
        <v>3139</v>
      </c>
      <c r="D16" s="27">
        <v>1546</v>
      </c>
      <c r="E16" s="27">
        <v>1593</v>
      </c>
    </row>
    <row r="17" spans="1:5" ht="23.1" customHeight="1" x14ac:dyDescent="0.25">
      <c r="A17" s="23">
        <v>2</v>
      </c>
      <c r="B17" s="27" t="s">
        <v>451</v>
      </c>
      <c r="C17" s="27">
        <v>3581</v>
      </c>
      <c r="D17" s="27">
        <v>2220</v>
      </c>
      <c r="E17" s="27">
        <v>1361</v>
      </c>
    </row>
    <row r="18" spans="1:5" ht="23.1" customHeight="1" x14ac:dyDescent="0.25">
      <c r="A18" s="23">
        <v>3</v>
      </c>
      <c r="B18" s="27" t="s">
        <v>452</v>
      </c>
      <c r="C18" s="27">
        <v>704</v>
      </c>
      <c r="D18" s="27">
        <v>368</v>
      </c>
      <c r="E18" s="27">
        <v>336</v>
      </c>
    </row>
    <row r="19" spans="1:5" ht="23.1" customHeight="1" x14ac:dyDescent="0.25">
      <c r="A19" s="23">
        <v>4</v>
      </c>
      <c r="B19" s="27" t="s">
        <v>384</v>
      </c>
      <c r="C19" s="27">
        <v>2683</v>
      </c>
      <c r="D19" s="27">
        <v>1291</v>
      </c>
      <c r="E19" s="27">
        <v>1392</v>
      </c>
    </row>
    <row r="20" spans="1:5" ht="23.1" customHeight="1" x14ac:dyDescent="0.25">
      <c r="A20" s="28">
        <v>5</v>
      </c>
      <c r="B20" s="29" t="s">
        <v>453</v>
      </c>
      <c r="C20" s="29">
        <v>5082</v>
      </c>
      <c r="D20" s="29">
        <v>2605</v>
      </c>
      <c r="E20" s="29">
        <v>2477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 Loilem District,   Kholan(Sub-Township)"/>
  </hyperlinks>
  <pageMargins left="0.75" right="0.5" top="0.5" bottom="0.2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sqref="A1:E1"/>
    </sheetView>
  </sheetViews>
  <sheetFormatPr defaultRowHeight="15" x14ac:dyDescent="0.25"/>
  <cols>
    <col min="2" max="2" width="23.5703125" customWidth="1"/>
    <col min="3" max="5" width="15.7109375" customWidth="1"/>
  </cols>
  <sheetData>
    <row r="1" spans="1:5" ht="18.75" x14ac:dyDescent="0.3">
      <c r="A1" s="180" t="s">
        <v>1359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21" t="s">
        <v>1341</v>
      </c>
    </row>
    <row r="3" spans="1:5" ht="15.75" x14ac:dyDescent="0.25">
      <c r="A3" s="20"/>
      <c r="B3" s="20"/>
      <c r="C3" s="20"/>
      <c r="D3" s="20"/>
      <c r="E3" s="20"/>
    </row>
    <row r="4" spans="1:5" ht="15.75" x14ac:dyDescent="0.25">
      <c r="A4" s="173" t="s">
        <v>1339</v>
      </c>
      <c r="B4" s="173" t="s">
        <v>1422</v>
      </c>
      <c r="C4" s="174" t="s">
        <v>1340</v>
      </c>
      <c r="D4" s="175"/>
      <c r="E4" s="176"/>
    </row>
    <row r="5" spans="1:5" ht="15.75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5" ht="15.75" x14ac:dyDescent="0.25">
      <c r="A6" s="48"/>
      <c r="B6" s="26" t="s">
        <v>0</v>
      </c>
      <c r="C6" s="26">
        <v>31580</v>
      </c>
      <c r="D6" s="26">
        <v>15751</v>
      </c>
      <c r="E6" s="26">
        <v>15829</v>
      </c>
    </row>
    <row r="7" spans="1:5" ht="6.75" customHeight="1" x14ac:dyDescent="0.25">
      <c r="A7" s="23"/>
      <c r="B7" s="24"/>
      <c r="C7" s="24"/>
      <c r="D7" s="24"/>
      <c r="E7" s="24"/>
    </row>
    <row r="8" spans="1:5" ht="23.1" customHeight="1" x14ac:dyDescent="0.25">
      <c r="A8" s="23"/>
      <c r="B8" s="24" t="s">
        <v>1338</v>
      </c>
      <c r="C8" s="24">
        <f>SUM(C9:C14)</f>
        <v>7779</v>
      </c>
      <c r="D8" s="24">
        <f t="shared" ref="D8:E8" si="0">SUM(D9:D14)</f>
        <v>3870</v>
      </c>
      <c r="E8" s="24">
        <f t="shared" si="0"/>
        <v>3909</v>
      </c>
    </row>
    <row r="9" spans="1:5" ht="23.1" customHeight="1" x14ac:dyDescent="0.25">
      <c r="A9" s="23">
        <v>1</v>
      </c>
      <c r="B9" s="27" t="s">
        <v>25</v>
      </c>
      <c r="C9" s="27">
        <v>1980</v>
      </c>
      <c r="D9" s="27">
        <v>944</v>
      </c>
      <c r="E9" s="27">
        <v>1036</v>
      </c>
    </row>
    <row r="10" spans="1:5" ht="23.1" customHeight="1" x14ac:dyDescent="0.25">
      <c r="A10" s="23">
        <v>2</v>
      </c>
      <c r="B10" s="27" t="s">
        <v>26</v>
      </c>
      <c r="C10" s="27">
        <v>1204</v>
      </c>
      <c r="D10" s="27">
        <v>564</v>
      </c>
      <c r="E10" s="27">
        <v>640</v>
      </c>
    </row>
    <row r="11" spans="1:5" ht="23.1" customHeight="1" x14ac:dyDescent="0.25">
      <c r="A11" s="23">
        <v>3</v>
      </c>
      <c r="B11" s="27" t="s">
        <v>27</v>
      </c>
      <c r="C11" s="27">
        <v>1827</v>
      </c>
      <c r="D11" s="27">
        <v>900</v>
      </c>
      <c r="E11" s="27">
        <v>927</v>
      </c>
    </row>
    <row r="12" spans="1:5" ht="23.1" customHeight="1" x14ac:dyDescent="0.25">
      <c r="A12" s="23">
        <v>4</v>
      </c>
      <c r="B12" s="27" t="s">
        <v>28</v>
      </c>
      <c r="C12" s="27">
        <v>1382</v>
      </c>
      <c r="D12" s="27">
        <v>755</v>
      </c>
      <c r="E12" s="27">
        <v>627</v>
      </c>
    </row>
    <row r="13" spans="1:5" ht="23.1" customHeight="1" x14ac:dyDescent="0.25">
      <c r="A13" s="23">
        <v>5</v>
      </c>
      <c r="B13" s="27" t="s">
        <v>29</v>
      </c>
      <c r="C13" s="27">
        <v>987</v>
      </c>
      <c r="D13" s="27">
        <v>504</v>
      </c>
      <c r="E13" s="27">
        <v>483</v>
      </c>
    </row>
    <row r="14" spans="1:5" ht="23.1" customHeight="1" x14ac:dyDescent="0.25">
      <c r="A14" s="23">
        <v>6</v>
      </c>
      <c r="B14" s="27" t="s">
        <v>30</v>
      </c>
      <c r="C14" s="27">
        <v>399</v>
      </c>
      <c r="D14" s="27">
        <v>203</v>
      </c>
      <c r="E14" s="27">
        <v>196</v>
      </c>
    </row>
    <row r="15" spans="1:5" ht="23.1" customHeight="1" x14ac:dyDescent="0.25">
      <c r="A15" s="23"/>
      <c r="B15" s="24" t="s">
        <v>1410</v>
      </c>
      <c r="C15" s="24">
        <f>SUM(C16:C20)</f>
        <v>23801</v>
      </c>
      <c r="D15" s="24">
        <f t="shared" ref="D15:E15" si="1">SUM(D16:D20)</f>
        <v>11881</v>
      </c>
      <c r="E15" s="24">
        <f t="shared" si="1"/>
        <v>11920</v>
      </c>
    </row>
    <row r="16" spans="1:5" ht="23.1" customHeight="1" x14ac:dyDescent="0.25">
      <c r="A16" s="23">
        <v>1</v>
      </c>
      <c r="B16" s="27" t="s">
        <v>454</v>
      </c>
      <c r="C16" s="27">
        <v>4518</v>
      </c>
      <c r="D16" s="27">
        <v>2117</v>
      </c>
      <c r="E16" s="27">
        <v>2401</v>
      </c>
    </row>
    <row r="17" spans="1:5" ht="23.1" customHeight="1" x14ac:dyDescent="0.25">
      <c r="A17" s="23">
        <v>2</v>
      </c>
      <c r="B17" s="27" t="s">
        <v>455</v>
      </c>
      <c r="C17" s="27">
        <v>8552</v>
      </c>
      <c r="D17" s="27">
        <v>4427</v>
      </c>
      <c r="E17" s="27">
        <v>4125</v>
      </c>
    </row>
    <row r="18" spans="1:5" ht="23.1" customHeight="1" x14ac:dyDescent="0.25">
      <c r="A18" s="23">
        <v>3</v>
      </c>
      <c r="B18" s="27" t="s">
        <v>456</v>
      </c>
      <c r="C18" s="27">
        <v>4044</v>
      </c>
      <c r="D18" s="27">
        <v>2032</v>
      </c>
      <c r="E18" s="27">
        <v>2012</v>
      </c>
    </row>
    <row r="19" spans="1:5" ht="23.1" customHeight="1" x14ac:dyDescent="0.25">
      <c r="A19" s="23">
        <v>4</v>
      </c>
      <c r="B19" s="27" t="s">
        <v>457</v>
      </c>
      <c r="C19" s="27">
        <v>6018</v>
      </c>
      <c r="D19" s="27">
        <v>2980</v>
      </c>
      <c r="E19" s="27">
        <v>3038</v>
      </c>
    </row>
    <row r="20" spans="1:5" ht="23.1" customHeight="1" x14ac:dyDescent="0.25">
      <c r="A20" s="28">
        <v>5</v>
      </c>
      <c r="B20" s="29" t="s">
        <v>458</v>
      </c>
      <c r="C20" s="29">
        <v>669</v>
      </c>
      <c r="D20" s="29">
        <v>325</v>
      </c>
      <c r="E20" s="29">
        <v>344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 Loilem District,  Karli(Sub-Township)"/>
  </hyperlinks>
  <pageMargins left="0.75" right="0.5" top="0.5" bottom="0.2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selection sqref="A1:E1"/>
    </sheetView>
  </sheetViews>
  <sheetFormatPr defaultRowHeight="15" x14ac:dyDescent="0.25"/>
  <cols>
    <col min="2" max="2" width="23.140625" customWidth="1"/>
    <col min="3" max="5" width="15.7109375" customWidth="1"/>
  </cols>
  <sheetData>
    <row r="1" spans="1:5" ht="18.75" x14ac:dyDescent="0.3">
      <c r="A1" s="180" t="s">
        <v>1363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9.75" customHeight="1" x14ac:dyDescent="0.25">
      <c r="A3" s="20"/>
      <c r="B3" s="20"/>
      <c r="C3" s="20"/>
      <c r="D3" s="20"/>
      <c r="E3" s="20"/>
    </row>
    <row r="4" spans="1:5" ht="23.1" customHeight="1" x14ac:dyDescent="0.25">
      <c r="A4" s="173" t="s">
        <v>1339</v>
      </c>
      <c r="B4" s="173" t="s">
        <v>1422</v>
      </c>
      <c r="C4" s="174" t="s">
        <v>1340</v>
      </c>
      <c r="D4" s="175"/>
      <c r="E4" s="176"/>
    </row>
    <row r="5" spans="1:5" ht="23.1" customHeight="1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5" ht="23.1" customHeight="1" x14ac:dyDescent="0.25">
      <c r="A6" s="53"/>
      <c r="B6" s="26" t="s">
        <v>0</v>
      </c>
      <c r="C6" s="57">
        <v>29864</v>
      </c>
      <c r="D6" s="57">
        <v>14519</v>
      </c>
      <c r="E6" s="57">
        <v>15345</v>
      </c>
    </row>
    <row r="7" spans="1:5" ht="9" customHeight="1" x14ac:dyDescent="0.25">
      <c r="A7" s="19"/>
      <c r="B7" s="50"/>
      <c r="C7" s="50"/>
      <c r="D7" s="50"/>
      <c r="E7" s="50"/>
    </row>
    <row r="8" spans="1:5" ht="23.1" customHeight="1" x14ac:dyDescent="0.25">
      <c r="A8" s="19"/>
      <c r="B8" s="50" t="s">
        <v>1338</v>
      </c>
      <c r="C8" s="50">
        <f>SUM(C9:C13)</f>
        <v>4048</v>
      </c>
      <c r="D8" s="50">
        <f t="shared" ref="D8:E8" si="0">SUM(D9:D13)</f>
        <v>1927</v>
      </c>
      <c r="E8" s="50">
        <f t="shared" si="0"/>
        <v>2121</v>
      </c>
    </row>
    <row r="9" spans="1:5" ht="23.1" customHeight="1" x14ac:dyDescent="0.25">
      <c r="A9" s="19">
        <v>1</v>
      </c>
      <c r="B9" s="54" t="s">
        <v>25</v>
      </c>
      <c r="C9" s="54">
        <v>1060</v>
      </c>
      <c r="D9" s="54">
        <v>500</v>
      </c>
      <c r="E9" s="54">
        <v>560</v>
      </c>
    </row>
    <row r="10" spans="1:5" ht="23.1" customHeight="1" x14ac:dyDescent="0.25">
      <c r="A10" s="19">
        <v>2</v>
      </c>
      <c r="B10" s="54" t="s">
        <v>26</v>
      </c>
      <c r="C10" s="54">
        <v>656</v>
      </c>
      <c r="D10" s="54">
        <v>290</v>
      </c>
      <c r="E10" s="54">
        <v>366</v>
      </c>
    </row>
    <row r="11" spans="1:5" ht="23.1" customHeight="1" x14ac:dyDescent="0.25">
      <c r="A11" s="19">
        <v>3</v>
      </c>
      <c r="B11" s="54" t="s">
        <v>27</v>
      </c>
      <c r="C11" s="54">
        <v>1076</v>
      </c>
      <c r="D11" s="54">
        <v>554</v>
      </c>
      <c r="E11" s="54">
        <v>522</v>
      </c>
    </row>
    <row r="12" spans="1:5" ht="23.1" customHeight="1" x14ac:dyDescent="0.25">
      <c r="A12" s="19">
        <v>4</v>
      </c>
      <c r="B12" s="54" t="s">
        <v>28</v>
      </c>
      <c r="C12" s="54">
        <v>788</v>
      </c>
      <c r="D12" s="54">
        <v>375</v>
      </c>
      <c r="E12" s="54">
        <v>413</v>
      </c>
    </row>
    <row r="13" spans="1:5" ht="23.1" customHeight="1" x14ac:dyDescent="0.25">
      <c r="A13" s="19">
        <v>5</v>
      </c>
      <c r="B13" s="54" t="s">
        <v>29</v>
      </c>
      <c r="C13" s="54">
        <v>468</v>
      </c>
      <c r="D13" s="54">
        <v>208</v>
      </c>
      <c r="E13" s="54">
        <v>260</v>
      </c>
    </row>
    <row r="14" spans="1:5" ht="23.1" customHeight="1" x14ac:dyDescent="0.25">
      <c r="A14" s="19"/>
      <c r="B14" s="24" t="s">
        <v>1410</v>
      </c>
      <c r="C14" s="24">
        <f>SUM(C15:C28)</f>
        <v>25816</v>
      </c>
      <c r="D14" s="24">
        <f t="shared" ref="D14:E14" si="1">SUM(D15:D28)</f>
        <v>12592</v>
      </c>
      <c r="E14" s="24">
        <f t="shared" si="1"/>
        <v>13224</v>
      </c>
    </row>
    <row r="15" spans="1:5" ht="23.1" customHeight="1" x14ac:dyDescent="0.25">
      <c r="A15" s="19">
        <v>1</v>
      </c>
      <c r="B15" s="54" t="s">
        <v>459</v>
      </c>
      <c r="C15" s="54">
        <v>2129</v>
      </c>
      <c r="D15" s="54">
        <v>1243</v>
      </c>
      <c r="E15" s="54">
        <v>886</v>
      </c>
    </row>
    <row r="16" spans="1:5" ht="23.1" customHeight="1" x14ac:dyDescent="0.25">
      <c r="A16" s="19">
        <v>2</v>
      </c>
      <c r="B16" s="54" t="s">
        <v>460</v>
      </c>
      <c r="C16" s="54">
        <v>985</v>
      </c>
      <c r="D16" s="54">
        <v>494</v>
      </c>
      <c r="E16" s="54">
        <v>491</v>
      </c>
    </row>
    <row r="17" spans="1:5" ht="23.1" customHeight="1" x14ac:dyDescent="0.25">
      <c r="A17" s="19">
        <v>3</v>
      </c>
      <c r="B17" s="54" t="s">
        <v>461</v>
      </c>
      <c r="C17" s="54">
        <v>1443</v>
      </c>
      <c r="D17" s="54">
        <v>785</v>
      </c>
      <c r="E17" s="54">
        <v>658</v>
      </c>
    </row>
    <row r="18" spans="1:5" ht="23.1" customHeight="1" x14ac:dyDescent="0.25">
      <c r="A18" s="19">
        <v>4</v>
      </c>
      <c r="B18" s="54" t="s">
        <v>462</v>
      </c>
      <c r="C18" s="54">
        <v>1078</v>
      </c>
      <c r="D18" s="54">
        <v>500</v>
      </c>
      <c r="E18" s="54">
        <v>578</v>
      </c>
    </row>
    <row r="19" spans="1:5" ht="23.1" customHeight="1" x14ac:dyDescent="0.25">
      <c r="A19" s="19">
        <v>5</v>
      </c>
      <c r="B19" s="54" t="s">
        <v>463</v>
      </c>
      <c r="C19" s="54">
        <v>2539</v>
      </c>
      <c r="D19" s="54">
        <v>1145</v>
      </c>
      <c r="E19" s="54">
        <v>1394</v>
      </c>
    </row>
    <row r="20" spans="1:5" ht="23.1" customHeight="1" x14ac:dyDescent="0.25">
      <c r="A20" s="19">
        <v>6</v>
      </c>
      <c r="B20" s="54" t="s">
        <v>464</v>
      </c>
      <c r="C20" s="54">
        <v>1735</v>
      </c>
      <c r="D20" s="54">
        <v>768</v>
      </c>
      <c r="E20" s="54">
        <v>967</v>
      </c>
    </row>
    <row r="21" spans="1:5" ht="23.1" customHeight="1" x14ac:dyDescent="0.25">
      <c r="A21" s="19">
        <v>7</v>
      </c>
      <c r="B21" s="54" t="s">
        <v>465</v>
      </c>
      <c r="C21" s="54">
        <v>2506</v>
      </c>
      <c r="D21" s="54">
        <v>1125</v>
      </c>
      <c r="E21" s="54">
        <v>1381</v>
      </c>
    </row>
    <row r="22" spans="1:5" ht="23.1" customHeight="1" x14ac:dyDescent="0.25">
      <c r="A22" s="19">
        <v>8</v>
      </c>
      <c r="B22" s="54" t="s">
        <v>466</v>
      </c>
      <c r="C22" s="54">
        <v>539</v>
      </c>
      <c r="D22" s="54">
        <v>265</v>
      </c>
      <c r="E22" s="54">
        <v>274</v>
      </c>
    </row>
    <row r="23" spans="1:5" ht="23.1" customHeight="1" x14ac:dyDescent="0.25">
      <c r="A23" s="19">
        <v>9</v>
      </c>
      <c r="B23" s="54" t="s">
        <v>467</v>
      </c>
      <c r="C23" s="54">
        <v>1636</v>
      </c>
      <c r="D23" s="54">
        <v>765</v>
      </c>
      <c r="E23" s="54">
        <v>871</v>
      </c>
    </row>
    <row r="24" spans="1:5" ht="23.1" customHeight="1" x14ac:dyDescent="0.25">
      <c r="A24" s="19">
        <v>10</v>
      </c>
      <c r="B24" s="54" t="s">
        <v>468</v>
      </c>
      <c r="C24" s="54">
        <v>6457</v>
      </c>
      <c r="D24" s="54">
        <v>3225</v>
      </c>
      <c r="E24" s="54">
        <v>3232</v>
      </c>
    </row>
    <row r="25" spans="1:5" ht="23.1" customHeight="1" x14ac:dyDescent="0.25">
      <c r="A25" s="19">
        <v>11</v>
      </c>
      <c r="B25" s="54" t="s">
        <v>469</v>
      </c>
      <c r="C25" s="54">
        <v>1759</v>
      </c>
      <c r="D25" s="54">
        <v>842</v>
      </c>
      <c r="E25" s="54">
        <v>917</v>
      </c>
    </row>
    <row r="26" spans="1:5" ht="23.1" customHeight="1" x14ac:dyDescent="0.25">
      <c r="A26" s="19">
        <v>12</v>
      </c>
      <c r="B26" s="54" t="s">
        <v>132</v>
      </c>
      <c r="C26" s="54">
        <v>1086</v>
      </c>
      <c r="D26" s="54">
        <v>544</v>
      </c>
      <c r="E26" s="54">
        <v>542</v>
      </c>
    </row>
    <row r="27" spans="1:5" ht="23.1" customHeight="1" x14ac:dyDescent="0.25">
      <c r="A27" s="19">
        <v>13</v>
      </c>
      <c r="B27" s="54" t="s">
        <v>89</v>
      </c>
      <c r="C27" s="54">
        <v>829</v>
      </c>
      <c r="D27" s="54">
        <v>392</v>
      </c>
      <c r="E27" s="54">
        <v>437</v>
      </c>
    </row>
    <row r="28" spans="1:5" ht="23.1" customHeight="1" x14ac:dyDescent="0.25">
      <c r="A28" s="55">
        <v>14</v>
      </c>
      <c r="B28" s="56" t="s">
        <v>470</v>
      </c>
      <c r="C28" s="56">
        <v>1095</v>
      </c>
      <c r="D28" s="56">
        <v>499</v>
      </c>
      <c r="E28" s="56">
        <v>596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 Loilem District, Minenaung(Sub-Township)"/>
  </hyperlinks>
  <pageMargins left="0.75" right="0.5" top="0.5" bottom="0.2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sqref="A1:XFD1"/>
    </sheetView>
  </sheetViews>
  <sheetFormatPr defaultRowHeight="15" x14ac:dyDescent="0.25"/>
  <cols>
    <col min="1" max="1" width="8.42578125" customWidth="1"/>
    <col min="2" max="2" width="27.85546875" customWidth="1"/>
    <col min="3" max="5" width="13.7109375" customWidth="1"/>
  </cols>
  <sheetData>
    <row r="1" spans="1:5" ht="18.75" x14ac:dyDescent="0.3">
      <c r="A1" s="180" t="s">
        <v>1400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11.25" customHeight="1" x14ac:dyDescent="0.25">
      <c r="A3" s="20"/>
      <c r="B3" s="20"/>
      <c r="C3" s="20"/>
      <c r="D3" s="20"/>
      <c r="E3" s="20"/>
    </row>
    <row r="4" spans="1:5" ht="23.1" customHeight="1" x14ac:dyDescent="0.25">
      <c r="A4" s="173" t="s">
        <v>1339</v>
      </c>
      <c r="B4" s="173" t="s">
        <v>1422</v>
      </c>
      <c r="C4" s="174" t="s">
        <v>1340</v>
      </c>
      <c r="D4" s="175"/>
      <c r="E4" s="176"/>
    </row>
    <row r="5" spans="1:5" ht="23.1" customHeight="1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5" ht="23.1" customHeight="1" x14ac:dyDescent="0.25">
      <c r="A6" s="48"/>
      <c r="B6" s="26" t="s">
        <v>0</v>
      </c>
      <c r="C6" s="26">
        <v>30057</v>
      </c>
      <c r="D6" s="26">
        <v>15879</v>
      </c>
      <c r="E6" s="26">
        <v>14178</v>
      </c>
    </row>
    <row r="7" spans="1:5" ht="10.5" customHeight="1" x14ac:dyDescent="0.25">
      <c r="A7" s="23"/>
      <c r="B7" s="24"/>
      <c r="C7" s="24"/>
      <c r="D7" s="24"/>
      <c r="E7" s="24"/>
    </row>
    <row r="8" spans="1:5" ht="23.1" customHeight="1" x14ac:dyDescent="0.25">
      <c r="A8" s="23"/>
      <c r="B8" s="24" t="s">
        <v>1338</v>
      </c>
      <c r="C8" s="24">
        <f>SUM(C9:C11)</f>
        <v>2475</v>
      </c>
      <c r="D8" s="24">
        <f t="shared" ref="D8:E8" si="0">SUM(D9:D11)</f>
        <v>1331</v>
      </c>
      <c r="E8" s="24">
        <f t="shared" si="0"/>
        <v>1144</v>
      </c>
    </row>
    <row r="9" spans="1:5" ht="23.1" customHeight="1" x14ac:dyDescent="0.25">
      <c r="A9" s="23">
        <v>1</v>
      </c>
      <c r="B9" s="27" t="s">
        <v>25</v>
      </c>
      <c r="C9" s="27">
        <v>601</v>
      </c>
      <c r="D9" s="27">
        <v>318</v>
      </c>
      <c r="E9" s="27">
        <v>283</v>
      </c>
    </row>
    <row r="10" spans="1:5" ht="23.1" customHeight="1" x14ac:dyDescent="0.25">
      <c r="A10" s="23">
        <v>2</v>
      </c>
      <c r="B10" s="27" t="s">
        <v>26</v>
      </c>
      <c r="C10" s="27">
        <v>531</v>
      </c>
      <c r="D10" s="27">
        <v>264</v>
      </c>
      <c r="E10" s="27">
        <v>267</v>
      </c>
    </row>
    <row r="11" spans="1:5" ht="23.1" customHeight="1" x14ac:dyDescent="0.25">
      <c r="A11" s="23">
        <v>3</v>
      </c>
      <c r="B11" s="27" t="s">
        <v>27</v>
      </c>
      <c r="C11" s="27">
        <v>1343</v>
      </c>
      <c r="D11" s="27">
        <v>749</v>
      </c>
      <c r="E11" s="27">
        <v>594</v>
      </c>
    </row>
    <row r="12" spans="1:5" ht="23.1" customHeight="1" x14ac:dyDescent="0.25">
      <c r="A12" s="23"/>
      <c r="B12" s="24" t="s">
        <v>1410</v>
      </c>
      <c r="C12" s="24">
        <f>SUM(C13:C16)</f>
        <v>27582</v>
      </c>
      <c r="D12" s="24">
        <f t="shared" ref="D12:E12" si="1">SUM(D13:D16)</f>
        <v>14548</v>
      </c>
      <c r="E12" s="24">
        <f t="shared" si="1"/>
        <v>13034</v>
      </c>
    </row>
    <row r="13" spans="1:5" ht="23.1" customHeight="1" x14ac:dyDescent="0.25">
      <c r="A13" s="23">
        <v>1</v>
      </c>
      <c r="B13" s="27" t="s">
        <v>471</v>
      </c>
      <c r="C13" s="27">
        <v>4207</v>
      </c>
      <c r="D13" s="27">
        <v>2083</v>
      </c>
      <c r="E13" s="27">
        <v>2124</v>
      </c>
    </row>
    <row r="14" spans="1:5" ht="23.1" customHeight="1" x14ac:dyDescent="0.25">
      <c r="A14" s="23">
        <v>2</v>
      </c>
      <c r="B14" s="27" t="s">
        <v>472</v>
      </c>
      <c r="C14" s="27">
        <v>19367</v>
      </c>
      <c r="D14" s="27">
        <v>10475</v>
      </c>
      <c r="E14" s="27">
        <v>8892</v>
      </c>
    </row>
    <row r="15" spans="1:5" ht="23.1" customHeight="1" x14ac:dyDescent="0.25">
      <c r="A15" s="23">
        <v>3</v>
      </c>
      <c r="B15" s="27" t="s">
        <v>464</v>
      </c>
      <c r="C15" s="27">
        <v>2073</v>
      </c>
      <c r="D15" s="27">
        <v>1030</v>
      </c>
      <c r="E15" s="27">
        <v>1043</v>
      </c>
    </row>
    <row r="16" spans="1:5" ht="15.75" x14ac:dyDescent="0.25">
      <c r="A16" s="28">
        <v>4</v>
      </c>
      <c r="B16" s="29" t="s">
        <v>473</v>
      </c>
      <c r="C16" s="29">
        <v>1935</v>
      </c>
      <c r="D16" s="29">
        <v>960</v>
      </c>
      <c r="E16" s="29">
        <v>975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 Loilem District, Minesan (Monsan)Sub-Township"/>
  </hyperlinks>
  <pageMargins left="0.75" right="0.5" top="0.5" bottom="0.2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selection sqref="A1:E1"/>
    </sheetView>
  </sheetViews>
  <sheetFormatPr defaultRowHeight="15" x14ac:dyDescent="0.25"/>
  <cols>
    <col min="2" max="2" width="32.28515625" customWidth="1"/>
    <col min="3" max="5" width="15.7109375" customWidth="1"/>
  </cols>
  <sheetData>
    <row r="1" spans="1:8" ht="18.75" x14ac:dyDescent="0.3">
      <c r="A1" s="180" t="s">
        <v>1364</v>
      </c>
      <c r="B1" s="180"/>
      <c r="C1" s="180"/>
      <c r="D1" s="180"/>
      <c r="E1" s="180"/>
    </row>
    <row r="2" spans="1:8" ht="15.75" x14ac:dyDescent="0.25">
      <c r="A2" s="20"/>
      <c r="B2" s="20"/>
      <c r="C2" s="20"/>
      <c r="D2" s="20"/>
      <c r="E2" s="74" t="s">
        <v>1341</v>
      </c>
    </row>
    <row r="3" spans="1:8" ht="12" customHeight="1" x14ac:dyDescent="0.25">
      <c r="A3" s="20"/>
      <c r="B3" s="20"/>
      <c r="C3" s="20"/>
      <c r="D3" s="20"/>
      <c r="E3" s="20"/>
    </row>
    <row r="4" spans="1:8" ht="23.1" customHeight="1" x14ac:dyDescent="0.25">
      <c r="A4" s="173" t="s">
        <v>1339</v>
      </c>
      <c r="B4" s="173" t="s">
        <v>1422</v>
      </c>
      <c r="C4" s="174" t="s">
        <v>1340</v>
      </c>
      <c r="D4" s="175"/>
      <c r="E4" s="176"/>
    </row>
    <row r="5" spans="1:8" ht="23.1" customHeight="1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8" ht="23.1" customHeight="1" x14ac:dyDescent="0.25">
      <c r="A6" s="48"/>
      <c r="B6" s="26" t="s">
        <v>0</v>
      </c>
      <c r="C6" s="26">
        <v>33481</v>
      </c>
      <c r="D6" s="26">
        <v>16683</v>
      </c>
      <c r="E6" s="26">
        <v>16798</v>
      </c>
      <c r="F6" s="8"/>
      <c r="G6" s="8"/>
      <c r="H6" s="8"/>
    </row>
    <row r="7" spans="1:8" ht="9.75" customHeight="1" x14ac:dyDescent="0.25">
      <c r="A7" s="23"/>
      <c r="B7" s="24"/>
      <c r="C7" s="24"/>
      <c r="D7" s="24"/>
      <c r="E7" s="24"/>
    </row>
    <row r="8" spans="1:8" ht="23.1" customHeight="1" x14ac:dyDescent="0.25">
      <c r="A8" s="23"/>
      <c r="B8" s="24" t="s">
        <v>1338</v>
      </c>
      <c r="C8" s="24">
        <f>SUM(C9:C16)</f>
        <v>6484</v>
      </c>
      <c r="D8" s="24">
        <f t="shared" ref="D8:E8" si="0">SUM(D9:D16)</f>
        <v>3189</v>
      </c>
      <c r="E8" s="24">
        <f t="shared" si="0"/>
        <v>3295</v>
      </c>
    </row>
    <row r="9" spans="1:8" ht="23.1" customHeight="1" x14ac:dyDescent="0.25">
      <c r="A9" s="23">
        <v>1</v>
      </c>
      <c r="B9" s="27" t="s">
        <v>474</v>
      </c>
      <c r="C9" s="27">
        <v>1736</v>
      </c>
      <c r="D9" s="27">
        <v>889</v>
      </c>
      <c r="E9" s="27">
        <v>847</v>
      </c>
      <c r="F9" s="8"/>
    </row>
    <row r="10" spans="1:8" ht="23.1" customHeight="1" x14ac:dyDescent="0.25">
      <c r="A10" s="23">
        <v>2</v>
      </c>
      <c r="B10" s="27" t="s">
        <v>475</v>
      </c>
      <c r="C10" s="27">
        <v>1199</v>
      </c>
      <c r="D10" s="27">
        <v>598</v>
      </c>
      <c r="E10" s="27">
        <v>601</v>
      </c>
      <c r="F10" s="8"/>
    </row>
    <row r="11" spans="1:8" ht="23.1" customHeight="1" x14ac:dyDescent="0.25">
      <c r="A11" s="23">
        <v>3</v>
      </c>
      <c r="B11" s="27" t="s">
        <v>184</v>
      </c>
      <c r="C11" s="27">
        <v>542</v>
      </c>
      <c r="D11" s="27">
        <v>244</v>
      </c>
      <c r="E11" s="27">
        <v>298</v>
      </c>
      <c r="F11" s="8"/>
    </row>
    <row r="12" spans="1:8" ht="23.1" customHeight="1" x14ac:dyDescent="0.25">
      <c r="A12" s="23">
        <v>4</v>
      </c>
      <c r="B12" s="27" t="s">
        <v>476</v>
      </c>
      <c r="C12" s="27">
        <v>1047</v>
      </c>
      <c r="D12" s="27">
        <v>509</v>
      </c>
      <c r="E12" s="27">
        <v>538</v>
      </c>
      <c r="F12" s="8"/>
    </row>
    <row r="13" spans="1:8" ht="23.1" customHeight="1" x14ac:dyDescent="0.25">
      <c r="A13" s="23">
        <v>5</v>
      </c>
      <c r="B13" s="27" t="s">
        <v>477</v>
      </c>
      <c r="C13" s="27">
        <v>506</v>
      </c>
      <c r="D13" s="27">
        <v>256</v>
      </c>
      <c r="E13" s="27">
        <v>250</v>
      </c>
      <c r="F13" s="8"/>
    </row>
    <row r="14" spans="1:8" ht="23.1" customHeight="1" x14ac:dyDescent="0.25">
      <c r="A14" s="23">
        <v>6</v>
      </c>
      <c r="B14" s="27" t="s">
        <v>478</v>
      </c>
      <c r="C14" s="27">
        <v>739</v>
      </c>
      <c r="D14" s="27">
        <v>334</v>
      </c>
      <c r="E14" s="27">
        <v>405</v>
      </c>
      <c r="F14" s="8"/>
    </row>
    <row r="15" spans="1:8" ht="23.1" customHeight="1" x14ac:dyDescent="0.25">
      <c r="A15" s="23">
        <v>7</v>
      </c>
      <c r="B15" s="27" t="s">
        <v>479</v>
      </c>
      <c r="C15" s="27">
        <v>150</v>
      </c>
      <c r="D15" s="27">
        <v>74</v>
      </c>
      <c r="E15" s="27">
        <v>76</v>
      </c>
      <c r="F15" s="8"/>
    </row>
    <row r="16" spans="1:8" ht="23.1" customHeight="1" x14ac:dyDescent="0.25">
      <c r="A16" s="23">
        <v>8</v>
      </c>
      <c r="B16" s="27" t="s">
        <v>480</v>
      </c>
      <c r="C16" s="27">
        <v>565</v>
      </c>
      <c r="D16" s="27">
        <v>285</v>
      </c>
      <c r="E16" s="27">
        <v>280</v>
      </c>
      <c r="F16" s="8"/>
    </row>
    <row r="17" spans="1:6" ht="23.1" customHeight="1" x14ac:dyDescent="0.25">
      <c r="A17" s="23"/>
      <c r="B17" s="24" t="s">
        <v>1410</v>
      </c>
      <c r="C17" s="24">
        <f>SUM(C18:C28)</f>
        <v>26997</v>
      </c>
      <c r="D17" s="24">
        <f t="shared" ref="D17:E17" si="1">SUM(D18:D28)</f>
        <v>13494</v>
      </c>
      <c r="E17" s="24">
        <f t="shared" si="1"/>
        <v>13503</v>
      </c>
    </row>
    <row r="18" spans="1:6" ht="23.1" customHeight="1" x14ac:dyDescent="0.25">
      <c r="A18" s="23">
        <v>1</v>
      </c>
      <c r="B18" s="27" t="s">
        <v>481</v>
      </c>
      <c r="C18" s="27">
        <v>3011</v>
      </c>
      <c r="D18" s="27">
        <v>1682</v>
      </c>
      <c r="E18" s="27">
        <v>1329</v>
      </c>
      <c r="F18" s="8"/>
    </row>
    <row r="19" spans="1:6" ht="23.1" customHeight="1" x14ac:dyDescent="0.25">
      <c r="A19" s="23">
        <v>2</v>
      </c>
      <c r="B19" s="27" t="s">
        <v>482</v>
      </c>
      <c r="C19" s="27">
        <v>2545</v>
      </c>
      <c r="D19" s="27">
        <v>1300</v>
      </c>
      <c r="E19" s="27">
        <v>1245</v>
      </c>
      <c r="F19" s="8"/>
    </row>
    <row r="20" spans="1:6" ht="23.1" customHeight="1" x14ac:dyDescent="0.25">
      <c r="A20" s="23">
        <v>3</v>
      </c>
      <c r="B20" s="27" t="s">
        <v>317</v>
      </c>
      <c r="C20" s="27">
        <v>3185</v>
      </c>
      <c r="D20" s="27">
        <v>1496</v>
      </c>
      <c r="E20" s="27">
        <v>1689</v>
      </c>
      <c r="F20" s="8"/>
    </row>
    <row r="21" spans="1:6" ht="23.1" customHeight="1" x14ac:dyDescent="0.25">
      <c r="A21" s="23">
        <v>4</v>
      </c>
      <c r="B21" s="27" t="s">
        <v>483</v>
      </c>
      <c r="C21" s="27">
        <v>1201</v>
      </c>
      <c r="D21" s="27">
        <v>566</v>
      </c>
      <c r="E21" s="27">
        <v>635</v>
      </c>
      <c r="F21" s="8"/>
    </row>
    <row r="22" spans="1:6" ht="23.1" customHeight="1" x14ac:dyDescent="0.25">
      <c r="A22" s="23">
        <v>5</v>
      </c>
      <c r="B22" s="27" t="s">
        <v>484</v>
      </c>
      <c r="C22" s="27">
        <v>677</v>
      </c>
      <c r="D22" s="27">
        <v>311</v>
      </c>
      <c r="E22" s="27">
        <v>366</v>
      </c>
      <c r="F22" s="8"/>
    </row>
    <row r="23" spans="1:6" ht="23.1" customHeight="1" x14ac:dyDescent="0.25">
      <c r="A23" s="23">
        <v>6</v>
      </c>
      <c r="B23" s="27" t="s">
        <v>485</v>
      </c>
      <c r="C23" s="27">
        <v>1095</v>
      </c>
      <c r="D23" s="27">
        <v>546</v>
      </c>
      <c r="E23" s="27">
        <v>549</v>
      </c>
      <c r="F23" s="8"/>
    </row>
    <row r="24" spans="1:6" ht="23.1" customHeight="1" x14ac:dyDescent="0.25">
      <c r="A24" s="23">
        <v>7</v>
      </c>
      <c r="B24" s="27" t="s">
        <v>486</v>
      </c>
      <c r="C24" s="27">
        <v>2022</v>
      </c>
      <c r="D24" s="27">
        <v>977</v>
      </c>
      <c r="E24" s="27">
        <v>1045</v>
      </c>
      <c r="F24" s="8"/>
    </row>
    <row r="25" spans="1:6" ht="23.1" customHeight="1" x14ac:dyDescent="0.25">
      <c r="A25" s="23">
        <v>8</v>
      </c>
      <c r="B25" s="27" t="s">
        <v>487</v>
      </c>
      <c r="C25" s="27">
        <v>2116</v>
      </c>
      <c r="D25" s="27">
        <v>1081</v>
      </c>
      <c r="E25" s="27">
        <v>1035</v>
      </c>
      <c r="F25" s="8"/>
    </row>
    <row r="26" spans="1:6" ht="23.1" customHeight="1" x14ac:dyDescent="0.25">
      <c r="A26" s="23">
        <v>9</v>
      </c>
      <c r="B26" s="27" t="s">
        <v>488</v>
      </c>
      <c r="C26" s="27">
        <v>6650</v>
      </c>
      <c r="D26" s="27">
        <v>3314</v>
      </c>
      <c r="E26" s="27">
        <v>3336</v>
      </c>
      <c r="F26" s="8"/>
    </row>
    <row r="27" spans="1:6" ht="23.1" customHeight="1" x14ac:dyDescent="0.25">
      <c r="A27" s="23">
        <v>10</v>
      </c>
      <c r="B27" s="27" t="s">
        <v>489</v>
      </c>
      <c r="C27" s="27">
        <v>1892</v>
      </c>
      <c r="D27" s="27">
        <v>943</v>
      </c>
      <c r="E27" s="27">
        <v>949</v>
      </c>
      <c r="F27" s="8"/>
    </row>
    <row r="28" spans="1:6" ht="23.1" customHeight="1" x14ac:dyDescent="0.25">
      <c r="A28" s="28">
        <v>11</v>
      </c>
      <c r="B28" s="29" t="s">
        <v>490</v>
      </c>
      <c r="C28" s="29">
        <v>2603</v>
      </c>
      <c r="D28" s="29">
        <v>1278</v>
      </c>
      <c r="E28" s="29">
        <v>1325</v>
      </c>
      <c r="F28" s="8"/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Linkhe` District, Linkhe` Township"/>
  </hyperlinks>
  <pageMargins left="0.75" right="0.5" top="0.5" bottom="0.2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sqref="A1:XFD1"/>
    </sheetView>
  </sheetViews>
  <sheetFormatPr defaultRowHeight="15" x14ac:dyDescent="0.25"/>
  <cols>
    <col min="2" max="2" width="25.5703125" customWidth="1"/>
    <col min="3" max="5" width="15.7109375" customWidth="1"/>
  </cols>
  <sheetData>
    <row r="1" spans="1:5" ht="18.75" x14ac:dyDescent="0.3">
      <c r="A1" s="180" t="s">
        <v>1365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15.75" x14ac:dyDescent="0.25">
      <c r="A3" s="20"/>
      <c r="B3" s="20"/>
      <c r="C3" s="20"/>
      <c r="D3" s="20"/>
      <c r="E3" s="20"/>
    </row>
    <row r="4" spans="1:5" ht="23.1" customHeight="1" x14ac:dyDescent="0.25">
      <c r="A4" s="173" t="s">
        <v>1339</v>
      </c>
      <c r="B4" s="173" t="s">
        <v>1422</v>
      </c>
      <c r="C4" s="174" t="s">
        <v>1340</v>
      </c>
      <c r="D4" s="175"/>
      <c r="E4" s="176"/>
    </row>
    <row r="5" spans="1:5" ht="23.1" customHeight="1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5" ht="23.1" customHeight="1" x14ac:dyDescent="0.25">
      <c r="A6" s="48"/>
      <c r="B6" s="26" t="s">
        <v>0</v>
      </c>
      <c r="C6" s="26">
        <v>28640</v>
      </c>
      <c r="D6" s="26">
        <v>14054</v>
      </c>
      <c r="E6" s="26">
        <v>14586</v>
      </c>
    </row>
    <row r="7" spans="1:5" ht="12" customHeight="1" x14ac:dyDescent="0.25">
      <c r="A7" s="23"/>
      <c r="B7" s="24"/>
      <c r="C7" s="24"/>
      <c r="D7" s="24"/>
      <c r="E7" s="24"/>
    </row>
    <row r="8" spans="1:5" ht="23.1" customHeight="1" x14ac:dyDescent="0.25">
      <c r="A8" s="23"/>
      <c r="B8" s="24" t="s">
        <v>1338</v>
      </c>
      <c r="C8" s="24">
        <f>SUM(C9:C13)</f>
        <v>9767</v>
      </c>
      <c r="D8" s="24">
        <f t="shared" ref="D8:E8" si="0">SUM(D9:D13)</f>
        <v>4735</v>
      </c>
      <c r="E8" s="24">
        <f t="shared" si="0"/>
        <v>5032</v>
      </c>
    </row>
    <row r="9" spans="1:5" ht="23.1" customHeight="1" x14ac:dyDescent="0.25">
      <c r="A9" s="23">
        <v>1</v>
      </c>
      <c r="B9" s="27" t="s">
        <v>491</v>
      </c>
      <c r="C9" s="27">
        <v>2104</v>
      </c>
      <c r="D9" s="27">
        <v>962</v>
      </c>
      <c r="E9" s="27">
        <v>1142</v>
      </c>
    </row>
    <row r="10" spans="1:5" ht="23.1" customHeight="1" x14ac:dyDescent="0.25">
      <c r="A10" s="23">
        <v>2</v>
      </c>
      <c r="B10" s="27" t="s">
        <v>492</v>
      </c>
      <c r="C10" s="27">
        <v>3956</v>
      </c>
      <c r="D10" s="27">
        <v>2013</v>
      </c>
      <c r="E10" s="27">
        <v>1943</v>
      </c>
    </row>
    <row r="11" spans="1:5" ht="23.1" customHeight="1" x14ac:dyDescent="0.25">
      <c r="A11" s="23">
        <v>3</v>
      </c>
      <c r="B11" s="27" t="s">
        <v>493</v>
      </c>
      <c r="C11" s="27">
        <v>1873</v>
      </c>
      <c r="D11" s="27">
        <v>876</v>
      </c>
      <c r="E11" s="27">
        <v>997</v>
      </c>
    </row>
    <row r="12" spans="1:5" ht="23.1" customHeight="1" x14ac:dyDescent="0.25">
      <c r="A12" s="23">
        <v>4</v>
      </c>
      <c r="B12" s="27" t="s">
        <v>494</v>
      </c>
      <c r="C12" s="27">
        <v>952</v>
      </c>
      <c r="D12" s="27">
        <v>460</v>
      </c>
      <c r="E12" s="27">
        <v>492</v>
      </c>
    </row>
    <row r="13" spans="1:5" ht="23.1" customHeight="1" x14ac:dyDescent="0.25">
      <c r="A13" s="23">
        <v>5</v>
      </c>
      <c r="B13" s="27" t="s">
        <v>495</v>
      </c>
      <c r="C13" s="27">
        <v>882</v>
      </c>
      <c r="D13" s="27">
        <v>424</v>
      </c>
      <c r="E13" s="27">
        <v>458</v>
      </c>
    </row>
    <row r="14" spans="1:5" ht="23.1" customHeight="1" x14ac:dyDescent="0.25">
      <c r="A14" s="23"/>
      <c r="B14" s="24" t="s">
        <v>1410</v>
      </c>
      <c r="C14" s="24">
        <f>SUM(C15:C25)</f>
        <v>18873</v>
      </c>
      <c r="D14" s="24">
        <f t="shared" ref="D14:E14" si="1">SUM(D15:D25)</f>
        <v>9319</v>
      </c>
      <c r="E14" s="24">
        <f t="shared" si="1"/>
        <v>9554</v>
      </c>
    </row>
    <row r="15" spans="1:5" ht="23.1" customHeight="1" x14ac:dyDescent="0.25">
      <c r="A15" s="23">
        <v>1</v>
      </c>
      <c r="B15" s="27" t="s">
        <v>496</v>
      </c>
      <c r="C15" s="27">
        <v>1656</v>
      </c>
      <c r="D15" s="27">
        <v>893</v>
      </c>
      <c r="E15" s="27">
        <v>763</v>
      </c>
    </row>
    <row r="16" spans="1:5" ht="23.1" customHeight="1" x14ac:dyDescent="0.25">
      <c r="A16" s="23">
        <v>2</v>
      </c>
      <c r="B16" s="27" t="s">
        <v>497</v>
      </c>
      <c r="C16" s="27">
        <v>1068</v>
      </c>
      <c r="D16" s="27">
        <v>516</v>
      </c>
      <c r="E16" s="27">
        <v>552</v>
      </c>
    </row>
    <row r="17" spans="1:5" ht="23.1" customHeight="1" x14ac:dyDescent="0.25">
      <c r="A17" s="23">
        <v>3</v>
      </c>
      <c r="B17" s="27" t="s">
        <v>498</v>
      </c>
      <c r="C17" s="27">
        <v>262</v>
      </c>
      <c r="D17" s="27">
        <v>126</v>
      </c>
      <c r="E17" s="27">
        <v>136</v>
      </c>
    </row>
    <row r="18" spans="1:5" ht="23.1" customHeight="1" x14ac:dyDescent="0.25">
      <c r="A18" s="23">
        <v>4</v>
      </c>
      <c r="B18" s="27" t="s">
        <v>448</v>
      </c>
      <c r="C18" s="27">
        <v>1854</v>
      </c>
      <c r="D18" s="27">
        <v>882</v>
      </c>
      <c r="E18" s="27">
        <v>972</v>
      </c>
    </row>
    <row r="19" spans="1:5" ht="23.1" customHeight="1" x14ac:dyDescent="0.25">
      <c r="A19" s="23">
        <v>5</v>
      </c>
      <c r="B19" s="27" t="s">
        <v>431</v>
      </c>
      <c r="C19" s="27">
        <v>3618</v>
      </c>
      <c r="D19" s="27">
        <v>1796</v>
      </c>
      <c r="E19" s="27">
        <v>1822</v>
      </c>
    </row>
    <row r="20" spans="1:5" ht="23.1" customHeight="1" x14ac:dyDescent="0.25">
      <c r="A20" s="23">
        <v>6</v>
      </c>
      <c r="B20" s="27" t="s">
        <v>499</v>
      </c>
      <c r="C20" s="27">
        <v>4279</v>
      </c>
      <c r="D20" s="27">
        <v>2174</v>
      </c>
      <c r="E20" s="27">
        <v>2105</v>
      </c>
    </row>
    <row r="21" spans="1:5" ht="23.1" customHeight="1" x14ac:dyDescent="0.25">
      <c r="A21" s="23">
        <v>7</v>
      </c>
      <c r="B21" s="27" t="s">
        <v>500</v>
      </c>
      <c r="C21" s="27">
        <v>1240</v>
      </c>
      <c r="D21" s="27">
        <v>577</v>
      </c>
      <c r="E21" s="27">
        <v>663</v>
      </c>
    </row>
    <row r="22" spans="1:5" ht="23.1" customHeight="1" x14ac:dyDescent="0.25">
      <c r="A22" s="23">
        <v>8</v>
      </c>
      <c r="B22" s="27" t="s">
        <v>501</v>
      </c>
      <c r="C22" s="27">
        <v>1128</v>
      </c>
      <c r="D22" s="27">
        <v>540</v>
      </c>
      <c r="E22" s="27">
        <v>588</v>
      </c>
    </row>
    <row r="23" spans="1:5" ht="23.1" customHeight="1" x14ac:dyDescent="0.25">
      <c r="A23" s="23">
        <v>9</v>
      </c>
      <c r="B23" s="27" t="s">
        <v>502</v>
      </c>
      <c r="C23" s="27">
        <v>1683</v>
      </c>
      <c r="D23" s="27">
        <v>728</v>
      </c>
      <c r="E23" s="27">
        <v>955</v>
      </c>
    </row>
    <row r="24" spans="1:5" ht="23.1" customHeight="1" x14ac:dyDescent="0.25">
      <c r="A24" s="23">
        <v>10</v>
      </c>
      <c r="B24" s="27" t="s">
        <v>503</v>
      </c>
      <c r="C24" s="27">
        <v>1431</v>
      </c>
      <c r="D24" s="27">
        <v>766</v>
      </c>
      <c r="E24" s="27">
        <v>665</v>
      </c>
    </row>
    <row r="25" spans="1:5" ht="23.1" customHeight="1" x14ac:dyDescent="0.25">
      <c r="A25" s="28">
        <v>11</v>
      </c>
      <c r="B25" s="29" t="s">
        <v>504</v>
      </c>
      <c r="C25" s="29">
        <v>654</v>
      </c>
      <c r="D25" s="29">
        <v>321</v>
      </c>
      <c r="E25" s="29">
        <v>333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Linkhe` District,   Mone Township"/>
  </hyperlinks>
  <pageMargins left="0.75" right="0.5" top="0.5" bottom="0.2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sqref="A1:XFD1"/>
    </sheetView>
  </sheetViews>
  <sheetFormatPr defaultRowHeight="15" x14ac:dyDescent="0.25"/>
  <cols>
    <col min="2" max="2" width="20.5703125" customWidth="1"/>
    <col min="3" max="5" width="15.7109375" customWidth="1"/>
  </cols>
  <sheetData>
    <row r="1" spans="1:8" ht="18.75" x14ac:dyDescent="0.3">
      <c r="A1" s="180" t="s">
        <v>1366</v>
      </c>
      <c r="B1" s="180"/>
      <c r="C1" s="180"/>
      <c r="D1" s="180"/>
      <c r="E1" s="180"/>
    </row>
    <row r="2" spans="1:8" ht="15.75" x14ac:dyDescent="0.25">
      <c r="A2" s="20"/>
      <c r="B2" s="20"/>
      <c r="C2" s="20"/>
      <c r="D2" s="20"/>
      <c r="E2" s="74" t="s">
        <v>1341</v>
      </c>
    </row>
    <row r="3" spans="1:8" ht="15.75" x14ac:dyDescent="0.25">
      <c r="A3" s="20"/>
      <c r="B3" s="20"/>
      <c r="C3" s="20"/>
      <c r="D3" s="20"/>
      <c r="E3" s="20"/>
    </row>
    <row r="4" spans="1:8" ht="23.1" customHeight="1" x14ac:dyDescent="0.25">
      <c r="A4" s="173" t="s">
        <v>1339</v>
      </c>
      <c r="B4" s="173" t="s">
        <v>1422</v>
      </c>
      <c r="C4" s="174" t="s">
        <v>1340</v>
      </c>
      <c r="D4" s="175"/>
      <c r="E4" s="176"/>
    </row>
    <row r="5" spans="1:8" ht="23.1" customHeight="1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8" ht="23.1" customHeight="1" x14ac:dyDescent="0.25">
      <c r="A6" s="48"/>
      <c r="B6" s="26" t="s">
        <v>0</v>
      </c>
      <c r="C6" s="26">
        <v>33810</v>
      </c>
      <c r="D6" s="26">
        <v>16546</v>
      </c>
      <c r="E6" s="26">
        <v>17264</v>
      </c>
      <c r="F6" s="8"/>
      <c r="G6" s="8"/>
      <c r="H6" s="8"/>
    </row>
    <row r="7" spans="1:8" ht="15" customHeight="1" x14ac:dyDescent="0.25">
      <c r="A7" s="23"/>
      <c r="B7" s="24"/>
      <c r="C7" s="24"/>
      <c r="D7" s="24"/>
      <c r="E7" s="24"/>
    </row>
    <row r="8" spans="1:8" ht="23.1" customHeight="1" x14ac:dyDescent="0.25">
      <c r="A8" s="23"/>
      <c r="B8" s="24" t="s">
        <v>1338</v>
      </c>
      <c r="C8" s="24">
        <f>SUM(C9:C15)</f>
        <v>5222</v>
      </c>
      <c r="D8" s="24">
        <f t="shared" ref="D8:E8" si="0">SUM(D9:D15)</f>
        <v>2686</v>
      </c>
      <c r="E8" s="24">
        <f t="shared" si="0"/>
        <v>2536</v>
      </c>
    </row>
    <row r="9" spans="1:8" ht="23.1" customHeight="1" x14ac:dyDescent="0.25">
      <c r="A9" s="23">
        <v>1</v>
      </c>
      <c r="B9" s="27" t="s">
        <v>505</v>
      </c>
      <c r="C9" s="27">
        <v>342</v>
      </c>
      <c r="D9" s="27">
        <v>185</v>
      </c>
      <c r="E9" s="27">
        <v>157</v>
      </c>
      <c r="F9" s="8"/>
    </row>
    <row r="10" spans="1:8" ht="23.1" customHeight="1" x14ac:dyDescent="0.25">
      <c r="A10" s="23">
        <v>2</v>
      </c>
      <c r="B10" s="27" t="s">
        <v>184</v>
      </c>
      <c r="C10" s="27">
        <v>1780</v>
      </c>
      <c r="D10" s="27">
        <v>903</v>
      </c>
      <c r="E10" s="27">
        <v>877</v>
      </c>
      <c r="F10" s="8"/>
    </row>
    <row r="11" spans="1:8" ht="23.1" customHeight="1" x14ac:dyDescent="0.25">
      <c r="A11" s="23">
        <v>3</v>
      </c>
      <c r="B11" s="27" t="s">
        <v>506</v>
      </c>
      <c r="C11" s="27">
        <v>930</v>
      </c>
      <c r="D11" s="27">
        <v>467</v>
      </c>
      <c r="E11" s="27">
        <v>463</v>
      </c>
      <c r="F11" s="8"/>
    </row>
    <row r="12" spans="1:8" ht="23.1" customHeight="1" x14ac:dyDescent="0.25">
      <c r="A12" s="23">
        <v>4</v>
      </c>
      <c r="B12" s="27" t="s">
        <v>507</v>
      </c>
      <c r="C12" s="27">
        <v>420</v>
      </c>
      <c r="D12" s="27">
        <v>221</v>
      </c>
      <c r="E12" s="27">
        <v>199</v>
      </c>
      <c r="F12" s="8"/>
    </row>
    <row r="13" spans="1:8" ht="23.1" customHeight="1" x14ac:dyDescent="0.25">
      <c r="A13" s="23">
        <v>5</v>
      </c>
      <c r="B13" s="27" t="s">
        <v>508</v>
      </c>
      <c r="C13" s="27">
        <v>607</v>
      </c>
      <c r="D13" s="27">
        <v>302</v>
      </c>
      <c r="E13" s="27">
        <v>305</v>
      </c>
      <c r="F13" s="8"/>
    </row>
    <row r="14" spans="1:8" ht="23.1" customHeight="1" x14ac:dyDescent="0.25">
      <c r="A14" s="23">
        <v>6</v>
      </c>
      <c r="B14" s="27" t="s">
        <v>509</v>
      </c>
      <c r="C14" s="27">
        <v>163</v>
      </c>
      <c r="D14" s="27">
        <v>76</v>
      </c>
      <c r="E14" s="27">
        <v>87</v>
      </c>
      <c r="F14" s="8"/>
    </row>
    <row r="15" spans="1:8" ht="23.1" customHeight="1" x14ac:dyDescent="0.25">
      <c r="A15" s="23">
        <v>7</v>
      </c>
      <c r="B15" s="27" t="s">
        <v>510</v>
      </c>
      <c r="C15" s="27">
        <v>980</v>
      </c>
      <c r="D15" s="27">
        <v>532</v>
      </c>
      <c r="E15" s="27">
        <v>448</v>
      </c>
      <c r="F15" s="8"/>
    </row>
    <row r="16" spans="1:8" ht="23.1" customHeight="1" x14ac:dyDescent="0.25">
      <c r="A16" s="23"/>
      <c r="B16" s="49" t="s">
        <v>1410</v>
      </c>
      <c r="C16" s="24">
        <f>SUM(C17:C24)</f>
        <v>28588</v>
      </c>
      <c r="D16" s="24">
        <f t="shared" ref="D16:E16" si="1">SUM(D17:D24)</f>
        <v>13860</v>
      </c>
      <c r="E16" s="24">
        <f t="shared" si="1"/>
        <v>14728</v>
      </c>
    </row>
    <row r="17" spans="1:6" ht="23.1" customHeight="1" x14ac:dyDescent="0.25">
      <c r="A17" s="23">
        <v>1</v>
      </c>
      <c r="B17" s="27" t="s">
        <v>511</v>
      </c>
      <c r="C17" s="27">
        <v>1927</v>
      </c>
      <c r="D17" s="27">
        <v>989</v>
      </c>
      <c r="E17" s="27">
        <v>938</v>
      </c>
      <c r="F17" s="8"/>
    </row>
    <row r="18" spans="1:6" ht="23.1" customHeight="1" x14ac:dyDescent="0.25">
      <c r="A18" s="23">
        <v>2</v>
      </c>
      <c r="B18" s="27" t="s">
        <v>512</v>
      </c>
      <c r="C18" s="27">
        <v>4240</v>
      </c>
      <c r="D18" s="27">
        <v>2008</v>
      </c>
      <c r="E18" s="27">
        <v>2232</v>
      </c>
      <c r="F18" s="8"/>
    </row>
    <row r="19" spans="1:6" ht="23.1" customHeight="1" x14ac:dyDescent="0.25">
      <c r="A19" s="23">
        <v>3</v>
      </c>
      <c r="B19" s="27" t="s">
        <v>513</v>
      </c>
      <c r="C19" s="27">
        <v>444</v>
      </c>
      <c r="D19" s="27">
        <v>208</v>
      </c>
      <c r="E19" s="27">
        <v>236</v>
      </c>
      <c r="F19" s="8"/>
    </row>
    <row r="20" spans="1:6" ht="23.1" customHeight="1" x14ac:dyDescent="0.25">
      <c r="A20" s="23">
        <v>4</v>
      </c>
      <c r="B20" s="27" t="s">
        <v>514</v>
      </c>
      <c r="C20" s="27">
        <v>1560</v>
      </c>
      <c r="D20" s="27">
        <v>757</v>
      </c>
      <c r="E20" s="27">
        <v>803</v>
      </c>
      <c r="F20" s="8"/>
    </row>
    <row r="21" spans="1:6" ht="23.1" customHeight="1" x14ac:dyDescent="0.25">
      <c r="A21" s="23">
        <v>5</v>
      </c>
      <c r="B21" s="27" t="s">
        <v>515</v>
      </c>
      <c r="C21" s="27">
        <v>932</v>
      </c>
      <c r="D21" s="27">
        <v>467</v>
      </c>
      <c r="E21" s="27">
        <v>465</v>
      </c>
      <c r="F21" s="8"/>
    </row>
    <row r="22" spans="1:6" ht="23.1" customHeight="1" x14ac:dyDescent="0.25">
      <c r="A22" s="23">
        <v>6</v>
      </c>
      <c r="B22" s="27" t="s">
        <v>516</v>
      </c>
      <c r="C22" s="27">
        <v>9460</v>
      </c>
      <c r="D22" s="27">
        <v>4575</v>
      </c>
      <c r="E22" s="27">
        <v>4885</v>
      </c>
      <c r="F22" s="8"/>
    </row>
    <row r="23" spans="1:6" ht="23.1" customHeight="1" x14ac:dyDescent="0.25">
      <c r="A23" s="23">
        <v>7</v>
      </c>
      <c r="B23" s="27" t="s">
        <v>362</v>
      </c>
      <c r="C23" s="27">
        <v>5816</v>
      </c>
      <c r="D23" s="27">
        <v>2763</v>
      </c>
      <c r="E23" s="27">
        <v>3053</v>
      </c>
      <c r="F23" s="8"/>
    </row>
    <row r="24" spans="1:6" ht="23.1" customHeight="1" x14ac:dyDescent="0.25">
      <c r="A24" s="28">
        <v>8</v>
      </c>
      <c r="B24" s="29" t="s">
        <v>517</v>
      </c>
      <c r="C24" s="29">
        <v>4209</v>
      </c>
      <c r="D24" s="29">
        <v>2093</v>
      </c>
      <c r="E24" s="29">
        <v>2116</v>
      </c>
      <c r="F24" s="8"/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Linkhe` District, Maukme Township"/>
  </hyperlinks>
  <pageMargins left="0.75" right="0.5" top="0.5" bottom="0.2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sqref="A1:XFD1"/>
    </sheetView>
  </sheetViews>
  <sheetFormatPr defaultRowHeight="15" x14ac:dyDescent="0.25"/>
  <cols>
    <col min="2" max="2" width="25.5703125" customWidth="1"/>
    <col min="3" max="5" width="15.7109375" customWidth="1"/>
  </cols>
  <sheetData>
    <row r="1" spans="1:8" ht="18.75" x14ac:dyDescent="0.3">
      <c r="A1" s="180" t="s">
        <v>1367</v>
      </c>
      <c r="B1" s="180"/>
      <c r="C1" s="180"/>
      <c r="D1" s="180"/>
      <c r="E1" s="180"/>
    </row>
    <row r="2" spans="1:8" ht="15.75" x14ac:dyDescent="0.25">
      <c r="A2" s="20"/>
      <c r="B2" s="20"/>
      <c r="C2" s="20"/>
      <c r="D2" s="20"/>
      <c r="E2" s="74" t="s">
        <v>1341</v>
      </c>
    </row>
    <row r="3" spans="1:8" ht="9.75" customHeight="1" x14ac:dyDescent="0.25">
      <c r="A3" s="20"/>
      <c r="B3" s="20"/>
      <c r="C3" s="20"/>
      <c r="D3" s="20"/>
      <c r="E3" s="20"/>
    </row>
    <row r="4" spans="1:8" ht="23.1" customHeight="1" x14ac:dyDescent="0.25">
      <c r="A4" s="173" t="s">
        <v>1339</v>
      </c>
      <c r="B4" s="173" t="s">
        <v>1422</v>
      </c>
      <c r="C4" s="174" t="s">
        <v>1340</v>
      </c>
      <c r="D4" s="175"/>
      <c r="E4" s="176"/>
    </row>
    <row r="5" spans="1:8" ht="23.1" customHeight="1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8" ht="23.1" customHeight="1" x14ac:dyDescent="0.25">
      <c r="A6" s="48"/>
      <c r="B6" s="26" t="s">
        <v>0</v>
      </c>
      <c r="C6" s="26">
        <v>25926</v>
      </c>
      <c r="D6" s="26">
        <v>13829</v>
      </c>
      <c r="E6" s="26">
        <v>12097</v>
      </c>
      <c r="F6" s="8"/>
      <c r="G6" s="8"/>
      <c r="H6" s="8"/>
    </row>
    <row r="7" spans="1:8" ht="12.75" customHeight="1" x14ac:dyDescent="0.25">
      <c r="A7" s="23"/>
      <c r="B7" s="24"/>
      <c r="C7" s="24"/>
      <c r="D7" s="24"/>
      <c r="E7" s="24"/>
    </row>
    <row r="8" spans="1:8" ht="23.1" customHeight="1" x14ac:dyDescent="0.25">
      <c r="A8" s="23"/>
      <c r="B8" s="24" t="s">
        <v>1338</v>
      </c>
      <c r="C8" s="24">
        <f>SUM(C9:C12)</f>
        <v>8972</v>
      </c>
      <c r="D8" s="24">
        <f t="shared" ref="D8:E8" si="0">SUM(D9:D12)</f>
        <v>4712</v>
      </c>
      <c r="E8" s="24">
        <f t="shared" si="0"/>
        <v>4260</v>
      </c>
    </row>
    <row r="9" spans="1:8" ht="23.1" customHeight="1" x14ac:dyDescent="0.25">
      <c r="A9" s="23">
        <v>1</v>
      </c>
      <c r="B9" s="27" t="s">
        <v>157</v>
      </c>
      <c r="C9" s="27">
        <v>2465</v>
      </c>
      <c r="D9" s="27">
        <v>1491</v>
      </c>
      <c r="E9" s="27">
        <v>974</v>
      </c>
      <c r="F9" s="8"/>
    </row>
    <row r="10" spans="1:8" ht="23.1" customHeight="1" x14ac:dyDescent="0.25">
      <c r="A10" s="23">
        <v>2</v>
      </c>
      <c r="B10" s="27" t="s">
        <v>108</v>
      </c>
      <c r="C10" s="27">
        <v>986</v>
      </c>
      <c r="D10" s="27">
        <v>495</v>
      </c>
      <c r="E10" s="27">
        <v>491</v>
      </c>
      <c r="F10" s="8"/>
    </row>
    <row r="11" spans="1:8" ht="23.1" customHeight="1" x14ac:dyDescent="0.25">
      <c r="A11" s="23">
        <v>3</v>
      </c>
      <c r="B11" s="27" t="s">
        <v>518</v>
      </c>
      <c r="C11" s="27">
        <v>561</v>
      </c>
      <c r="D11" s="27">
        <v>280</v>
      </c>
      <c r="E11" s="27">
        <v>281</v>
      </c>
      <c r="F11" s="8"/>
    </row>
    <row r="12" spans="1:8" ht="23.1" customHeight="1" x14ac:dyDescent="0.25">
      <c r="A12" s="23">
        <v>4</v>
      </c>
      <c r="B12" s="27" t="s">
        <v>109</v>
      </c>
      <c r="C12" s="27">
        <v>4960</v>
      </c>
      <c r="D12" s="27">
        <v>2446</v>
      </c>
      <c r="E12" s="27">
        <v>2514</v>
      </c>
      <c r="F12" s="8"/>
    </row>
    <row r="13" spans="1:8" ht="23.1" customHeight="1" x14ac:dyDescent="0.25">
      <c r="A13" s="23"/>
      <c r="B13" s="24" t="s">
        <v>1410</v>
      </c>
      <c r="C13" s="24">
        <f>SUM(C14:C23)</f>
        <v>16954</v>
      </c>
      <c r="D13" s="24">
        <f t="shared" ref="D13:E13" si="1">SUM(D14:D23)</f>
        <v>9117</v>
      </c>
      <c r="E13" s="24">
        <f t="shared" si="1"/>
        <v>7837</v>
      </c>
    </row>
    <row r="14" spans="1:8" ht="23.1" customHeight="1" x14ac:dyDescent="0.25">
      <c r="A14" s="23">
        <v>1</v>
      </c>
      <c r="B14" s="27" t="s">
        <v>519</v>
      </c>
      <c r="C14" s="27">
        <v>612</v>
      </c>
      <c r="D14" s="27">
        <v>343</v>
      </c>
      <c r="E14" s="27">
        <v>269</v>
      </c>
      <c r="F14" s="8"/>
    </row>
    <row r="15" spans="1:8" ht="23.1" customHeight="1" x14ac:dyDescent="0.25">
      <c r="A15" s="23">
        <v>2</v>
      </c>
      <c r="B15" s="27" t="s">
        <v>113</v>
      </c>
      <c r="C15" s="27">
        <v>666</v>
      </c>
      <c r="D15" s="27">
        <v>371</v>
      </c>
      <c r="E15" s="27">
        <v>295</v>
      </c>
      <c r="F15" s="8"/>
    </row>
    <row r="16" spans="1:8" ht="23.1" customHeight="1" x14ac:dyDescent="0.25">
      <c r="A16" s="23">
        <v>3</v>
      </c>
      <c r="B16" s="27" t="s">
        <v>520</v>
      </c>
      <c r="C16" s="27">
        <v>1398</v>
      </c>
      <c r="D16" s="27">
        <v>744</v>
      </c>
      <c r="E16" s="27">
        <v>654</v>
      </c>
      <c r="F16" s="8"/>
    </row>
    <row r="17" spans="1:6" ht="23.1" customHeight="1" x14ac:dyDescent="0.25">
      <c r="A17" s="23">
        <v>4</v>
      </c>
      <c r="B17" s="27" t="s">
        <v>521</v>
      </c>
      <c r="C17" s="27">
        <v>108</v>
      </c>
      <c r="D17" s="27">
        <v>58</v>
      </c>
      <c r="E17" s="27">
        <v>50</v>
      </c>
      <c r="F17" s="8"/>
    </row>
    <row r="18" spans="1:6" ht="23.1" customHeight="1" x14ac:dyDescent="0.25">
      <c r="A18" s="23">
        <v>5</v>
      </c>
      <c r="B18" s="27" t="s">
        <v>371</v>
      </c>
      <c r="C18" s="27">
        <v>351</v>
      </c>
      <c r="D18" s="27">
        <v>181</v>
      </c>
      <c r="E18" s="27">
        <v>170</v>
      </c>
      <c r="F18" s="8"/>
    </row>
    <row r="19" spans="1:6" ht="23.1" customHeight="1" x14ac:dyDescent="0.25">
      <c r="A19" s="23">
        <v>6</v>
      </c>
      <c r="B19" s="27" t="s">
        <v>522</v>
      </c>
      <c r="C19" s="27">
        <v>2316</v>
      </c>
      <c r="D19" s="27">
        <v>1344</v>
      </c>
      <c r="E19" s="27">
        <v>972</v>
      </c>
      <c r="F19" s="8"/>
    </row>
    <row r="20" spans="1:6" ht="23.1" customHeight="1" x14ac:dyDescent="0.25">
      <c r="A20" s="23">
        <v>7</v>
      </c>
      <c r="B20" s="27" t="s">
        <v>523</v>
      </c>
      <c r="C20" s="27">
        <v>870</v>
      </c>
      <c r="D20" s="27">
        <v>490</v>
      </c>
      <c r="E20" s="27">
        <v>380</v>
      </c>
      <c r="F20" s="8"/>
    </row>
    <row r="21" spans="1:6" ht="23.1" customHeight="1" x14ac:dyDescent="0.25">
      <c r="A21" s="23">
        <v>8</v>
      </c>
      <c r="B21" s="27" t="s">
        <v>524</v>
      </c>
      <c r="C21" s="27">
        <v>575</v>
      </c>
      <c r="D21" s="27">
        <v>331</v>
      </c>
      <c r="E21" s="27">
        <v>244</v>
      </c>
      <c r="F21" s="8"/>
    </row>
    <row r="22" spans="1:6" ht="23.1" customHeight="1" x14ac:dyDescent="0.25">
      <c r="A22" s="23">
        <v>9</v>
      </c>
      <c r="B22" s="27" t="s">
        <v>525</v>
      </c>
      <c r="C22" s="27">
        <v>16</v>
      </c>
      <c r="D22" s="27">
        <v>13</v>
      </c>
      <c r="E22" s="27">
        <v>3</v>
      </c>
      <c r="F22" s="8"/>
    </row>
    <row r="23" spans="1:6" ht="23.1" customHeight="1" x14ac:dyDescent="0.25">
      <c r="A23" s="28">
        <v>10</v>
      </c>
      <c r="B23" s="29" t="s">
        <v>526</v>
      </c>
      <c r="C23" s="29">
        <v>10042</v>
      </c>
      <c r="D23" s="29">
        <v>5242</v>
      </c>
      <c r="E23" s="29">
        <v>4800</v>
      </c>
      <c r="F23" s="8"/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Linkhe` District,   Minepan Township"/>
  </hyperlinks>
  <pageMargins left="0.75" right="0.5" top="0.5" bottom="0.2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sqref="A1:XFD1"/>
    </sheetView>
  </sheetViews>
  <sheetFormatPr defaultRowHeight="15" x14ac:dyDescent="0.25"/>
  <cols>
    <col min="2" max="2" width="25.42578125" customWidth="1"/>
    <col min="3" max="5" width="15.7109375" customWidth="1"/>
  </cols>
  <sheetData>
    <row r="1" spans="1:8" ht="18.75" x14ac:dyDescent="0.3">
      <c r="A1" s="180" t="s">
        <v>1368</v>
      </c>
      <c r="B1" s="180"/>
      <c r="C1" s="180"/>
      <c r="D1" s="180"/>
      <c r="E1" s="180"/>
    </row>
    <row r="2" spans="1:8" ht="15.75" x14ac:dyDescent="0.25">
      <c r="A2" s="20"/>
      <c r="B2" s="20"/>
      <c r="C2" s="20"/>
      <c r="D2" s="20"/>
      <c r="E2" s="74" t="s">
        <v>1341</v>
      </c>
    </row>
    <row r="3" spans="1:8" ht="15.75" x14ac:dyDescent="0.25">
      <c r="A3" s="20"/>
      <c r="B3" s="20"/>
      <c r="C3" s="20"/>
      <c r="D3" s="20"/>
      <c r="E3" s="20"/>
    </row>
    <row r="4" spans="1:8" ht="24.95" customHeight="1" x14ac:dyDescent="0.25">
      <c r="A4" s="173" t="s">
        <v>1339</v>
      </c>
      <c r="B4" s="173" t="s">
        <v>1422</v>
      </c>
      <c r="C4" s="174" t="s">
        <v>1340</v>
      </c>
      <c r="D4" s="175"/>
      <c r="E4" s="176"/>
    </row>
    <row r="5" spans="1:8" ht="24.95" customHeight="1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8" ht="24.95" customHeight="1" x14ac:dyDescent="0.25">
      <c r="A6" s="48"/>
      <c r="B6" s="26" t="s">
        <v>0</v>
      </c>
      <c r="C6" s="26">
        <v>6830</v>
      </c>
      <c r="D6" s="26">
        <v>3523</v>
      </c>
      <c r="E6" s="26">
        <v>3307</v>
      </c>
      <c r="F6" s="8"/>
      <c r="G6" s="8"/>
      <c r="H6" s="8"/>
    </row>
    <row r="7" spans="1:8" ht="13.5" customHeight="1" x14ac:dyDescent="0.25">
      <c r="A7" s="23"/>
      <c r="B7" s="24"/>
      <c r="C7" s="24"/>
      <c r="D7" s="24"/>
      <c r="E7" s="24"/>
    </row>
    <row r="8" spans="1:8" ht="24.95" customHeight="1" x14ac:dyDescent="0.25">
      <c r="A8" s="23"/>
      <c r="B8" s="24" t="s">
        <v>1338</v>
      </c>
      <c r="C8" s="24">
        <f>SUM(C9:C11)</f>
        <v>3446</v>
      </c>
      <c r="D8" s="24">
        <f t="shared" ref="D8:E8" si="0">SUM(D9:D11)</f>
        <v>1770</v>
      </c>
      <c r="E8" s="24">
        <f t="shared" si="0"/>
        <v>1676</v>
      </c>
    </row>
    <row r="9" spans="1:8" ht="24.95" customHeight="1" x14ac:dyDescent="0.25">
      <c r="A9" s="23">
        <v>1</v>
      </c>
      <c r="B9" s="27" t="s">
        <v>25</v>
      </c>
      <c r="C9" s="27">
        <v>1944</v>
      </c>
      <c r="D9" s="27">
        <v>990</v>
      </c>
      <c r="E9" s="27">
        <v>954</v>
      </c>
      <c r="F9" s="8"/>
    </row>
    <row r="10" spans="1:8" ht="24.95" customHeight="1" x14ac:dyDescent="0.25">
      <c r="A10" s="23">
        <v>2</v>
      </c>
      <c r="B10" s="27" t="s">
        <v>26</v>
      </c>
      <c r="C10" s="27">
        <v>698</v>
      </c>
      <c r="D10" s="27">
        <v>362</v>
      </c>
      <c r="E10" s="27">
        <v>336</v>
      </c>
      <c r="F10" s="8"/>
    </row>
    <row r="11" spans="1:8" ht="24.95" customHeight="1" x14ac:dyDescent="0.25">
      <c r="A11" s="23">
        <v>3</v>
      </c>
      <c r="B11" s="27" t="s">
        <v>27</v>
      </c>
      <c r="C11" s="27">
        <v>804</v>
      </c>
      <c r="D11" s="27">
        <v>418</v>
      </c>
      <c r="E11" s="27">
        <v>386</v>
      </c>
      <c r="F11" s="8"/>
    </row>
    <row r="12" spans="1:8" ht="24.95" customHeight="1" x14ac:dyDescent="0.25">
      <c r="A12" s="23"/>
      <c r="B12" s="24" t="s">
        <v>1410</v>
      </c>
      <c r="C12" s="24">
        <f>SUM(C13:C15)</f>
        <v>3384</v>
      </c>
      <c r="D12" s="24">
        <f t="shared" ref="D12:E12" si="1">SUM(D13:D15)</f>
        <v>1753</v>
      </c>
      <c r="E12" s="24">
        <f t="shared" si="1"/>
        <v>1631</v>
      </c>
    </row>
    <row r="13" spans="1:8" ht="24.95" customHeight="1" x14ac:dyDescent="0.25">
      <c r="A13" s="23">
        <v>1</v>
      </c>
      <c r="B13" s="27" t="s">
        <v>527</v>
      </c>
      <c r="C13" s="27">
        <v>1305</v>
      </c>
      <c r="D13" s="27">
        <v>640</v>
      </c>
      <c r="E13" s="27">
        <v>665</v>
      </c>
      <c r="F13" s="8"/>
    </row>
    <row r="14" spans="1:8" ht="24.95" customHeight="1" x14ac:dyDescent="0.25">
      <c r="A14" s="23">
        <v>2</v>
      </c>
      <c r="B14" s="27" t="s">
        <v>528</v>
      </c>
      <c r="C14" s="27">
        <v>1311</v>
      </c>
      <c r="D14" s="27">
        <v>724</v>
      </c>
      <c r="E14" s="27">
        <v>587</v>
      </c>
      <c r="F14" s="8"/>
    </row>
    <row r="15" spans="1:8" ht="24.95" customHeight="1" x14ac:dyDescent="0.25">
      <c r="A15" s="28">
        <v>3</v>
      </c>
      <c r="B15" s="29" t="s">
        <v>529</v>
      </c>
      <c r="C15" s="29">
        <v>768</v>
      </c>
      <c r="D15" s="29">
        <v>389</v>
      </c>
      <c r="E15" s="29">
        <v>379</v>
      </c>
      <c r="F15" s="8"/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Linkhe` District,  Homane(Sub- Township)"/>
  </hyperlinks>
  <pageMargins left="0.75" right="0.5" top="0.5" bottom="0.2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sqref="A1:E1"/>
    </sheetView>
  </sheetViews>
  <sheetFormatPr defaultRowHeight="15" x14ac:dyDescent="0.25"/>
  <cols>
    <col min="2" max="2" width="25" customWidth="1"/>
    <col min="3" max="5" width="15.7109375" customWidth="1"/>
  </cols>
  <sheetData>
    <row r="1" spans="1:8" ht="18.75" x14ac:dyDescent="0.3">
      <c r="A1" s="180" t="s">
        <v>1369</v>
      </c>
      <c r="B1" s="180"/>
      <c r="C1" s="180"/>
      <c r="D1" s="180"/>
      <c r="E1" s="180"/>
    </row>
    <row r="2" spans="1:8" ht="15.75" x14ac:dyDescent="0.25">
      <c r="A2" s="20"/>
      <c r="B2" s="20"/>
      <c r="C2" s="20"/>
      <c r="D2" s="20"/>
      <c r="E2" s="74" t="s">
        <v>1341</v>
      </c>
    </row>
    <row r="3" spans="1:8" ht="9" customHeight="1" x14ac:dyDescent="0.25">
      <c r="A3" s="20"/>
      <c r="B3" s="20"/>
      <c r="C3" s="20"/>
      <c r="D3" s="20"/>
      <c r="E3" s="20"/>
    </row>
    <row r="4" spans="1:8" ht="23.1" customHeight="1" x14ac:dyDescent="0.25">
      <c r="A4" s="173" t="s">
        <v>1339</v>
      </c>
      <c r="B4" s="173" t="s">
        <v>1422</v>
      </c>
      <c r="C4" s="174" t="s">
        <v>1340</v>
      </c>
      <c r="D4" s="175"/>
      <c r="E4" s="176"/>
    </row>
    <row r="5" spans="1:8" ht="23.1" customHeight="1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8" ht="23.1" customHeight="1" x14ac:dyDescent="0.25">
      <c r="A6" s="48"/>
      <c r="B6" s="26" t="s">
        <v>0</v>
      </c>
      <c r="C6" s="26">
        <v>10796</v>
      </c>
      <c r="D6" s="26">
        <v>5937</v>
      </c>
      <c r="E6" s="26">
        <v>4859</v>
      </c>
      <c r="F6" s="8"/>
      <c r="G6" s="8"/>
      <c r="H6" s="8"/>
    </row>
    <row r="7" spans="1:8" ht="9.75" customHeight="1" x14ac:dyDescent="0.25">
      <c r="A7" s="23"/>
      <c r="B7" s="24"/>
      <c r="C7" s="24"/>
      <c r="D7" s="24"/>
      <c r="E7" s="24"/>
    </row>
    <row r="8" spans="1:8" ht="23.1" customHeight="1" x14ac:dyDescent="0.25">
      <c r="A8" s="23"/>
      <c r="B8" s="24" t="s">
        <v>1338</v>
      </c>
      <c r="C8" s="24">
        <f>SUM(C9:C15)</f>
        <v>9991</v>
      </c>
      <c r="D8" s="24">
        <f t="shared" ref="D8:E8" si="0">SUM(D9:D15)</f>
        <v>5535</v>
      </c>
      <c r="E8" s="24">
        <f t="shared" si="0"/>
        <v>4456</v>
      </c>
    </row>
    <row r="9" spans="1:8" ht="23.1" customHeight="1" x14ac:dyDescent="0.25">
      <c r="A9" s="23">
        <v>1</v>
      </c>
      <c r="B9" s="27" t="s">
        <v>25</v>
      </c>
      <c r="C9" s="27">
        <v>1594</v>
      </c>
      <c r="D9" s="27">
        <v>869</v>
      </c>
      <c r="E9" s="27">
        <v>725</v>
      </c>
      <c r="F9" s="8"/>
    </row>
    <row r="10" spans="1:8" ht="23.1" customHeight="1" x14ac:dyDescent="0.25">
      <c r="A10" s="23">
        <v>2</v>
      </c>
      <c r="B10" s="27" t="s">
        <v>26</v>
      </c>
      <c r="C10" s="27">
        <v>673</v>
      </c>
      <c r="D10" s="27">
        <v>337</v>
      </c>
      <c r="E10" s="27">
        <v>336</v>
      </c>
      <c r="F10" s="8"/>
    </row>
    <row r="11" spans="1:8" ht="23.1" customHeight="1" x14ac:dyDescent="0.25">
      <c r="A11" s="23">
        <v>3</v>
      </c>
      <c r="B11" s="27" t="s">
        <v>27</v>
      </c>
      <c r="C11" s="27">
        <v>1087</v>
      </c>
      <c r="D11" s="27">
        <v>553</v>
      </c>
      <c r="E11" s="27">
        <v>534</v>
      </c>
      <c r="F11" s="8"/>
    </row>
    <row r="12" spans="1:8" ht="23.1" customHeight="1" x14ac:dyDescent="0.25">
      <c r="A12" s="23">
        <v>4</v>
      </c>
      <c r="B12" s="27" t="s">
        <v>28</v>
      </c>
      <c r="C12" s="27">
        <v>2169</v>
      </c>
      <c r="D12" s="27">
        <v>1332</v>
      </c>
      <c r="E12" s="27">
        <v>837</v>
      </c>
      <c r="F12" s="8"/>
    </row>
    <row r="13" spans="1:8" ht="23.1" customHeight="1" x14ac:dyDescent="0.25">
      <c r="A13" s="23">
        <v>5</v>
      </c>
      <c r="B13" s="27" t="s">
        <v>29</v>
      </c>
      <c r="C13" s="27">
        <v>2256</v>
      </c>
      <c r="D13" s="27">
        <v>1182</v>
      </c>
      <c r="E13" s="27">
        <v>1074</v>
      </c>
      <c r="F13" s="8"/>
    </row>
    <row r="14" spans="1:8" ht="23.1" customHeight="1" x14ac:dyDescent="0.25">
      <c r="A14" s="23">
        <v>6</v>
      </c>
      <c r="B14" s="27" t="s">
        <v>30</v>
      </c>
      <c r="C14" s="27">
        <v>599</v>
      </c>
      <c r="D14" s="27">
        <v>370</v>
      </c>
      <c r="E14" s="27">
        <v>229</v>
      </c>
      <c r="F14" s="8"/>
    </row>
    <row r="15" spans="1:8" ht="23.1" customHeight="1" x14ac:dyDescent="0.25">
      <c r="A15" s="23">
        <v>7</v>
      </c>
      <c r="B15" s="27" t="s">
        <v>31</v>
      </c>
      <c r="C15" s="27">
        <v>1613</v>
      </c>
      <c r="D15" s="27">
        <v>892</v>
      </c>
      <c r="E15" s="27">
        <v>721</v>
      </c>
      <c r="F15" s="8"/>
    </row>
    <row r="16" spans="1:8" ht="23.1" customHeight="1" x14ac:dyDescent="0.25">
      <c r="A16" s="23"/>
      <c r="B16" s="24" t="s">
        <v>1410</v>
      </c>
      <c r="C16" s="24">
        <f>SUM(C17:C19)</f>
        <v>805</v>
      </c>
      <c r="D16" s="24">
        <f t="shared" ref="D16:E16" si="1">SUM(D17:D19)</f>
        <v>402</v>
      </c>
      <c r="E16" s="24">
        <f t="shared" si="1"/>
        <v>403</v>
      </c>
    </row>
    <row r="17" spans="1:6" ht="23.1" customHeight="1" x14ac:dyDescent="0.25">
      <c r="A17" s="23">
        <v>1</v>
      </c>
      <c r="B17" s="27" t="s">
        <v>371</v>
      </c>
      <c r="C17" s="27">
        <v>277</v>
      </c>
      <c r="D17" s="27">
        <v>129</v>
      </c>
      <c r="E17" s="27">
        <v>148</v>
      </c>
      <c r="F17" s="8"/>
    </row>
    <row r="18" spans="1:6" ht="23.1" customHeight="1" x14ac:dyDescent="0.25">
      <c r="A18" s="23">
        <v>2</v>
      </c>
      <c r="B18" s="27" t="s">
        <v>530</v>
      </c>
      <c r="C18" s="27">
        <v>121</v>
      </c>
      <c r="D18" s="27">
        <v>61</v>
      </c>
      <c r="E18" s="27">
        <v>60</v>
      </c>
      <c r="F18" s="8"/>
    </row>
    <row r="19" spans="1:6" ht="23.1" customHeight="1" x14ac:dyDescent="0.25">
      <c r="A19" s="28">
        <v>3</v>
      </c>
      <c r="B19" s="29" t="s">
        <v>531</v>
      </c>
      <c r="C19" s="29">
        <v>407</v>
      </c>
      <c r="D19" s="29">
        <v>212</v>
      </c>
      <c r="E19" s="29">
        <v>195</v>
      </c>
      <c r="F19" s="8"/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Linkhe` District, Kengtaung(Sub--Township)"/>
  </hyperlinks>
  <pageMargins left="0.75" right="0.5" top="0.5" bottom="0.2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"/>
  <sheetViews>
    <sheetView workbookViewId="0">
      <selection sqref="A1:E1"/>
    </sheetView>
  </sheetViews>
  <sheetFormatPr defaultRowHeight="15" x14ac:dyDescent="0.25"/>
  <cols>
    <col min="2" max="2" width="40" customWidth="1"/>
    <col min="3" max="5" width="15.7109375" customWidth="1"/>
  </cols>
  <sheetData>
    <row r="1" spans="1:8" ht="18.75" x14ac:dyDescent="0.3">
      <c r="A1" s="180" t="s">
        <v>1370</v>
      </c>
      <c r="B1" s="180"/>
      <c r="C1" s="180"/>
      <c r="D1" s="180"/>
      <c r="E1" s="180"/>
    </row>
    <row r="2" spans="1:8" ht="15.75" x14ac:dyDescent="0.25">
      <c r="A2" s="20"/>
      <c r="B2" s="20"/>
      <c r="C2" s="20"/>
      <c r="D2" s="20"/>
      <c r="E2" s="21" t="s">
        <v>1341</v>
      </c>
    </row>
    <row r="3" spans="1:8" ht="10.5" customHeight="1" x14ac:dyDescent="0.25">
      <c r="A3" s="20"/>
      <c r="B3" s="20"/>
      <c r="C3" s="20"/>
      <c r="D3" s="20"/>
      <c r="E3" s="20"/>
    </row>
    <row r="4" spans="1:8" ht="15.75" x14ac:dyDescent="0.25">
      <c r="A4" s="173" t="s">
        <v>1339</v>
      </c>
      <c r="B4" s="173" t="s">
        <v>1422</v>
      </c>
      <c r="C4" s="174" t="s">
        <v>1340</v>
      </c>
      <c r="D4" s="175"/>
      <c r="E4" s="176"/>
    </row>
    <row r="5" spans="1:8" ht="15.75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8" ht="15.75" x14ac:dyDescent="0.25">
      <c r="A6" s="48"/>
      <c r="B6" s="26" t="s">
        <v>0</v>
      </c>
      <c r="C6" s="26">
        <v>323405</v>
      </c>
      <c r="D6" s="26">
        <v>158512</v>
      </c>
      <c r="E6" s="26">
        <v>164893</v>
      </c>
      <c r="F6" s="8"/>
      <c r="G6" s="8"/>
      <c r="H6" s="8"/>
    </row>
    <row r="7" spans="1:8" ht="11.25" customHeight="1" x14ac:dyDescent="0.25">
      <c r="A7" s="23"/>
      <c r="B7" s="24"/>
      <c r="C7" s="24"/>
      <c r="D7" s="24"/>
      <c r="E7" s="24"/>
    </row>
    <row r="8" spans="1:8" ht="21.95" customHeight="1" x14ac:dyDescent="0.25">
      <c r="A8" s="23"/>
      <c r="B8" s="24" t="s">
        <v>1338</v>
      </c>
      <c r="C8" s="24">
        <f>SUM(C9:C20)</f>
        <v>174335</v>
      </c>
      <c r="D8" s="24">
        <f t="shared" ref="D8:E8" si="0">SUM(D9:D20)</f>
        <v>84331</v>
      </c>
      <c r="E8" s="24">
        <f t="shared" si="0"/>
        <v>90004</v>
      </c>
    </row>
    <row r="9" spans="1:8" ht="21.95" customHeight="1" x14ac:dyDescent="0.25">
      <c r="A9" s="23">
        <v>1</v>
      </c>
      <c r="B9" s="27" t="s">
        <v>532</v>
      </c>
      <c r="C9" s="27">
        <v>28097</v>
      </c>
      <c r="D9" s="27">
        <v>13843</v>
      </c>
      <c r="E9" s="27">
        <v>14254</v>
      </c>
      <c r="F9" s="8"/>
    </row>
    <row r="10" spans="1:8" ht="21.95" customHeight="1" x14ac:dyDescent="0.25">
      <c r="A10" s="23">
        <v>2</v>
      </c>
      <c r="B10" s="27" t="s">
        <v>533</v>
      </c>
      <c r="C10" s="27">
        <v>3689</v>
      </c>
      <c r="D10" s="27">
        <v>1750</v>
      </c>
      <c r="E10" s="27">
        <v>1939</v>
      </c>
      <c r="F10" s="8"/>
    </row>
    <row r="11" spans="1:8" ht="21.95" customHeight="1" x14ac:dyDescent="0.25">
      <c r="A11" s="23">
        <v>3</v>
      </c>
      <c r="B11" s="27" t="s">
        <v>534</v>
      </c>
      <c r="C11" s="27">
        <v>2167</v>
      </c>
      <c r="D11" s="27">
        <v>968</v>
      </c>
      <c r="E11" s="27">
        <v>1199</v>
      </c>
      <c r="F11" s="8"/>
    </row>
    <row r="12" spans="1:8" ht="21.95" customHeight="1" x14ac:dyDescent="0.25">
      <c r="A12" s="23">
        <v>4</v>
      </c>
      <c r="B12" s="27" t="s">
        <v>535</v>
      </c>
      <c r="C12" s="27">
        <v>10435</v>
      </c>
      <c r="D12" s="27">
        <v>5140</v>
      </c>
      <c r="E12" s="27">
        <v>5295</v>
      </c>
      <c r="F12" s="8"/>
    </row>
    <row r="13" spans="1:8" ht="21.95" customHeight="1" x14ac:dyDescent="0.25">
      <c r="A13" s="23">
        <v>5</v>
      </c>
      <c r="B13" s="27" t="s">
        <v>536</v>
      </c>
      <c r="C13" s="27">
        <v>20667</v>
      </c>
      <c r="D13" s="27">
        <v>9643</v>
      </c>
      <c r="E13" s="27">
        <v>11024</v>
      </c>
      <c r="F13" s="8"/>
    </row>
    <row r="14" spans="1:8" ht="21.95" customHeight="1" x14ac:dyDescent="0.25">
      <c r="A14" s="23">
        <v>6</v>
      </c>
      <c r="B14" s="27" t="s">
        <v>537</v>
      </c>
      <c r="C14" s="27">
        <v>3361</v>
      </c>
      <c r="D14" s="27">
        <v>1504</v>
      </c>
      <c r="E14" s="27">
        <v>1857</v>
      </c>
      <c r="F14" s="8"/>
    </row>
    <row r="15" spans="1:8" ht="21.95" customHeight="1" x14ac:dyDescent="0.25">
      <c r="A15" s="23">
        <v>7</v>
      </c>
      <c r="B15" s="27" t="s">
        <v>538</v>
      </c>
      <c r="C15" s="27">
        <v>23076</v>
      </c>
      <c r="D15" s="27">
        <v>11087</v>
      </c>
      <c r="E15" s="27">
        <v>11989</v>
      </c>
      <c r="F15" s="8"/>
    </row>
    <row r="16" spans="1:8" ht="21.95" customHeight="1" x14ac:dyDescent="0.25">
      <c r="A16" s="23">
        <v>8</v>
      </c>
      <c r="B16" s="27" t="s">
        <v>539</v>
      </c>
      <c r="C16" s="27">
        <v>9782</v>
      </c>
      <c r="D16" s="27">
        <v>4521</v>
      </c>
      <c r="E16" s="27">
        <v>5261</v>
      </c>
      <c r="F16" s="8"/>
    </row>
    <row r="17" spans="1:6" ht="21.95" customHeight="1" x14ac:dyDescent="0.25">
      <c r="A17" s="23">
        <v>9</v>
      </c>
      <c r="B17" s="27" t="s">
        <v>540</v>
      </c>
      <c r="C17" s="27">
        <v>17080</v>
      </c>
      <c r="D17" s="27">
        <v>8507</v>
      </c>
      <c r="E17" s="27">
        <v>8573</v>
      </c>
      <c r="F17" s="8"/>
    </row>
    <row r="18" spans="1:6" ht="21.95" customHeight="1" x14ac:dyDescent="0.25">
      <c r="A18" s="23">
        <v>10</v>
      </c>
      <c r="B18" s="27" t="s">
        <v>541</v>
      </c>
      <c r="C18" s="27">
        <v>11309</v>
      </c>
      <c r="D18" s="27">
        <v>5319</v>
      </c>
      <c r="E18" s="27">
        <v>5990</v>
      </c>
      <c r="F18" s="8"/>
    </row>
    <row r="19" spans="1:6" ht="21.95" customHeight="1" x14ac:dyDescent="0.25">
      <c r="A19" s="23">
        <v>11</v>
      </c>
      <c r="B19" s="27" t="s">
        <v>542</v>
      </c>
      <c r="C19" s="27">
        <v>4593</v>
      </c>
      <c r="D19" s="27">
        <v>2194</v>
      </c>
      <c r="E19" s="27">
        <v>2399</v>
      </c>
      <c r="F19" s="8"/>
    </row>
    <row r="20" spans="1:6" ht="21.95" customHeight="1" x14ac:dyDescent="0.25">
      <c r="A20" s="23">
        <v>12</v>
      </c>
      <c r="B20" s="27" t="s">
        <v>543</v>
      </c>
      <c r="C20" s="27">
        <v>40079</v>
      </c>
      <c r="D20" s="27">
        <v>19855</v>
      </c>
      <c r="E20" s="27">
        <v>20224</v>
      </c>
      <c r="F20" s="8"/>
    </row>
    <row r="21" spans="1:6" ht="21.95" customHeight="1" x14ac:dyDescent="0.25">
      <c r="A21" s="23"/>
      <c r="B21" s="24" t="s">
        <v>1410</v>
      </c>
      <c r="C21" s="24">
        <f>SUM(C22:C96)</f>
        <v>149070</v>
      </c>
      <c r="D21" s="24">
        <f t="shared" ref="D21:E21" si="1">SUM(D22:D96)</f>
        <v>74181</v>
      </c>
      <c r="E21" s="24">
        <f t="shared" si="1"/>
        <v>74889</v>
      </c>
    </row>
    <row r="22" spans="1:6" ht="21.95" customHeight="1" x14ac:dyDescent="0.25">
      <c r="A22" s="23">
        <v>1</v>
      </c>
      <c r="B22" s="27" t="s">
        <v>544</v>
      </c>
      <c r="C22" s="27">
        <v>6925</v>
      </c>
      <c r="D22" s="27">
        <v>3491</v>
      </c>
      <c r="E22" s="27">
        <v>3434</v>
      </c>
      <c r="F22" s="8"/>
    </row>
    <row r="23" spans="1:6" ht="21.95" customHeight="1" x14ac:dyDescent="0.25">
      <c r="A23" s="23">
        <v>2</v>
      </c>
      <c r="B23" s="27" t="s">
        <v>545</v>
      </c>
      <c r="C23" s="27">
        <v>4842</v>
      </c>
      <c r="D23" s="27">
        <v>2447</v>
      </c>
      <c r="E23" s="27">
        <v>2395</v>
      </c>
      <c r="F23" s="8"/>
    </row>
    <row r="24" spans="1:6" ht="21.95" customHeight="1" x14ac:dyDescent="0.25">
      <c r="A24" s="23">
        <v>3</v>
      </c>
      <c r="B24" s="27" t="s">
        <v>546</v>
      </c>
      <c r="C24" s="27">
        <v>6568</v>
      </c>
      <c r="D24" s="27">
        <v>3299</v>
      </c>
      <c r="E24" s="27">
        <v>3269</v>
      </c>
      <c r="F24" s="8"/>
    </row>
    <row r="25" spans="1:6" ht="21.95" customHeight="1" x14ac:dyDescent="0.25">
      <c r="A25" s="23">
        <v>4</v>
      </c>
      <c r="B25" s="27" t="s">
        <v>547</v>
      </c>
      <c r="C25" s="27">
        <v>1114</v>
      </c>
      <c r="D25" s="27">
        <v>584</v>
      </c>
      <c r="E25" s="27">
        <v>530</v>
      </c>
      <c r="F25" s="8"/>
    </row>
    <row r="26" spans="1:6" ht="21.95" customHeight="1" x14ac:dyDescent="0.25">
      <c r="A26" s="23">
        <v>5</v>
      </c>
      <c r="B26" s="27" t="s">
        <v>548</v>
      </c>
      <c r="C26" s="27">
        <v>2376</v>
      </c>
      <c r="D26" s="27">
        <v>1216</v>
      </c>
      <c r="E26" s="27">
        <v>1160</v>
      </c>
      <c r="F26" s="8"/>
    </row>
    <row r="27" spans="1:6" ht="21.95" customHeight="1" x14ac:dyDescent="0.25">
      <c r="A27" s="23">
        <v>6</v>
      </c>
      <c r="B27" s="27" t="s">
        <v>549</v>
      </c>
      <c r="C27" s="27">
        <v>1549</v>
      </c>
      <c r="D27" s="27">
        <v>748</v>
      </c>
      <c r="E27" s="27">
        <v>801</v>
      </c>
      <c r="F27" s="8"/>
    </row>
    <row r="28" spans="1:6" ht="21.95" customHeight="1" x14ac:dyDescent="0.25">
      <c r="A28" s="23">
        <v>7</v>
      </c>
      <c r="B28" s="27" t="s">
        <v>550</v>
      </c>
      <c r="C28" s="27">
        <v>761</v>
      </c>
      <c r="D28" s="27">
        <v>362</v>
      </c>
      <c r="E28" s="27">
        <v>399</v>
      </c>
      <c r="F28" s="8"/>
    </row>
    <row r="29" spans="1:6" ht="21.95" customHeight="1" x14ac:dyDescent="0.25">
      <c r="A29" s="23">
        <v>8</v>
      </c>
      <c r="B29" s="27" t="s">
        <v>551</v>
      </c>
      <c r="C29" s="27">
        <v>3142</v>
      </c>
      <c r="D29" s="27">
        <v>1644</v>
      </c>
      <c r="E29" s="27">
        <v>1498</v>
      </c>
      <c r="F29" s="8"/>
    </row>
    <row r="30" spans="1:6" ht="21.95" customHeight="1" x14ac:dyDescent="0.25">
      <c r="A30" s="23">
        <v>9</v>
      </c>
      <c r="B30" s="27" t="s">
        <v>516</v>
      </c>
      <c r="C30" s="27">
        <v>1096</v>
      </c>
      <c r="D30" s="27">
        <v>525</v>
      </c>
      <c r="E30" s="27">
        <v>571</v>
      </c>
      <c r="F30" s="8"/>
    </row>
    <row r="31" spans="1:6" ht="21.95" customHeight="1" x14ac:dyDescent="0.25">
      <c r="A31" s="23">
        <v>10</v>
      </c>
      <c r="B31" s="27" t="s">
        <v>552</v>
      </c>
      <c r="C31" s="27">
        <v>639</v>
      </c>
      <c r="D31" s="27">
        <v>340</v>
      </c>
      <c r="E31" s="27">
        <v>299</v>
      </c>
      <c r="F31" s="8"/>
    </row>
    <row r="32" spans="1:6" ht="21.95" customHeight="1" x14ac:dyDescent="0.25">
      <c r="A32" s="23">
        <v>11</v>
      </c>
      <c r="B32" s="27" t="s">
        <v>553</v>
      </c>
      <c r="C32" s="27">
        <v>1046</v>
      </c>
      <c r="D32" s="27">
        <v>550</v>
      </c>
      <c r="E32" s="27">
        <v>496</v>
      </c>
      <c r="F32" s="8"/>
    </row>
    <row r="33" spans="1:6" ht="21.95" customHeight="1" x14ac:dyDescent="0.25">
      <c r="A33" s="23">
        <v>12</v>
      </c>
      <c r="B33" s="27" t="s">
        <v>554</v>
      </c>
      <c r="C33" s="27">
        <v>770</v>
      </c>
      <c r="D33" s="27">
        <v>389</v>
      </c>
      <c r="E33" s="27">
        <v>381</v>
      </c>
      <c r="F33" s="8"/>
    </row>
    <row r="34" spans="1:6" ht="21.95" customHeight="1" x14ac:dyDescent="0.25">
      <c r="A34" s="23">
        <v>13</v>
      </c>
      <c r="B34" s="27" t="s">
        <v>555</v>
      </c>
      <c r="C34" s="27">
        <v>4269</v>
      </c>
      <c r="D34" s="27">
        <v>2159</v>
      </c>
      <c r="E34" s="27">
        <v>2110</v>
      </c>
      <c r="F34" s="8"/>
    </row>
    <row r="35" spans="1:6" ht="21.95" customHeight="1" x14ac:dyDescent="0.25">
      <c r="A35" s="23">
        <v>14</v>
      </c>
      <c r="B35" s="27" t="s">
        <v>556</v>
      </c>
      <c r="C35" s="27">
        <v>1510</v>
      </c>
      <c r="D35" s="27">
        <v>746</v>
      </c>
      <c r="E35" s="27">
        <v>764</v>
      </c>
      <c r="F35" s="8"/>
    </row>
    <row r="36" spans="1:6" ht="21.95" customHeight="1" x14ac:dyDescent="0.25">
      <c r="A36" s="23">
        <v>15</v>
      </c>
      <c r="B36" s="27" t="s">
        <v>557</v>
      </c>
      <c r="C36" s="27">
        <v>2597</v>
      </c>
      <c r="D36" s="27">
        <v>1257</v>
      </c>
      <c r="E36" s="27">
        <v>1340</v>
      </c>
      <c r="F36" s="8"/>
    </row>
    <row r="37" spans="1:6" ht="21.95" customHeight="1" x14ac:dyDescent="0.25">
      <c r="A37" s="23">
        <v>16</v>
      </c>
      <c r="B37" s="27" t="s">
        <v>558</v>
      </c>
      <c r="C37" s="27">
        <v>1412</v>
      </c>
      <c r="D37" s="27">
        <v>700</v>
      </c>
      <c r="E37" s="27">
        <v>712</v>
      </c>
      <c r="F37" s="8"/>
    </row>
    <row r="38" spans="1:6" ht="21.95" customHeight="1" x14ac:dyDescent="0.25">
      <c r="A38" s="23">
        <v>17</v>
      </c>
      <c r="B38" s="27" t="s">
        <v>559</v>
      </c>
      <c r="C38" s="27">
        <v>3527</v>
      </c>
      <c r="D38" s="27">
        <v>1802</v>
      </c>
      <c r="E38" s="27">
        <v>1725</v>
      </c>
      <c r="F38" s="8"/>
    </row>
    <row r="39" spans="1:6" ht="21.95" customHeight="1" x14ac:dyDescent="0.25">
      <c r="A39" s="23">
        <v>18</v>
      </c>
      <c r="B39" s="27" t="s">
        <v>560</v>
      </c>
      <c r="C39" s="27">
        <v>1865</v>
      </c>
      <c r="D39" s="27">
        <v>946</v>
      </c>
      <c r="E39" s="27">
        <v>919</v>
      </c>
      <c r="F39" s="8"/>
    </row>
    <row r="40" spans="1:6" ht="21.95" customHeight="1" x14ac:dyDescent="0.25">
      <c r="A40" s="23">
        <v>19</v>
      </c>
      <c r="B40" s="27" t="s">
        <v>561</v>
      </c>
      <c r="C40" s="27">
        <v>1084</v>
      </c>
      <c r="D40" s="27">
        <v>519</v>
      </c>
      <c r="E40" s="27">
        <v>565</v>
      </c>
      <c r="F40" s="8"/>
    </row>
    <row r="41" spans="1:6" ht="21.95" customHeight="1" x14ac:dyDescent="0.25">
      <c r="A41" s="23">
        <v>20</v>
      </c>
      <c r="B41" s="27" t="s">
        <v>562</v>
      </c>
      <c r="C41" s="27">
        <v>7245</v>
      </c>
      <c r="D41" s="27">
        <v>3520</v>
      </c>
      <c r="E41" s="27">
        <v>3725</v>
      </c>
      <c r="F41" s="8"/>
    </row>
    <row r="42" spans="1:6" ht="21.95" customHeight="1" x14ac:dyDescent="0.25">
      <c r="A42" s="23">
        <v>21</v>
      </c>
      <c r="B42" s="27" t="s">
        <v>563</v>
      </c>
      <c r="C42" s="27">
        <v>1049</v>
      </c>
      <c r="D42" s="27">
        <v>517</v>
      </c>
      <c r="E42" s="27">
        <v>532</v>
      </c>
      <c r="F42" s="8"/>
    </row>
    <row r="43" spans="1:6" ht="21.95" customHeight="1" x14ac:dyDescent="0.25">
      <c r="A43" s="23">
        <v>22</v>
      </c>
      <c r="B43" s="27" t="s">
        <v>564</v>
      </c>
      <c r="C43" s="27">
        <v>3898</v>
      </c>
      <c r="D43" s="27">
        <v>1952</v>
      </c>
      <c r="E43" s="27">
        <v>1946</v>
      </c>
      <c r="F43" s="8"/>
    </row>
    <row r="44" spans="1:6" ht="21.95" customHeight="1" x14ac:dyDescent="0.25">
      <c r="A44" s="23">
        <v>23</v>
      </c>
      <c r="B44" s="27" t="s">
        <v>565</v>
      </c>
      <c r="C44" s="27">
        <v>1242</v>
      </c>
      <c r="D44" s="27">
        <v>573</v>
      </c>
      <c r="E44" s="27">
        <v>669</v>
      </c>
      <c r="F44" s="8"/>
    </row>
    <row r="45" spans="1:6" ht="21.95" customHeight="1" x14ac:dyDescent="0.25">
      <c r="A45" s="23">
        <v>24</v>
      </c>
      <c r="B45" s="27" t="s">
        <v>566</v>
      </c>
      <c r="C45" s="27">
        <v>1091</v>
      </c>
      <c r="D45" s="27">
        <v>529</v>
      </c>
      <c r="E45" s="27">
        <v>562</v>
      </c>
      <c r="F45" s="8"/>
    </row>
    <row r="46" spans="1:6" ht="21.95" customHeight="1" x14ac:dyDescent="0.25">
      <c r="A46" s="23">
        <v>25</v>
      </c>
      <c r="B46" s="27" t="s">
        <v>567</v>
      </c>
      <c r="C46" s="27">
        <v>345</v>
      </c>
      <c r="D46" s="27">
        <v>198</v>
      </c>
      <c r="E46" s="27">
        <v>147</v>
      </c>
      <c r="F46" s="8"/>
    </row>
    <row r="47" spans="1:6" ht="21.95" customHeight="1" x14ac:dyDescent="0.25">
      <c r="A47" s="23">
        <v>26</v>
      </c>
      <c r="B47" s="27" t="s">
        <v>568</v>
      </c>
      <c r="C47" s="27">
        <v>2649</v>
      </c>
      <c r="D47" s="27">
        <v>1353</v>
      </c>
      <c r="E47" s="27">
        <v>1296</v>
      </c>
      <c r="F47" s="8"/>
    </row>
    <row r="48" spans="1:6" ht="21.95" customHeight="1" x14ac:dyDescent="0.25">
      <c r="A48" s="23">
        <v>27</v>
      </c>
      <c r="B48" s="27" t="s">
        <v>569</v>
      </c>
      <c r="C48" s="27">
        <v>3156</v>
      </c>
      <c r="D48" s="27">
        <v>1672</v>
      </c>
      <c r="E48" s="27">
        <v>1484</v>
      </c>
      <c r="F48" s="8"/>
    </row>
    <row r="49" spans="1:6" ht="21.95" customHeight="1" x14ac:dyDescent="0.25">
      <c r="A49" s="23">
        <v>28</v>
      </c>
      <c r="B49" s="27" t="s">
        <v>570</v>
      </c>
      <c r="C49" s="27">
        <v>981</v>
      </c>
      <c r="D49" s="27">
        <v>504</v>
      </c>
      <c r="E49" s="27">
        <v>477</v>
      </c>
      <c r="F49" s="8"/>
    </row>
    <row r="50" spans="1:6" ht="21.95" customHeight="1" x14ac:dyDescent="0.25">
      <c r="A50" s="23">
        <v>29</v>
      </c>
      <c r="B50" s="27" t="s">
        <v>571</v>
      </c>
      <c r="C50" s="27">
        <v>840</v>
      </c>
      <c r="D50" s="27">
        <v>421</v>
      </c>
      <c r="E50" s="27">
        <v>419</v>
      </c>
      <c r="F50" s="8"/>
    </row>
    <row r="51" spans="1:6" ht="21.95" customHeight="1" x14ac:dyDescent="0.25">
      <c r="A51" s="23">
        <v>30</v>
      </c>
      <c r="B51" s="27" t="s">
        <v>572</v>
      </c>
      <c r="C51" s="27">
        <v>1963</v>
      </c>
      <c r="D51" s="27">
        <v>929</v>
      </c>
      <c r="E51" s="27">
        <v>1034</v>
      </c>
      <c r="F51" s="8"/>
    </row>
    <row r="52" spans="1:6" ht="21.95" customHeight="1" x14ac:dyDescent="0.25">
      <c r="A52" s="23">
        <v>31</v>
      </c>
      <c r="B52" s="27" t="s">
        <v>573</v>
      </c>
      <c r="C52" s="27">
        <v>518</v>
      </c>
      <c r="D52" s="27">
        <v>233</v>
      </c>
      <c r="E52" s="27">
        <v>285</v>
      </c>
      <c r="F52" s="8"/>
    </row>
    <row r="53" spans="1:6" ht="21.95" customHeight="1" x14ac:dyDescent="0.25">
      <c r="A53" s="23">
        <v>32</v>
      </c>
      <c r="B53" s="27" t="s">
        <v>574</v>
      </c>
      <c r="C53" s="27">
        <v>983</v>
      </c>
      <c r="D53" s="27">
        <v>476</v>
      </c>
      <c r="E53" s="27">
        <v>507</v>
      </c>
      <c r="F53" s="8"/>
    </row>
    <row r="54" spans="1:6" ht="21.95" customHeight="1" x14ac:dyDescent="0.25">
      <c r="A54" s="23">
        <v>33</v>
      </c>
      <c r="B54" s="27" t="s">
        <v>575</v>
      </c>
      <c r="C54" s="27">
        <v>1522</v>
      </c>
      <c r="D54" s="27">
        <v>742</v>
      </c>
      <c r="E54" s="27">
        <v>780</v>
      </c>
      <c r="F54" s="8"/>
    </row>
    <row r="55" spans="1:6" ht="21.95" customHeight="1" x14ac:dyDescent="0.25">
      <c r="A55" s="23">
        <v>34</v>
      </c>
      <c r="B55" s="27" t="s">
        <v>576</v>
      </c>
      <c r="C55" s="27">
        <v>1370</v>
      </c>
      <c r="D55" s="27">
        <v>657</v>
      </c>
      <c r="E55" s="27">
        <v>713</v>
      </c>
      <c r="F55" s="8"/>
    </row>
    <row r="56" spans="1:6" ht="21.95" customHeight="1" x14ac:dyDescent="0.25">
      <c r="A56" s="23">
        <v>35</v>
      </c>
      <c r="B56" s="27" t="s">
        <v>577</v>
      </c>
      <c r="C56" s="27">
        <v>1983</v>
      </c>
      <c r="D56" s="27">
        <v>982</v>
      </c>
      <c r="E56" s="27">
        <v>1001</v>
      </c>
      <c r="F56" s="8"/>
    </row>
    <row r="57" spans="1:6" ht="21.95" customHeight="1" x14ac:dyDescent="0.25">
      <c r="A57" s="23">
        <v>36</v>
      </c>
      <c r="B57" s="27" t="s">
        <v>148</v>
      </c>
      <c r="C57" s="27">
        <v>11556</v>
      </c>
      <c r="D57" s="27">
        <v>5840</v>
      </c>
      <c r="E57" s="27">
        <v>5716</v>
      </c>
      <c r="F57" s="8"/>
    </row>
    <row r="58" spans="1:6" ht="21.95" customHeight="1" x14ac:dyDescent="0.25">
      <c r="A58" s="23">
        <v>37</v>
      </c>
      <c r="B58" s="27" t="s">
        <v>481</v>
      </c>
      <c r="C58" s="27">
        <v>1263</v>
      </c>
      <c r="D58" s="27">
        <v>626</v>
      </c>
      <c r="E58" s="27">
        <v>637</v>
      </c>
      <c r="F58" s="8"/>
    </row>
    <row r="59" spans="1:6" ht="21.95" customHeight="1" x14ac:dyDescent="0.25">
      <c r="A59" s="23">
        <v>38</v>
      </c>
      <c r="B59" s="27" t="s">
        <v>578</v>
      </c>
      <c r="C59" s="27">
        <v>607</v>
      </c>
      <c r="D59" s="27">
        <v>326</v>
      </c>
      <c r="E59" s="27">
        <v>281</v>
      </c>
      <c r="F59" s="8"/>
    </row>
    <row r="60" spans="1:6" ht="21.95" customHeight="1" x14ac:dyDescent="0.25">
      <c r="A60" s="23">
        <v>39</v>
      </c>
      <c r="B60" s="27" t="s">
        <v>579</v>
      </c>
      <c r="C60" s="27">
        <v>541</v>
      </c>
      <c r="D60" s="27">
        <v>274</v>
      </c>
      <c r="E60" s="27">
        <v>267</v>
      </c>
      <c r="F60" s="8"/>
    </row>
    <row r="61" spans="1:6" ht="21.95" customHeight="1" x14ac:dyDescent="0.25">
      <c r="A61" s="23">
        <v>40</v>
      </c>
      <c r="B61" s="27" t="s">
        <v>580</v>
      </c>
      <c r="C61" s="27">
        <v>1331</v>
      </c>
      <c r="D61" s="27">
        <v>638</v>
      </c>
      <c r="E61" s="27">
        <v>693</v>
      </c>
      <c r="F61" s="8"/>
    </row>
    <row r="62" spans="1:6" ht="21.95" customHeight="1" x14ac:dyDescent="0.25">
      <c r="A62" s="23">
        <v>41</v>
      </c>
      <c r="B62" s="27" t="s">
        <v>581</v>
      </c>
      <c r="C62" s="27">
        <v>1488</v>
      </c>
      <c r="D62" s="27">
        <v>718</v>
      </c>
      <c r="E62" s="27">
        <v>770</v>
      </c>
      <c r="F62" s="8"/>
    </row>
    <row r="63" spans="1:6" ht="21.95" customHeight="1" x14ac:dyDescent="0.25">
      <c r="A63" s="23">
        <v>42</v>
      </c>
      <c r="B63" s="27" t="s">
        <v>582</v>
      </c>
      <c r="C63" s="27">
        <v>2764</v>
      </c>
      <c r="D63" s="27">
        <v>1443</v>
      </c>
      <c r="E63" s="27">
        <v>1321</v>
      </c>
      <c r="F63" s="8"/>
    </row>
    <row r="64" spans="1:6" ht="21.95" customHeight="1" x14ac:dyDescent="0.25">
      <c r="A64" s="23">
        <v>43</v>
      </c>
      <c r="B64" s="27" t="s">
        <v>583</v>
      </c>
      <c r="C64" s="27">
        <v>2862</v>
      </c>
      <c r="D64" s="27">
        <v>1567</v>
      </c>
      <c r="E64" s="27">
        <v>1295</v>
      </c>
      <c r="F64" s="8"/>
    </row>
    <row r="65" spans="1:6" ht="21.95" customHeight="1" x14ac:dyDescent="0.25">
      <c r="A65" s="23">
        <v>44</v>
      </c>
      <c r="B65" s="27" t="s">
        <v>584</v>
      </c>
      <c r="C65" s="27">
        <v>2657</v>
      </c>
      <c r="D65" s="27">
        <v>1405</v>
      </c>
      <c r="E65" s="27">
        <v>1252</v>
      </c>
      <c r="F65" s="8"/>
    </row>
    <row r="66" spans="1:6" ht="21.95" customHeight="1" x14ac:dyDescent="0.25">
      <c r="A66" s="23">
        <v>45</v>
      </c>
      <c r="B66" s="27" t="s">
        <v>585</v>
      </c>
      <c r="C66" s="27">
        <v>1943</v>
      </c>
      <c r="D66" s="27">
        <v>963</v>
      </c>
      <c r="E66" s="27">
        <v>980</v>
      </c>
      <c r="F66" s="8"/>
    </row>
    <row r="67" spans="1:6" ht="21.95" customHeight="1" x14ac:dyDescent="0.25">
      <c r="A67" s="23">
        <v>46</v>
      </c>
      <c r="B67" s="27" t="s">
        <v>586</v>
      </c>
      <c r="C67" s="27">
        <v>2725</v>
      </c>
      <c r="D67" s="27">
        <v>1307</v>
      </c>
      <c r="E67" s="27">
        <v>1418</v>
      </c>
      <c r="F67" s="8"/>
    </row>
    <row r="68" spans="1:6" ht="21.95" customHeight="1" x14ac:dyDescent="0.25">
      <c r="A68" s="23">
        <v>47</v>
      </c>
      <c r="B68" s="27" t="s">
        <v>587</v>
      </c>
      <c r="C68" s="27">
        <v>2138</v>
      </c>
      <c r="D68" s="27">
        <v>1136</v>
      </c>
      <c r="E68" s="27">
        <v>1002</v>
      </c>
      <c r="F68" s="8"/>
    </row>
    <row r="69" spans="1:6" ht="21.95" customHeight="1" x14ac:dyDescent="0.25">
      <c r="A69" s="23">
        <v>48</v>
      </c>
      <c r="B69" s="27" t="s">
        <v>588</v>
      </c>
      <c r="C69" s="27">
        <v>4221</v>
      </c>
      <c r="D69" s="27">
        <v>2072</v>
      </c>
      <c r="E69" s="27">
        <v>2149</v>
      </c>
      <c r="F69" s="8"/>
    </row>
    <row r="70" spans="1:6" ht="21.95" customHeight="1" x14ac:dyDescent="0.25">
      <c r="A70" s="23">
        <v>49</v>
      </c>
      <c r="B70" s="27" t="s">
        <v>589</v>
      </c>
      <c r="C70" s="27">
        <v>1060</v>
      </c>
      <c r="D70" s="27">
        <v>525</v>
      </c>
      <c r="E70" s="27">
        <v>535</v>
      </c>
      <c r="F70" s="8"/>
    </row>
    <row r="71" spans="1:6" ht="21.95" customHeight="1" x14ac:dyDescent="0.25">
      <c r="A71" s="23">
        <v>50</v>
      </c>
      <c r="B71" s="27" t="s">
        <v>590</v>
      </c>
      <c r="C71" s="27">
        <v>1578</v>
      </c>
      <c r="D71" s="27">
        <v>728</v>
      </c>
      <c r="E71" s="27">
        <v>850</v>
      </c>
      <c r="F71" s="8"/>
    </row>
    <row r="72" spans="1:6" ht="21.95" customHeight="1" x14ac:dyDescent="0.25">
      <c r="A72" s="23">
        <v>51</v>
      </c>
      <c r="B72" s="27" t="s">
        <v>567</v>
      </c>
      <c r="C72" s="27">
        <v>1303</v>
      </c>
      <c r="D72" s="27">
        <v>631</v>
      </c>
      <c r="E72" s="27">
        <v>672</v>
      </c>
      <c r="F72" s="8"/>
    </row>
    <row r="73" spans="1:6" ht="21.95" customHeight="1" x14ac:dyDescent="0.25">
      <c r="A73" s="23">
        <v>52</v>
      </c>
      <c r="B73" s="27" t="s">
        <v>591</v>
      </c>
      <c r="C73" s="27">
        <v>4492</v>
      </c>
      <c r="D73" s="27">
        <v>2131</v>
      </c>
      <c r="E73" s="27">
        <v>2361</v>
      </c>
      <c r="F73" s="8"/>
    </row>
    <row r="74" spans="1:6" ht="21.95" customHeight="1" x14ac:dyDescent="0.25">
      <c r="A74" s="23">
        <v>53</v>
      </c>
      <c r="B74" s="27" t="s">
        <v>592</v>
      </c>
      <c r="C74" s="27">
        <v>1958</v>
      </c>
      <c r="D74" s="27">
        <v>920</v>
      </c>
      <c r="E74" s="27">
        <v>1038</v>
      </c>
      <c r="F74" s="8"/>
    </row>
    <row r="75" spans="1:6" ht="21.95" customHeight="1" x14ac:dyDescent="0.25">
      <c r="A75" s="23">
        <v>54</v>
      </c>
      <c r="B75" s="27" t="s">
        <v>593</v>
      </c>
      <c r="C75" s="27">
        <v>1084</v>
      </c>
      <c r="D75" s="27">
        <v>539</v>
      </c>
      <c r="E75" s="27">
        <v>545</v>
      </c>
      <c r="F75" s="8"/>
    </row>
    <row r="76" spans="1:6" ht="21.95" customHeight="1" x14ac:dyDescent="0.25">
      <c r="A76" s="23">
        <v>55</v>
      </c>
      <c r="B76" s="27" t="s">
        <v>594</v>
      </c>
      <c r="C76" s="27">
        <v>207</v>
      </c>
      <c r="D76" s="27">
        <v>93</v>
      </c>
      <c r="E76" s="27">
        <v>114</v>
      </c>
      <c r="F76" s="8"/>
    </row>
    <row r="77" spans="1:6" ht="21.95" customHeight="1" x14ac:dyDescent="0.25">
      <c r="A77" s="23">
        <v>56</v>
      </c>
      <c r="B77" s="27" t="s">
        <v>595</v>
      </c>
      <c r="C77" s="27">
        <v>1758</v>
      </c>
      <c r="D77" s="27">
        <v>835</v>
      </c>
      <c r="E77" s="27">
        <v>923</v>
      </c>
      <c r="F77" s="8"/>
    </row>
    <row r="78" spans="1:6" ht="21.95" customHeight="1" x14ac:dyDescent="0.25">
      <c r="A78" s="23">
        <v>57</v>
      </c>
      <c r="B78" s="27" t="s">
        <v>596</v>
      </c>
      <c r="C78" s="27">
        <v>1449</v>
      </c>
      <c r="D78" s="27">
        <v>652</v>
      </c>
      <c r="E78" s="27">
        <v>797</v>
      </c>
      <c r="F78" s="8"/>
    </row>
    <row r="79" spans="1:6" ht="21.95" customHeight="1" x14ac:dyDescent="0.25">
      <c r="A79" s="23">
        <v>58</v>
      </c>
      <c r="B79" s="27" t="s">
        <v>597</v>
      </c>
      <c r="C79" s="27">
        <v>1604</v>
      </c>
      <c r="D79" s="27">
        <v>789</v>
      </c>
      <c r="E79" s="27">
        <v>815</v>
      </c>
      <c r="F79" s="8"/>
    </row>
    <row r="80" spans="1:6" ht="21.95" customHeight="1" x14ac:dyDescent="0.25">
      <c r="A80" s="23">
        <v>59</v>
      </c>
      <c r="B80" s="27" t="s">
        <v>598</v>
      </c>
      <c r="C80" s="27">
        <v>678</v>
      </c>
      <c r="D80" s="27">
        <v>340</v>
      </c>
      <c r="E80" s="27">
        <v>338</v>
      </c>
      <c r="F80" s="8"/>
    </row>
    <row r="81" spans="1:6" ht="21.95" customHeight="1" x14ac:dyDescent="0.25">
      <c r="A81" s="23">
        <v>60</v>
      </c>
      <c r="B81" s="27" t="s">
        <v>599</v>
      </c>
      <c r="C81" s="27">
        <v>1151</v>
      </c>
      <c r="D81" s="27">
        <v>550</v>
      </c>
      <c r="E81" s="27">
        <v>601</v>
      </c>
      <c r="F81" s="8"/>
    </row>
    <row r="82" spans="1:6" ht="21.95" customHeight="1" x14ac:dyDescent="0.25">
      <c r="A82" s="23">
        <v>61</v>
      </c>
      <c r="B82" s="27" t="s">
        <v>600</v>
      </c>
      <c r="C82" s="27">
        <v>1442</v>
      </c>
      <c r="D82" s="27">
        <v>680</v>
      </c>
      <c r="E82" s="27">
        <v>762</v>
      </c>
      <c r="F82" s="8"/>
    </row>
    <row r="83" spans="1:6" ht="21.95" customHeight="1" x14ac:dyDescent="0.25">
      <c r="A83" s="23">
        <v>62</v>
      </c>
      <c r="B83" s="27" t="s">
        <v>552</v>
      </c>
      <c r="C83" s="27">
        <v>1726</v>
      </c>
      <c r="D83" s="27">
        <v>805</v>
      </c>
      <c r="E83" s="27">
        <v>921</v>
      </c>
      <c r="F83" s="8"/>
    </row>
    <row r="84" spans="1:6" ht="21.95" customHeight="1" x14ac:dyDescent="0.25">
      <c r="A84" s="23">
        <v>63</v>
      </c>
      <c r="B84" s="27" t="s">
        <v>601</v>
      </c>
      <c r="C84" s="27">
        <v>788</v>
      </c>
      <c r="D84" s="27">
        <v>391</v>
      </c>
      <c r="E84" s="27">
        <v>397</v>
      </c>
      <c r="F84" s="8"/>
    </row>
    <row r="85" spans="1:6" ht="21.95" customHeight="1" x14ac:dyDescent="0.25">
      <c r="A85" s="23">
        <v>64</v>
      </c>
      <c r="B85" s="27" t="s">
        <v>602</v>
      </c>
      <c r="C85" s="27">
        <v>776</v>
      </c>
      <c r="D85" s="27">
        <v>400</v>
      </c>
      <c r="E85" s="27">
        <v>376</v>
      </c>
      <c r="F85" s="8"/>
    </row>
    <row r="86" spans="1:6" ht="21.95" customHeight="1" x14ac:dyDescent="0.25">
      <c r="A86" s="23">
        <v>65</v>
      </c>
      <c r="B86" s="27" t="s">
        <v>603</v>
      </c>
      <c r="C86" s="27">
        <v>1119</v>
      </c>
      <c r="D86" s="27">
        <v>575</v>
      </c>
      <c r="E86" s="27">
        <v>544</v>
      </c>
      <c r="F86" s="8"/>
    </row>
    <row r="87" spans="1:6" ht="21.95" customHeight="1" x14ac:dyDescent="0.25">
      <c r="A87" s="23">
        <v>66</v>
      </c>
      <c r="B87" s="27" t="s">
        <v>604</v>
      </c>
      <c r="C87" s="27">
        <v>1922</v>
      </c>
      <c r="D87" s="27">
        <v>967</v>
      </c>
      <c r="E87" s="27">
        <v>955</v>
      </c>
      <c r="F87" s="8"/>
    </row>
    <row r="88" spans="1:6" ht="21.95" customHeight="1" x14ac:dyDescent="0.25">
      <c r="A88" s="23">
        <v>67</v>
      </c>
      <c r="B88" s="27" t="s">
        <v>605</v>
      </c>
      <c r="C88" s="27">
        <v>568</v>
      </c>
      <c r="D88" s="27">
        <v>281</v>
      </c>
      <c r="E88" s="27">
        <v>287</v>
      </c>
      <c r="F88" s="8"/>
    </row>
    <row r="89" spans="1:6" ht="21.95" customHeight="1" x14ac:dyDescent="0.25">
      <c r="A89" s="23">
        <v>68</v>
      </c>
      <c r="B89" s="27" t="s">
        <v>606</v>
      </c>
      <c r="C89" s="27">
        <v>1833</v>
      </c>
      <c r="D89" s="27">
        <v>838</v>
      </c>
      <c r="E89" s="27">
        <v>995</v>
      </c>
      <c r="F89" s="8"/>
    </row>
    <row r="90" spans="1:6" ht="21.95" customHeight="1" x14ac:dyDescent="0.25">
      <c r="A90" s="23">
        <v>69</v>
      </c>
      <c r="B90" s="27" t="s">
        <v>607</v>
      </c>
      <c r="C90" s="27">
        <v>1521</v>
      </c>
      <c r="D90" s="27">
        <v>689</v>
      </c>
      <c r="E90" s="27">
        <v>832</v>
      </c>
      <c r="F90" s="8"/>
    </row>
    <row r="91" spans="1:6" ht="21.95" customHeight="1" x14ac:dyDescent="0.25">
      <c r="A91" s="23">
        <v>70</v>
      </c>
      <c r="B91" s="27" t="s">
        <v>608</v>
      </c>
      <c r="C91" s="27">
        <v>391</v>
      </c>
      <c r="D91" s="27">
        <v>186</v>
      </c>
      <c r="E91" s="27">
        <v>205</v>
      </c>
      <c r="F91" s="8"/>
    </row>
    <row r="92" spans="1:6" ht="21.95" customHeight="1" x14ac:dyDescent="0.25">
      <c r="A92" s="23">
        <v>71</v>
      </c>
      <c r="B92" s="27" t="s">
        <v>397</v>
      </c>
      <c r="C92" s="27">
        <v>724</v>
      </c>
      <c r="D92" s="27">
        <v>373</v>
      </c>
      <c r="E92" s="27">
        <v>351</v>
      </c>
      <c r="F92" s="8"/>
    </row>
    <row r="93" spans="1:6" ht="21.95" customHeight="1" x14ac:dyDescent="0.25">
      <c r="A93" s="23">
        <v>72</v>
      </c>
      <c r="B93" s="27" t="s">
        <v>609</v>
      </c>
      <c r="C93" s="27">
        <v>1259</v>
      </c>
      <c r="D93" s="27">
        <v>672</v>
      </c>
      <c r="E93" s="27">
        <v>587</v>
      </c>
      <c r="F93" s="8"/>
    </row>
    <row r="94" spans="1:6" ht="21.95" customHeight="1" x14ac:dyDescent="0.25">
      <c r="A94" s="23">
        <v>73</v>
      </c>
      <c r="B94" s="27" t="s">
        <v>132</v>
      </c>
      <c r="C94" s="27">
        <v>1109</v>
      </c>
      <c r="D94" s="27">
        <v>534</v>
      </c>
      <c r="E94" s="27">
        <v>575</v>
      </c>
      <c r="F94" s="8"/>
    </row>
    <row r="95" spans="1:6" ht="21.95" customHeight="1" x14ac:dyDescent="0.25">
      <c r="A95" s="23">
        <v>74</v>
      </c>
      <c r="B95" s="27" t="s">
        <v>610</v>
      </c>
      <c r="C95" s="27">
        <v>383</v>
      </c>
      <c r="D95" s="27">
        <v>196</v>
      </c>
      <c r="E95" s="27">
        <v>187</v>
      </c>
      <c r="F95" s="8"/>
    </row>
    <row r="96" spans="1:6" ht="21.95" customHeight="1" x14ac:dyDescent="0.25">
      <c r="A96" s="28">
        <v>75</v>
      </c>
      <c r="B96" s="29" t="s">
        <v>611</v>
      </c>
      <c r="C96" s="29">
        <v>1164</v>
      </c>
      <c r="D96" s="29">
        <v>564</v>
      </c>
      <c r="E96" s="29">
        <v>600</v>
      </c>
      <c r="F96" s="8"/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 Lashio District, Lashio Township"/>
  </hyperlinks>
  <pageMargins left="0.75" right="0.5" top="0.5" bottom="0.2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workbookViewId="0">
      <selection sqref="A1:E1"/>
    </sheetView>
  </sheetViews>
  <sheetFormatPr defaultRowHeight="15" x14ac:dyDescent="0.25"/>
  <cols>
    <col min="2" max="2" width="28.42578125" customWidth="1"/>
    <col min="3" max="5" width="15.7109375" customWidth="1"/>
    <col min="7" max="7" width="8.42578125" customWidth="1"/>
  </cols>
  <sheetData>
    <row r="1" spans="1:8" ht="18.75" x14ac:dyDescent="0.3">
      <c r="A1" s="180" t="s">
        <v>1401</v>
      </c>
      <c r="B1" s="180"/>
      <c r="C1" s="180"/>
      <c r="D1" s="180"/>
      <c r="E1" s="180"/>
    </row>
    <row r="2" spans="1:8" ht="15.75" x14ac:dyDescent="0.25">
      <c r="A2" s="20"/>
      <c r="B2" s="20"/>
      <c r="C2" s="20"/>
      <c r="D2" s="20"/>
      <c r="E2" s="74" t="s">
        <v>1341</v>
      </c>
    </row>
    <row r="3" spans="1:8" ht="15.75" x14ac:dyDescent="0.25">
      <c r="A3" s="20"/>
      <c r="B3" s="20"/>
      <c r="C3" s="20"/>
      <c r="D3" s="20"/>
      <c r="E3" s="20"/>
    </row>
    <row r="4" spans="1:8" ht="15.75" x14ac:dyDescent="0.25">
      <c r="A4" s="173" t="s">
        <v>1339</v>
      </c>
      <c r="B4" s="173" t="s">
        <v>1422</v>
      </c>
      <c r="C4" s="174" t="s">
        <v>1340</v>
      </c>
      <c r="D4" s="175"/>
      <c r="E4" s="176"/>
    </row>
    <row r="5" spans="1:8" ht="15.75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8" ht="25.5" customHeight="1" x14ac:dyDescent="0.25">
      <c r="A6" s="48"/>
      <c r="B6" s="26" t="s">
        <v>0</v>
      </c>
      <c r="C6" s="26">
        <v>56662</v>
      </c>
      <c r="D6" s="26">
        <v>28604</v>
      </c>
      <c r="E6" s="26">
        <v>28058</v>
      </c>
      <c r="F6" s="8"/>
      <c r="G6" s="8"/>
      <c r="H6" s="8"/>
    </row>
    <row r="7" spans="1:8" ht="10.5" customHeight="1" x14ac:dyDescent="0.25">
      <c r="A7" s="23"/>
      <c r="B7" s="24"/>
      <c r="C7" s="24"/>
      <c r="D7" s="24"/>
      <c r="E7" s="24"/>
    </row>
    <row r="8" spans="1:8" ht="24.95" customHeight="1" x14ac:dyDescent="0.25">
      <c r="A8" s="23"/>
      <c r="B8" s="24" t="s">
        <v>1338</v>
      </c>
      <c r="C8" s="24">
        <f>SUM(C9:C12)</f>
        <v>9152</v>
      </c>
      <c r="D8" s="24">
        <f t="shared" ref="D8:E8" si="0">SUM(D9:D12)</f>
        <v>4449</v>
      </c>
      <c r="E8" s="24">
        <f t="shared" si="0"/>
        <v>4703</v>
      </c>
    </row>
    <row r="9" spans="1:8" ht="24.95" customHeight="1" x14ac:dyDescent="0.25">
      <c r="A9" s="23">
        <v>1</v>
      </c>
      <c r="B9" s="27" t="s">
        <v>25</v>
      </c>
      <c r="C9" s="27">
        <v>1710</v>
      </c>
      <c r="D9" s="27">
        <v>803</v>
      </c>
      <c r="E9" s="27">
        <v>907</v>
      </c>
      <c r="F9" s="8"/>
    </row>
    <row r="10" spans="1:8" ht="24.95" customHeight="1" x14ac:dyDescent="0.25">
      <c r="A10" s="23">
        <v>2</v>
      </c>
      <c r="B10" s="27" t="s">
        <v>26</v>
      </c>
      <c r="C10" s="27">
        <v>1321</v>
      </c>
      <c r="D10" s="27">
        <v>655</v>
      </c>
      <c r="E10" s="27">
        <v>666</v>
      </c>
      <c r="F10" s="8"/>
    </row>
    <row r="11" spans="1:8" ht="24.95" customHeight="1" x14ac:dyDescent="0.25">
      <c r="A11" s="23">
        <v>3</v>
      </c>
      <c r="B11" s="27" t="s">
        <v>27</v>
      </c>
      <c r="C11" s="27">
        <v>3612</v>
      </c>
      <c r="D11" s="27">
        <v>1759</v>
      </c>
      <c r="E11" s="27">
        <v>1853</v>
      </c>
      <c r="F11" s="8"/>
    </row>
    <row r="12" spans="1:8" ht="24.95" customHeight="1" x14ac:dyDescent="0.25">
      <c r="A12" s="23">
        <v>4</v>
      </c>
      <c r="B12" s="27" t="s">
        <v>28</v>
      </c>
      <c r="C12" s="27">
        <v>2509</v>
      </c>
      <c r="D12" s="27">
        <v>1232</v>
      </c>
      <c r="E12" s="27">
        <v>1277</v>
      </c>
      <c r="F12" s="8"/>
    </row>
    <row r="13" spans="1:8" ht="24.95" customHeight="1" x14ac:dyDescent="0.25">
      <c r="A13" s="23"/>
      <c r="B13" s="24" t="s">
        <v>1410</v>
      </c>
      <c r="C13" s="24">
        <f>SUM(C14:C45)</f>
        <v>47510</v>
      </c>
      <c r="D13" s="24">
        <f t="shared" ref="D13:E13" si="1">SUM(D14:D45)</f>
        <v>24155</v>
      </c>
      <c r="E13" s="24">
        <f t="shared" si="1"/>
        <v>23355</v>
      </c>
    </row>
    <row r="14" spans="1:8" ht="24.95" customHeight="1" x14ac:dyDescent="0.25">
      <c r="A14" s="23">
        <v>1</v>
      </c>
      <c r="B14" s="27" t="s">
        <v>612</v>
      </c>
      <c r="C14" s="27">
        <v>1807</v>
      </c>
      <c r="D14" s="27">
        <v>868</v>
      </c>
      <c r="E14" s="27">
        <v>939</v>
      </c>
      <c r="F14" s="8"/>
    </row>
    <row r="15" spans="1:8" ht="24.95" customHeight="1" x14ac:dyDescent="0.25">
      <c r="A15" s="23">
        <v>2</v>
      </c>
      <c r="B15" s="27" t="s">
        <v>394</v>
      </c>
      <c r="C15" s="27">
        <v>2110</v>
      </c>
      <c r="D15" s="27">
        <v>1045</v>
      </c>
      <c r="E15" s="27">
        <v>1065</v>
      </c>
      <c r="F15" s="8"/>
    </row>
    <row r="16" spans="1:8" ht="24.95" customHeight="1" x14ac:dyDescent="0.25">
      <c r="A16" s="23">
        <v>3</v>
      </c>
      <c r="B16" s="27" t="s">
        <v>613</v>
      </c>
      <c r="C16" s="27">
        <v>4449</v>
      </c>
      <c r="D16" s="27">
        <v>2370</v>
      </c>
      <c r="E16" s="27">
        <v>2079</v>
      </c>
      <c r="F16" s="8"/>
    </row>
    <row r="17" spans="1:6" ht="24.95" customHeight="1" x14ac:dyDescent="0.25">
      <c r="A17" s="23">
        <v>4</v>
      </c>
      <c r="B17" s="27" t="s">
        <v>614</v>
      </c>
      <c r="C17" s="27">
        <v>952</v>
      </c>
      <c r="D17" s="27">
        <v>442</v>
      </c>
      <c r="E17" s="27">
        <v>510</v>
      </c>
      <c r="F17" s="8"/>
    </row>
    <row r="18" spans="1:6" ht="24.95" customHeight="1" x14ac:dyDescent="0.25">
      <c r="A18" s="23">
        <v>5</v>
      </c>
      <c r="B18" s="27" t="s">
        <v>615</v>
      </c>
      <c r="C18" s="27">
        <v>2916</v>
      </c>
      <c r="D18" s="27">
        <v>1556</v>
      </c>
      <c r="E18" s="27">
        <v>1360</v>
      </c>
      <c r="F18" s="8"/>
    </row>
    <row r="19" spans="1:6" ht="24.95" customHeight="1" x14ac:dyDescent="0.25">
      <c r="A19" s="23">
        <v>6</v>
      </c>
      <c r="B19" s="27" t="s">
        <v>616</v>
      </c>
      <c r="C19" s="27">
        <v>457</v>
      </c>
      <c r="D19" s="27">
        <v>219</v>
      </c>
      <c r="E19" s="27">
        <v>238</v>
      </c>
      <c r="F19" s="8"/>
    </row>
    <row r="20" spans="1:6" ht="24.95" customHeight="1" x14ac:dyDescent="0.25">
      <c r="A20" s="23">
        <v>7</v>
      </c>
      <c r="B20" s="27" t="s">
        <v>469</v>
      </c>
      <c r="C20" s="27">
        <v>496</v>
      </c>
      <c r="D20" s="27">
        <v>228</v>
      </c>
      <c r="E20" s="27">
        <v>268</v>
      </c>
      <c r="F20" s="8"/>
    </row>
    <row r="21" spans="1:6" ht="24.95" customHeight="1" x14ac:dyDescent="0.25">
      <c r="A21" s="23">
        <v>8</v>
      </c>
      <c r="B21" s="27" t="s">
        <v>617</v>
      </c>
      <c r="C21" s="27">
        <v>726</v>
      </c>
      <c r="D21" s="27">
        <v>369</v>
      </c>
      <c r="E21" s="27">
        <v>357</v>
      </c>
      <c r="F21" s="8"/>
    </row>
    <row r="22" spans="1:6" ht="24.95" customHeight="1" x14ac:dyDescent="0.25">
      <c r="A22" s="23">
        <v>9</v>
      </c>
      <c r="B22" s="27" t="s">
        <v>618</v>
      </c>
      <c r="C22" s="27">
        <v>814</v>
      </c>
      <c r="D22" s="27">
        <v>432</v>
      </c>
      <c r="E22" s="27">
        <v>382</v>
      </c>
      <c r="F22" s="8"/>
    </row>
    <row r="23" spans="1:6" ht="24.95" customHeight="1" x14ac:dyDescent="0.25">
      <c r="A23" s="23">
        <v>10</v>
      </c>
      <c r="B23" s="27" t="s">
        <v>619</v>
      </c>
      <c r="C23" s="27">
        <v>804</v>
      </c>
      <c r="D23" s="27">
        <v>404</v>
      </c>
      <c r="E23" s="27">
        <v>400</v>
      </c>
      <c r="F23" s="8"/>
    </row>
    <row r="24" spans="1:6" ht="24.95" customHeight="1" x14ac:dyDescent="0.25">
      <c r="A24" s="23">
        <v>11</v>
      </c>
      <c r="B24" s="27" t="s">
        <v>205</v>
      </c>
      <c r="C24" s="27">
        <v>2556</v>
      </c>
      <c r="D24" s="27">
        <v>1317</v>
      </c>
      <c r="E24" s="27">
        <v>1239</v>
      </c>
      <c r="F24" s="8"/>
    </row>
    <row r="25" spans="1:6" ht="24.95" customHeight="1" x14ac:dyDescent="0.25">
      <c r="A25" s="23">
        <v>12</v>
      </c>
      <c r="B25" s="27" t="s">
        <v>620</v>
      </c>
      <c r="C25" s="27">
        <v>1425</v>
      </c>
      <c r="D25" s="27">
        <v>662</v>
      </c>
      <c r="E25" s="27">
        <v>763</v>
      </c>
      <c r="F25" s="8"/>
    </row>
    <row r="26" spans="1:6" ht="24.95" customHeight="1" x14ac:dyDescent="0.25">
      <c r="A26" s="23">
        <v>13</v>
      </c>
      <c r="B26" s="27" t="s">
        <v>621</v>
      </c>
      <c r="C26" s="27">
        <v>329</v>
      </c>
      <c r="D26" s="27">
        <v>162</v>
      </c>
      <c r="E26" s="27">
        <v>167</v>
      </c>
      <c r="F26" s="8"/>
    </row>
    <row r="27" spans="1:6" ht="24.95" customHeight="1" x14ac:dyDescent="0.25">
      <c r="A27" s="23">
        <v>14</v>
      </c>
      <c r="B27" s="27" t="s">
        <v>622</v>
      </c>
      <c r="C27" s="27">
        <v>1910</v>
      </c>
      <c r="D27" s="27">
        <v>969</v>
      </c>
      <c r="E27" s="27">
        <v>941</v>
      </c>
      <c r="F27" s="8"/>
    </row>
    <row r="28" spans="1:6" ht="24.95" customHeight="1" x14ac:dyDescent="0.25">
      <c r="A28" s="23">
        <v>15</v>
      </c>
      <c r="B28" s="27" t="s">
        <v>623</v>
      </c>
      <c r="C28" s="27">
        <v>638</v>
      </c>
      <c r="D28" s="27">
        <v>316</v>
      </c>
      <c r="E28" s="27">
        <v>322</v>
      </c>
      <c r="F28" s="8"/>
    </row>
    <row r="29" spans="1:6" ht="24.95" customHeight="1" x14ac:dyDescent="0.25">
      <c r="A29" s="23">
        <v>16</v>
      </c>
      <c r="B29" s="27" t="s">
        <v>624</v>
      </c>
      <c r="C29" s="27">
        <v>549</v>
      </c>
      <c r="D29" s="27">
        <v>263</v>
      </c>
      <c r="E29" s="27">
        <v>286</v>
      </c>
      <c r="F29" s="8"/>
    </row>
    <row r="30" spans="1:6" ht="24.95" customHeight="1" x14ac:dyDescent="0.25">
      <c r="A30" s="23">
        <v>17</v>
      </c>
      <c r="B30" s="27" t="s">
        <v>625</v>
      </c>
      <c r="C30" s="27">
        <v>817</v>
      </c>
      <c r="D30" s="27">
        <v>436</v>
      </c>
      <c r="E30" s="27">
        <v>381</v>
      </c>
      <c r="F30" s="8"/>
    </row>
    <row r="31" spans="1:6" ht="24.95" customHeight="1" x14ac:dyDescent="0.25">
      <c r="A31" s="23">
        <v>18</v>
      </c>
      <c r="B31" s="27" t="s">
        <v>626</v>
      </c>
      <c r="C31" s="27">
        <v>4012</v>
      </c>
      <c r="D31" s="27">
        <v>1945</v>
      </c>
      <c r="E31" s="27">
        <v>2067</v>
      </c>
      <c r="F31" s="8"/>
    </row>
    <row r="32" spans="1:6" ht="24.95" customHeight="1" x14ac:dyDescent="0.25">
      <c r="A32" s="23">
        <v>19</v>
      </c>
      <c r="B32" s="27" t="s">
        <v>627</v>
      </c>
      <c r="C32" s="27">
        <v>675</v>
      </c>
      <c r="D32" s="27">
        <v>343</v>
      </c>
      <c r="E32" s="27">
        <v>332</v>
      </c>
      <c r="F32" s="8"/>
    </row>
    <row r="33" spans="1:6" ht="24.95" customHeight="1" x14ac:dyDescent="0.25">
      <c r="A33" s="23">
        <v>20</v>
      </c>
      <c r="B33" s="27" t="s">
        <v>628</v>
      </c>
      <c r="C33" s="27">
        <v>2260</v>
      </c>
      <c r="D33" s="27">
        <v>1193</v>
      </c>
      <c r="E33" s="27">
        <v>1067</v>
      </c>
      <c r="F33" s="8"/>
    </row>
    <row r="34" spans="1:6" ht="24.95" customHeight="1" x14ac:dyDescent="0.25">
      <c r="A34" s="23">
        <v>21</v>
      </c>
      <c r="B34" s="27" t="s">
        <v>629</v>
      </c>
      <c r="C34" s="27">
        <v>6193</v>
      </c>
      <c r="D34" s="27">
        <v>3255</v>
      </c>
      <c r="E34" s="27">
        <v>2938</v>
      </c>
      <c r="F34" s="8"/>
    </row>
    <row r="35" spans="1:6" ht="24.95" customHeight="1" x14ac:dyDescent="0.25">
      <c r="A35" s="23">
        <v>22</v>
      </c>
      <c r="B35" s="27" t="s">
        <v>595</v>
      </c>
      <c r="C35" s="27">
        <v>1966</v>
      </c>
      <c r="D35" s="27">
        <v>997</v>
      </c>
      <c r="E35" s="27">
        <v>969</v>
      </c>
      <c r="F35" s="8"/>
    </row>
    <row r="36" spans="1:6" ht="24.95" customHeight="1" x14ac:dyDescent="0.25">
      <c r="A36" s="23">
        <v>23</v>
      </c>
      <c r="B36" s="27" t="s">
        <v>630</v>
      </c>
      <c r="C36" s="27">
        <v>899</v>
      </c>
      <c r="D36" s="27">
        <v>467</v>
      </c>
      <c r="E36" s="27">
        <v>432</v>
      </c>
      <c r="F36" s="8"/>
    </row>
    <row r="37" spans="1:6" ht="24.95" customHeight="1" x14ac:dyDescent="0.25">
      <c r="A37" s="23">
        <v>24</v>
      </c>
      <c r="B37" s="27" t="s">
        <v>358</v>
      </c>
      <c r="C37" s="27">
        <v>977</v>
      </c>
      <c r="D37" s="27">
        <v>478</v>
      </c>
      <c r="E37" s="27">
        <v>499</v>
      </c>
      <c r="F37" s="8"/>
    </row>
    <row r="38" spans="1:6" ht="24.95" customHeight="1" x14ac:dyDescent="0.25">
      <c r="A38" s="23">
        <v>25</v>
      </c>
      <c r="B38" s="27" t="s">
        <v>631</v>
      </c>
      <c r="C38" s="27">
        <v>1354</v>
      </c>
      <c r="D38" s="27">
        <v>670</v>
      </c>
      <c r="E38" s="27">
        <v>684</v>
      </c>
      <c r="F38" s="8"/>
    </row>
    <row r="39" spans="1:6" ht="24.95" customHeight="1" x14ac:dyDescent="0.25">
      <c r="A39" s="23">
        <v>26</v>
      </c>
      <c r="B39" s="27" t="s">
        <v>632</v>
      </c>
      <c r="C39" s="27">
        <v>1760</v>
      </c>
      <c r="D39" s="27">
        <v>875</v>
      </c>
      <c r="E39" s="27">
        <v>885</v>
      </c>
      <c r="F39" s="8"/>
    </row>
    <row r="40" spans="1:6" ht="24.95" customHeight="1" x14ac:dyDescent="0.25">
      <c r="A40" s="23">
        <v>27</v>
      </c>
      <c r="B40" s="27" t="s">
        <v>633</v>
      </c>
      <c r="C40" s="27">
        <v>439</v>
      </c>
      <c r="D40" s="27">
        <v>212</v>
      </c>
      <c r="E40" s="27">
        <v>227</v>
      </c>
      <c r="F40" s="8"/>
    </row>
    <row r="41" spans="1:6" ht="24.95" customHeight="1" x14ac:dyDescent="0.25">
      <c r="A41" s="23">
        <v>28</v>
      </c>
      <c r="B41" s="27" t="s">
        <v>634</v>
      </c>
      <c r="C41" s="27">
        <v>157</v>
      </c>
      <c r="D41" s="27">
        <v>76</v>
      </c>
      <c r="E41" s="27">
        <v>81</v>
      </c>
      <c r="F41" s="8"/>
    </row>
    <row r="42" spans="1:6" ht="24.95" customHeight="1" x14ac:dyDescent="0.25">
      <c r="A42" s="23">
        <v>29</v>
      </c>
      <c r="B42" s="27" t="s">
        <v>635</v>
      </c>
      <c r="C42" s="27">
        <v>1937</v>
      </c>
      <c r="D42" s="27">
        <v>999</v>
      </c>
      <c r="E42" s="27">
        <v>938</v>
      </c>
      <c r="F42" s="8"/>
    </row>
    <row r="43" spans="1:6" ht="24.95" customHeight="1" x14ac:dyDescent="0.25">
      <c r="A43" s="23">
        <v>30</v>
      </c>
      <c r="B43" s="27" t="s">
        <v>636</v>
      </c>
      <c r="C43" s="27">
        <v>181</v>
      </c>
      <c r="D43" s="27">
        <v>94</v>
      </c>
      <c r="E43" s="27">
        <v>87</v>
      </c>
      <c r="F43" s="8"/>
    </row>
    <row r="44" spans="1:6" ht="24.95" customHeight="1" x14ac:dyDescent="0.25">
      <c r="A44" s="23">
        <v>31</v>
      </c>
      <c r="B44" s="27" t="s">
        <v>637</v>
      </c>
      <c r="C44" s="27">
        <v>895</v>
      </c>
      <c r="D44" s="27">
        <v>466</v>
      </c>
      <c r="E44" s="27">
        <v>429</v>
      </c>
      <c r="F44" s="8"/>
    </row>
    <row r="45" spans="1:6" ht="24.95" customHeight="1" x14ac:dyDescent="0.25">
      <c r="A45" s="28">
        <v>32</v>
      </c>
      <c r="B45" s="29" t="s">
        <v>638</v>
      </c>
      <c r="C45" s="29">
        <v>50</v>
      </c>
      <c r="D45" s="29">
        <v>27</v>
      </c>
      <c r="E45" s="29">
        <v>23</v>
      </c>
      <c r="F45" s="8"/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 Lashio District,  Theinni Township"/>
  </hyperlinks>
  <pageMargins left="0.75" right="0.5" top="0.5" bottom="0.2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"/>
  <sheetViews>
    <sheetView workbookViewId="0">
      <selection sqref="A1:E1"/>
    </sheetView>
  </sheetViews>
  <sheetFormatPr defaultRowHeight="15" x14ac:dyDescent="0.25"/>
  <cols>
    <col min="1" max="1" width="7.7109375" customWidth="1"/>
    <col min="2" max="2" width="32.140625" customWidth="1"/>
    <col min="3" max="5" width="15.7109375" customWidth="1"/>
  </cols>
  <sheetData>
    <row r="1" spans="1:5" ht="18.75" x14ac:dyDescent="0.3">
      <c r="A1" s="180" t="s">
        <v>1371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4.5" customHeight="1" x14ac:dyDescent="0.25">
      <c r="A3" s="20"/>
      <c r="B3" s="20"/>
      <c r="C3" s="20"/>
      <c r="D3" s="20"/>
      <c r="E3" s="20"/>
    </row>
    <row r="4" spans="1:5" ht="15.75" x14ac:dyDescent="0.25">
      <c r="A4" s="173" t="s">
        <v>1339</v>
      </c>
      <c r="B4" s="173" t="s">
        <v>1422</v>
      </c>
      <c r="C4" s="174" t="s">
        <v>1340</v>
      </c>
      <c r="D4" s="175"/>
      <c r="E4" s="176"/>
    </row>
    <row r="5" spans="1:5" ht="15.75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5" ht="21.75" customHeight="1" x14ac:dyDescent="0.25">
      <c r="A6" s="48"/>
      <c r="B6" s="26" t="s">
        <v>0</v>
      </c>
      <c r="C6" s="26">
        <v>59376</v>
      </c>
      <c r="D6" s="26">
        <v>28391</v>
      </c>
      <c r="E6" s="26">
        <v>30985</v>
      </c>
    </row>
    <row r="7" spans="1:5" ht="7.5" customHeight="1" x14ac:dyDescent="0.25">
      <c r="A7" s="23"/>
      <c r="B7" s="24"/>
      <c r="C7" s="24"/>
      <c r="D7" s="24"/>
      <c r="E7" s="24"/>
    </row>
    <row r="8" spans="1:5" ht="24.95" customHeight="1" x14ac:dyDescent="0.25">
      <c r="A8" s="23"/>
      <c r="B8" s="24" t="s">
        <v>1338</v>
      </c>
      <c r="C8" s="24">
        <f>SUM(C9:C11)</f>
        <v>7046</v>
      </c>
      <c r="D8" s="24">
        <f t="shared" ref="D8:E8" si="0">SUM(D9:D11)</f>
        <v>3594</v>
      </c>
      <c r="E8" s="24">
        <f t="shared" si="0"/>
        <v>3452</v>
      </c>
    </row>
    <row r="9" spans="1:5" ht="24.95" customHeight="1" x14ac:dyDescent="0.25">
      <c r="A9" s="23">
        <v>1</v>
      </c>
      <c r="B9" s="27" t="s">
        <v>25</v>
      </c>
      <c r="C9" s="27">
        <v>2466</v>
      </c>
      <c r="D9" s="27">
        <v>1257</v>
      </c>
      <c r="E9" s="27">
        <v>1209</v>
      </c>
    </row>
    <row r="10" spans="1:5" ht="24.95" customHeight="1" x14ac:dyDescent="0.25">
      <c r="A10" s="23">
        <v>2</v>
      </c>
      <c r="B10" s="27" t="s">
        <v>26</v>
      </c>
      <c r="C10" s="27">
        <v>1204</v>
      </c>
      <c r="D10" s="27">
        <v>559</v>
      </c>
      <c r="E10" s="27">
        <v>645</v>
      </c>
    </row>
    <row r="11" spans="1:5" ht="24.95" customHeight="1" x14ac:dyDescent="0.25">
      <c r="A11" s="23">
        <v>3</v>
      </c>
      <c r="B11" s="27" t="s">
        <v>27</v>
      </c>
      <c r="C11" s="27">
        <v>3376</v>
      </c>
      <c r="D11" s="27">
        <v>1778</v>
      </c>
      <c r="E11" s="27">
        <v>1598</v>
      </c>
    </row>
    <row r="12" spans="1:5" ht="24.95" customHeight="1" x14ac:dyDescent="0.25">
      <c r="A12" s="23"/>
      <c r="B12" s="24" t="s">
        <v>1410</v>
      </c>
      <c r="C12" s="24">
        <f>SUM(C13:C37)</f>
        <v>52330</v>
      </c>
      <c r="D12" s="24">
        <f t="shared" ref="D12:E12" si="1">SUM(D13:D37)</f>
        <v>24797</v>
      </c>
      <c r="E12" s="24">
        <f t="shared" si="1"/>
        <v>27533</v>
      </c>
    </row>
    <row r="13" spans="1:5" ht="24.95" customHeight="1" x14ac:dyDescent="0.25">
      <c r="A13" s="23">
        <v>1</v>
      </c>
      <c r="B13" s="27" t="s">
        <v>639</v>
      </c>
      <c r="C13" s="27">
        <v>1913</v>
      </c>
      <c r="D13" s="27">
        <v>920</v>
      </c>
      <c r="E13" s="27">
        <v>993</v>
      </c>
    </row>
    <row r="14" spans="1:5" ht="24.95" customHeight="1" x14ac:dyDescent="0.25">
      <c r="A14" s="23">
        <v>2</v>
      </c>
      <c r="B14" s="27" t="s">
        <v>640</v>
      </c>
      <c r="C14" s="27">
        <v>1787</v>
      </c>
      <c r="D14" s="27">
        <v>840</v>
      </c>
      <c r="E14" s="27">
        <v>947</v>
      </c>
    </row>
    <row r="15" spans="1:5" ht="24.95" customHeight="1" x14ac:dyDescent="0.25">
      <c r="A15" s="23">
        <v>3</v>
      </c>
      <c r="B15" s="27" t="s">
        <v>641</v>
      </c>
      <c r="C15" s="27">
        <v>1257</v>
      </c>
      <c r="D15" s="27">
        <v>587</v>
      </c>
      <c r="E15" s="27">
        <v>670</v>
      </c>
    </row>
    <row r="16" spans="1:5" ht="24.95" customHeight="1" x14ac:dyDescent="0.25">
      <c r="A16" s="23">
        <v>4</v>
      </c>
      <c r="B16" s="27" t="s">
        <v>642</v>
      </c>
      <c r="C16" s="27">
        <v>2541</v>
      </c>
      <c r="D16" s="27">
        <v>1242</v>
      </c>
      <c r="E16" s="27">
        <v>1299</v>
      </c>
    </row>
    <row r="17" spans="1:5" ht="24.95" customHeight="1" x14ac:dyDescent="0.25">
      <c r="A17" s="23">
        <v>5</v>
      </c>
      <c r="B17" s="27" t="s">
        <v>643</v>
      </c>
      <c r="C17" s="27">
        <v>2094</v>
      </c>
      <c r="D17" s="27">
        <v>1028</v>
      </c>
      <c r="E17" s="27">
        <v>1066</v>
      </c>
    </row>
    <row r="18" spans="1:5" ht="24.95" customHeight="1" x14ac:dyDescent="0.25">
      <c r="A18" s="23">
        <v>6</v>
      </c>
      <c r="B18" s="27" t="s">
        <v>644</v>
      </c>
      <c r="C18" s="27">
        <v>1788</v>
      </c>
      <c r="D18" s="27">
        <v>876</v>
      </c>
      <c r="E18" s="27">
        <v>912</v>
      </c>
    </row>
    <row r="19" spans="1:5" ht="24.95" customHeight="1" x14ac:dyDescent="0.25">
      <c r="A19" s="23">
        <v>7</v>
      </c>
      <c r="B19" s="27" t="s">
        <v>645</v>
      </c>
      <c r="C19" s="27">
        <v>2956</v>
      </c>
      <c r="D19" s="27">
        <v>1360</v>
      </c>
      <c r="E19" s="27">
        <v>1596</v>
      </c>
    </row>
    <row r="20" spans="1:5" ht="24.95" customHeight="1" x14ac:dyDescent="0.25">
      <c r="A20" s="23">
        <v>8</v>
      </c>
      <c r="B20" s="27" t="s">
        <v>646</v>
      </c>
      <c r="C20" s="27">
        <v>2286</v>
      </c>
      <c r="D20" s="27">
        <v>1078</v>
      </c>
      <c r="E20" s="27">
        <v>1208</v>
      </c>
    </row>
    <row r="21" spans="1:5" ht="24.95" customHeight="1" x14ac:dyDescent="0.25">
      <c r="A21" s="23">
        <v>9</v>
      </c>
      <c r="B21" s="27" t="s">
        <v>481</v>
      </c>
      <c r="C21" s="27">
        <v>2837</v>
      </c>
      <c r="D21" s="27">
        <v>1407</v>
      </c>
      <c r="E21" s="27">
        <v>1430</v>
      </c>
    </row>
    <row r="22" spans="1:5" ht="24.95" customHeight="1" x14ac:dyDescent="0.25">
      <c r="A22" s="23">
        <v>10</v>
      </c>
      <c r="B22" s="27" t="s">
        <v>647</v>
      </c>
      <c r="C22" s="27">
        <v>3065</v>
      </c>
      <c r="D22" s="27">
        <v>1485</v>
      </c>
      <c r="E22" s="27">
        <v>1580</v>
      </c>
    </row>
    <row r="23" spans="1:5" ht="24.95" customHeight="1" x14ac:dyDescent="0.25">
      <c r="A23" s="23">
        <v>11</v>
      </c>
      <c r="B23" s="27" t="s">
        <v>648</v>
      </c>
      <c r="C23" s="27">
        <v>1038</v>
      </c>
      <c r="D23" s="27">
        <v>494</v>
      </c>
      <c r="E23" s="27">
        <v>544</v>
      </c>
    </row>
    <row r="24" spans="1:5" ht="24.95" customHeight="1" x14ac:dyDescent="0.25">
      <c r="A24" s="23">
        <v>12</v>
      </c>
      <c r="B24" s="27" t="s">
        <v>649</v>
      </c>
      <c r="C24" s="27">
        <v>1041</v>
      </c>
      <c r="D24" s="27">
        <v>477</v>
      </c>
      <c r="E24" s="27">
        <v>564</v>
      </c>
    </row>
    <row r="25" spans="1:5" ht="24.95" customHeight="1" x14ac:dyDescent="0.25">
      <c r="A25" s="23">
        <v>13</v>
      </c>
      <c r="B25" s="27" t="s">
        <v>650</v>
      </c>
      <c r="C25" s="27">
        <v>1268</v>
      </c>
      <c r="D25" s="27">
        <v>570</v>
      </c>
      <c r="E25" s="27">
        <v>698</v>
      </c>
    </row>
    <row r="26" spans="1:5" ht="24.95" customHeight="1" x14ac:dyDescent="0.25">
      <c r="A26" s="23">
        <v>14</v>
      </c>
      <c r="B26" s="27" t="s">
        <v>651</v>
      </c>
      <c r="C26" s="27">
        <v>1896</v>
      </c>
      <c r="D26" s="27">
        <v>872</v>
      </c>
      <c r="E26" s="27">
        <v>1024</v>
      </c>
    </row>
    <row r="27" spans="1:5" ht="24.95" customHeight="1" x14ac:dyDescent="0.25">
      <c r="A27" s="23">
        <v>15</v>
      </c>
      <c r="B27" s="27" t="s">
        <v>652</v>
      </c>
      <c r="C27" s="27">
        <v>2142</v>
      </c>
      <c r="D27" s="27">
        <v>1013</v>
      </c>
      <c r="E27" s="27">
        <v>1129</v>
      </c>
    </row>
    <row r="28" spans="1:5" ht="24.95" customHeight="1" x14ac:dyDescent="0.25">
      <c r="A28" s="23">
        <v>16</v>
      </c>
      <c r="B28" s="27" t="s">
        <v>653</v>
      </c>
      <c r="C28" s="27">
        <v>2194</v>
      </c>
      <c r="D28" s="27">
        <v>1025</v>
      </c>
      <c r="E28" s="27">
        <v>1169</v>
      </c>
    </row>
    <row r="29" spans="1:5" ht="24.95" customHeight="1" x14ac:dyDescent="0.25">
      <c r="A29" s="23">
        <v>17</v>
      </c>
      <c r="B29" s="27" t="s">
        <v>472</v>
      </c>
      <c r="C29" s="27">
        <v>1434</v>
      </c>
      <c r="D29" s="27">
        <v>659</v>
      </c>
      <c r="E29" s="27">
        <v>775</v>
      </c>
    </row>
    <row r="30" spans="1:5" ht="24.95" customHeight="1" x14ac:dyDescent="0.25">
      <c r="A30" s="23">
        <v>18</v>
      </c>
      <c r="B30" s="27" t="s">
        <v>654</v>
      </c>
      <c r="C30" s="27">
        <v>2094</v>
      </c>
      <c r="D30" s="27">
        <v>1030</v>
      </c>
      <c r="E30" s="27">
        <v>1064</v>
      </c>
    </row>
    <row r="31" spans="1:5" ht="24.95" customHeight="1" x14ac:dyDescent="0.25">
      <c r="A31" s="23">
        <v>19</v>
      </c>
      <c r="B31" s="27" t="s">
        <v>655</v>
      </c>
      <c r="C31" s="27">
        <v>2867</v>
      </c>
      <c r="D31" s="27">
        <v>1290</v>
      </c>
      <c r="E31" s="27">
        <v>1577</v>
      </c>
    </row>
    <row r="32" spans="1:5" ht="24.95" customHeight="1" x14ac:dyDescent="0.25">
      <c r="A32" s="23">
        <v>20</v>
      </c>
      <c r="B32" s="27" t="s">
        <v>407</v>
      </c>
      <c r="C32" s="27">
        <v>1116</v>
      </c>
      <c r="D32" s="27">
        <v>515</v>
      </c>
      <c r="E32" s="27">
        <v>601</v>
      </c>
    </row>
    <row r="33" spans="1:5" ht="24.95" customHeight="1" x14ac:dyDescent="0.25">
      <c r="A33" s="23">
        <v>21</v>
      </c>
      <c r="B33" s="27" t="s">
        <v>656</v>
      </c>
      <c r="C33" s="27">
        <v>1522</v>
      </c>
      <c r="D33" s="27">
        <v>684</v>
      </c>
      <c r="E33" s="27">
        <v>838</v>
      </c>
    </row>
    <row r="34" spans="1:5" ht="24.95" customHeight="1" x14ac:dyDescent="0.25">
      <c r="A34" s="23">
        <v>22</v>
      </c>
      <c r="B34" s="27" t="s">
        <v>657</v>
      </c>
      <c r="C34" s="27">
        <v>2608</v>
      </c>
      <c r="D34" s="27">
        <v>1271</v>
      </c>
      <c r="E34" s="27">
        <v>1337</v>
      </c>
    </row>
    <row r="35" spans="1:5" ht="24.95" customHeight="1" x14ac:dyDescent="0.25">
      <c r="A35" s="23">
        <v>23</v>
      </c>
      <c r="B35" s="27" t="s">
        <v>658</v>
      </c>
      <c r="C35" s="27">
        <v>1967</v>
      </c>
      <c r="D35" s="27">
        <v>940</v>
      </c>
      <c r="E35" s="27">
        <v>1027</v>
      </c>
    </row>
    <row r="36" spans="1:5" ht="24.95" customHeight="1" x14ac:dyDescent="0.25">
      <c r="A36" s="23">
        <v>24</v>
      </c>
      <c r="B36" s="27" t="s">
        <v>659</v>
      </c>
      <c r="C36" s="27">
        <v>2608</v>
      </c>
      <c r="D36" s="27">
        <v>1283</v>
      </c>
      <c r="E36" s="27">
        <v>1325</v>
      </c>
    </row>
    <row r="37" spans="1:5" ht="24.95" customHeight="1" x14ac:dyDescent="0.25">
      <c r="A37" s="28">
        <v>25</v>
      </c>
      <c r="B37" s="29" t="s">
        <v>660</v>
      </c>
      <c r="C37" s="29">
        <v>4011</v>
      </c>
      <c r="D37" s="29">
        <v>1851</v>
      </c>
      <c r="E37" s="29">
        <v>2160</v>
      </c>
    </row>
    <row r="38" spans="1:5" ht="15.75" x14ac:dyDescent="0.25">
      <c r="A38" s="20"/>
      <c r="B38" s="20"/>
      <c r="C38" s="20"/>
      <c r="D38" s="20"/>
      <c r="E38" s="20"/>
    </row>
    <row r="39" spans="1:5" ht="15.75" x14ac:dyDescent="0.25">
      <c r="A39" s="20"/>
      <c r="B39" s="20"/>
      <c r="C39" s="20"/>
      <c r="D39" s="20"/>
      <c r="E39" s="20"/>
    </row>
    <row r="40" spans="1:5" ht="15.75" x14ac:dyDescent="0.25">
      <c r="A40" s="20"/>
      <c r="B40" s="20"/>
      <c r="C40" s="20"/>
      <c r="D40" s="20"/>
      <c r="E40" s="20"/>
    </row>
    <row r="41" spans="1:5" ht="15.75" x14ac:dyDescent="0.25">
      <c r="A41" s="20"/>
      <c r="B41" s="20"/>
      <c r="C41" s="20"/>
      <c r="D41" s="20"/>
      <c r="E41" s="20"/>
    </row>
    <row r="42" spans="1:5" ht="15.75" x14ac:dyDescent="0.25">
      <c r="A42" s="20"/>
      <c r="B42" s="20"/>
      <c r="C42" s="20"/>
      <c r="D42" s="20"/>
      <c r="E42" s="20"/>
    </row>
    <row r="43" spans="1:5" ht="15.75" x14ac:dyDescent="0.25">
      <c r="A43" s="20"/>
      <c r="B43" s="20"/>
      <c r="C43" s="20"/>
      <c r="D43" s="20"/>
      <c r="E43" s="20"/>
    </row>
    <row r="44" spans="1:5" ht="15.75" x14ac:dyDescent="0.25">
      <c r="A44" s="20"/>
      <c r="B44" s="20"/>
      <c r="C44" s="20"/>
      <c r="D44" s="20"/>
      <c r="E44" s="20"/>
    </row>
    <row r="45" spans="1:5" ht="15.75" x14ac:dyDescent="0.25">
      <c r="A45" s="20"/>
      <c r="B45" s="20"/>
      <c r="C45" s="20"/>
      <c r="D45" s="20"/>
      <c r="E45" s="20"/>
    </row>
    <row r="46" spans="1:5" ht="15.75" x14ac:dyDescent="0.25">
      <c r="A46" s="20"/>
      <c r="B46" s="20"/>
      <c r="C46" s="20"/>
      <c r="D46" s="20"/>
      <c r="E46" s="20"/>
    </row>
    <row r="47" spans="1:5" ht="15.75" x14ac:dyDescent="0.25">
      <c r="A47" s="20"/>
      <c r="B47" s="20"/>
      <c r="C47" s="20"/>
      <c r="D47" s="20"/>
      <c r="E47" s="20"/>
    </row>
    <row r="48" spans="1:5" ht="15.75" x14ac:dyDescent="0.25">
      <c r="A48" s="20"/>
      <c r="B48" s="20"/>
      <c r="C48" s="20"/>
      <c r="D48" s="20"/>
      <c r="E48" s="20"/>
    </row>
    <row r="49" spans="1:5" ht="15.75" x14ac:dyDescent="0.25">
      <c r="A49" s="20"/>
      <c r="B49" s="20"/>
      <c r="C49" s="20"/>
      <c r="D49" s="20"/>
      <c r="E49" s="20"/>
    </row>
    <row r="50" spans="1:5" ht="15.75" x14ac:dyDescent="0.25">
      <c r="A50" s="20"/>
      <c r="B50" s="20"/>
      <c r="C50" s="20"/>
      <c r="D50" s="20"/>
      <c r="E50" s="20"/>
    </row>
    <row r="51" spans="1:5" ht="15.75" x14ac:dyDescent="0.25">
      <c r="A51" s="20"/>
      <c r="B51" s="20"/>
      <c r="C51" s="20"/>
      <c r="D51" s="20"/>
      <c r="E51" s="20"/>
    </row>
    <row r="52" spans="1:5" ht="15.75" x14ac:dyDescent="0.25">
      <c r="A52" s="20"/>
      <c r="B52" s="20"/>
      <c r="C52" s="20"/>
      <c r="D52" s="20"/>
      <c r="E52" s="20"/>
    </row>
    <row r="53" spans="1:5" ht="15.75" x14ac:dyDescent="0.25">
      <c r="A53" s="20"/>
      <c r="B53" s="20"/>
      <c r="C53" s="20"/>
      <c r="D53" s="20"/>
      <c r="E53" s="20"/>
    </row>
    <row r="54" spans="1:5" ht="15.75" x14ac:dyDescent="0.25">
      <c r="A54" s="20"/>
      <c r="B54" s="20"/>
      <c r="C54" s="20"/>
      <c r="D54" s="20"/>
      <c r="E54" s="20"/>
    </row>
    <row r="55" spans="1:5" ht="15.75" x14ac:dyDescent="0.25">
      <c r="A55" s="20"/>
      <c r="B55" s="20"/>
      <c r="C55" s="20"/>
      <c r="D55" s="20"/>
      <c r="E55" s="20"/>
    </row>
    <row r="56" spans="1:5" ht="15.75" x14ac:dyDescent="0.25">
      <c r="A56" s="20"/>
      <c r="B56" s="20"/>
      <c r="C56" s="20"/>
      <c r="D56" s="20"/>
      <c r="E56" s="20"/>
    </row>
    <row r="57" spans="1:5" ht="15.75" x14ac:dyDescent="0.25">
      <c r="A57" s="20"/>
      <c r="B57" s="20"/>
      <c r="C57" s="20"/>
      <c r="D57" s="20"/>
      <c r="E57" s="20"/>
    </row>
    <row r="58" spans="1:5" ht="15.75" x14ac:dyDescent="0.25">
      <c r="A58" s="20"/>
      <c r="B58" s="20"/>
      <c r="C58" s="20"/>
      <c r="D58" s="20"/>
      <c r="E58" s="20"/>
    </row>
    <row r="59" spans="1:5" ht="15.75" x14ac:dyDescent="0.25">
      <c r="A59" s="20"/>
      <c r="B59" s="20"/>
      <c r="C59" s="20"/>
      <c r="D59" s="20"/>
      <c r="E59" s="20"/>
    </row>
    <row r="60" spans="1:5" ht="15.75" x14ac:dyDescent="0.25">
      <c r="A60" s="20"/>
      <c r="B60" s="20"/>
      <c r="C60" s="20"/>
      <c r="D60" s="20"/>
      <c r="E60" s="20"/>
    </row>
    <row r="61" spans="1:5" ht="15.75" x14ac:dyDescent="0.25">
      <c r="A61" s="20"/>
      <c r="B61" s="20"/>
      <c r="C61" s="20"/>
      <c r="D61" s="20"/>
      <c r="E61" s="20"/>
    </row>
    <row r="62" spans="1:5" ht="15.75" x14ac:dyDescent="0.25">
      <c r="A62" s="20"/>
      <c r="B62" s="20"/>
      <c r="C62" s="20"/>
      <c r="D62" s="20"/>
      <c r="E62" s="20"/>
    </row>
    <row r="63" spans="1:5" ht="15.75" x14ac:dyDescent="0.25">
      <c r="A63" s="20"/>
      <c r="B63" s="20"/>
      <c r="C63" s="20"/>
      <c r="D63" s="20"/>
      <c r="E63" s="20"/>
    </row>
    <row r="64" spans="1:5" ht="15.75" x14ac:dyDescent="0.25">
      <c r="A64" s="20"/>
      <c r="B64" s="20"/>
      <c r="C64" s="20"/>
      <c r="D64" s="20"/>
      <c r="E64" s="20"/>
    </row>
    <row r="65" spans="1:5" ht="15.75" x14ac:dyDescent="0.25">
      <c r="A65" s="20"/>
      <c r="B65" s="20"/>
      <c r="C65" s="20"/>
      <c r="D65" s="20"/>
      <c r="E65" s="20"/>
    </row>
    <row r="66" spans="1:5" ht="15.75" x14ac:dyDescent="0.25">
      <c r="A66" s="20"/>
      <c r="B66" s="20"/>
      <c r="C66" s="20"/>
      <c r="D66" s="20"/>
      <c r="E66" s="20"/>
    </row>
    <row r="67" spans="1:5" ht="15.75" x14ac:dyDescent="0.25">
      <c r="A67" s="20"/>
      <c r="B67" s="20"/>
      <c r="C67" s="20"/>
      <c r="D67" s="20"/>
      <c r="E67" s="20"/>
    </row>
    <row r="68" spans="1:5" ht="15.75" x14ac:dyDescent="0.25">
      <c r="A68" s="20"/>
      <c r="B68" s="20"/>
      <c r="C68" s="20"/>
      <c r="D68" s="20"/>
      <c r="E68" s="20"/>
    </row>
    <row r="69" spans="1:5" ht="15.75" x14ac:dyDescent="0.25">
      <c r="A69" s="20"/>
      <c r="B69" s="20"/>
      <c r="C69" s="20"/>
      <c r="D69" s="20"/>
      <c r="E69" s="20"/>
    </row>
    <row r="70" spans="1:5" ht="15.75" x14ac:dyDescent="0.25">
      <c r="A70" s="20"/>
      <c r="B70" s="20"/>
      <c r="C70" s="20"/>
      <c r="D70" s="20"/>
      <c r="E70" s="20"/>
    </row>
    <row r="71" spans="1:5" ht="15.75" x14ac:dyDescent="0.25">
      <c r="A71" s="20"/>
      <c r="B71" s="20"/>
      <c r="C71" s="20"/>
      <c r="D71" s="20"/>
      <c r="E71" s="20"/>
    </row>
    <row r="72" spans="1:5" ht="15.75" x14ac:dyDescent="0.25">
      <c r="A72" s="20"/>
      <c r="B72" s="20"/>
      <c r="C72" s="20"/>
      <c r="D72" s="20"/>
      <c r="E72" s="20"/>
    </row>
    <row r="73" spans="1:5" ht="15.75" x14ac:dyDescent="0.25">
      <c r="A73" s="20"/>
      <c r="B73" s="20"/>
      <c r="C73" s="20"/>
      <c r="D73" s="20"/>
      <c r="E73" s="20"/>
    </row>
    <row r="74" spans="1:5" ht="15.75" x14ac:dyDescent="0.25">
      <c r="A74" s="20"/>
      <c r="B74" s="20"/>
      <c r="C74" s="20"/>
      <c r="D74" s="20"/>
      <c r="E74" s="20"/>
    </row>
    <row r="75" spans="1:5" ht="15.75" x14ac:dyDescent="0.25">
      <c r="A75" s="20"/>
      <c r="B75" s="20"/>
      <c r="C75" s="20"/>
      <c r="D75" s="20"/>
      <c r="E75" s="20"/>
    </row>
    <row r="76" spans="1:5" ht="15.75" x14ac:dyDescent="0.25">
      <c r="A76" s="20"/>
      <c r="B76" s="20"/>
      <c r="C76" s="20"/>
      <c r="D76" s="20"/>
      <c r="E76" s="20"/>
    </row>
    <row r="77" spans="1:5" ht="15.75" x14ac:dyDescent="0.25">
      <c r="A77" s="20"/>
      <c r="B77" s="20"/>
      <c r="C77" s="20"/>
      <c r="D77" s="20"/>
      <c r="E77" s="20"/>
    </row>
    <row r="78" spans="1:5" ht="15.75" x14ac:dyDescent="0.25">
      <c r="A78" s="20"/>
      <c r="B78" s="20"/>
      <c r="C78" s="20"/>
      <c r="D78" s="20"/>
      <c r="E78" s="20"/>
    </row>
    <row r="79" spans="1:5" ht="15.75" x14ac:dyDescent="0.25">
      <c r="A79" s="20"/>
      <c r="B79" s="20"/>
      <c r="C79" s="20"/>
      <c r="D79" s="20"/>
      <c r="E79" s="20"/>
    </row>
    <row r="80" spans="1:5" ht="15.75" x14ac:dyDescent="0.25">
      <c r="A80" s="20"/>
      <c r="B80" s="20"/>
      <c r="C80" s="20"/>
      <c r="D80" s="20"/>
      <c r="E80" s="20"/>
    </row>
    <row r="81" spans="1:5" ht="15.75" x14ac:dyDescent="0.25">
      <c r="A81" s="20"/>
      <c r="B81" s="20"/>
      <c r="C81" s="20"/>
      <c r="D81" s="20"/>
      <c r="E81" s="20"/>
    </row>
    <row r="82" spans="1:5" ht="15.75" x14ac:dyDescent="0.25">
      <c r="A82" s="20"/>
      <c r="B82" s="20"/>
      <c r="C82" s="20"/>
      <c r="D82" s="20"/>
      <c r="E82" s="20"/>
    </row>
    <row r="83" spans="1:5" ht="15.75" x14ac:dyDescent="0.25">
      <c r="A83" s="20"/>
      <c r="B83" s="20"/>
      <c r="C83" s="20"/>
      <c r="D83" s="20"/>
      <c r="E83" s="20"/>
    </row>
    <row r="84" spans="1:5" ht="15.75" x14ac:dyDescent="0.25">
      <c r="A84" s="20"/>
      <c r="B84" s="20"/>
      <c r="C84" s="20"/>
      <c r="D84" s="20"/>
      <c r="E84" s="20"/>
    </row>
    <row r="85" spans="1:5" ht="15.75" x14ac:dyDescent="0.25">
      <c r="A85" s="20"/>
      <c r="B85" s="20"/>
      <c r="C85" s="20"/>
      <c r="D85" s="20"/>
      <c r="E85" s="20"/>
    </row>
    <row r="86" spans="1:5" ht="15.75" x14ac:dyDescent="0.25">
      <c r="A86" s="20"/>
      <c r="B86" s="20"/>
      <c r="C86" s="20"/>
      <c r="D86" s="20"/>
      <c r="E86" s="20"/>
    </row>
    <row r="87" spans="1:5" ht="15.75" x14ac:dyDescent="0.25">
      <c r="A87" s="20"/>
      <c r="B87" s="20"/>
      <c r="C87" s="20"/>
      <c r="D87" s="20"/>
      <c r="E87" s="20"/>
    </row>
    <row r="88" spans="1:5" ht="15.75" x14ac:dyDescent="0.25">
      <c r="A88" s="20"/>
      <c r="B88" s="20"/>
      <c r="C88" s="20"/>
      <c r="D88" s="20"/>
      <c r="E88" s="20"/>
    </row>
    <row r="89" spans="1:5" ht="15.75" x14ac:dyDescent="0.25">
      <c r="A89" s="20"/>
      <c r="B89" s="20"/>
      <c r="C89" s="20"/>
      <c r="D89" s="20"/>
      <c r="E89" s="20"/>
    </row>
    <row r="90" spans="1:5" ht="15.75" x14ac:dyDescent="0.25">
      <c r="A90" s="20"/>
      <c r="B90" s="20"/>
      <c r="C90" s="20"/>
      <c r="D90" s="20"/>
      <c r="E90" s="20"/>
    </row>
    <row r="91" spans="1:5" ht="15.75" x14ac:dyDescent="0.25">
      <c r="A91" s="20"/>
      <c r="B91" s="20"/>
      <c r="C91" s="20"/>
      <c r="D91" s="20"/>
      <c r="E91" s="20"/>
    </row>
    <row r="92" spans="1:5" ht="15.75" x14ac:dyDescent="0.25">
      <c r="A92" s="20"/>
      <c r="B92" s="20"/>
      <c r="C92" s="20"/>
      <c r="D92" s="20"/>
      <c r="E92" s="20"/>
    </row>
    <row r="93" spans="1:5" ht="15.75" x14ac:dyDescent="0.25">
      <c r="A93" s="20"/>
      <c r="B93" s="20"/>
      <c r="C93" s="20"/>
      <c r="D93" s="20"/>
      <c r="E93" s="20"/>
    </row>
    <row r="94" spans="1:5" ht="15.75" x14ac:dyDescent="0.25">
      <c r="A94" s="20"/>
      <c r="B94" s="20"/>
      <c r="C94" s="20"/>
      <c r="D94" s="20"/>
      <c r="E94" s="20"/>
    </row>
    <row r="95" spans="1:5" ht="15.75" x14ac:dyDescent="0.25">
      <c r="A95" s="20"/>
      <c r="B95" s="20"/>
      <c r="C95" s="20"/>
      <c r="D95" s="20"/>
      <c r="E95" s="20"/>
    </row>
    <row r="96" spans="1:5" ht="15.75" x14ac:dyDescent="0.25">
      <c r="A96" s="20"/>
      <c r="B96" s="20"/>
      <c r="C96" s="20"/>
      <c r="D96" s="20"/>
      <c r="E96" s="20"/>
    </row>
    <row r="97" spans="1:5" ht="15.75" x14ac:dyDescent="0.25">
      <c r="A97" s="20"/>
      <c r="B97" s="20"/>
      <c r="C97" s="20"/>
      <c r="D97" s="20"/>
      <c r="E97" s="20"/>
    </row>
    <row r="98" spans="1:5" ht="15.75" x14ac:dyDescent="0.25">
      <c r="A98" s="20"/>
      <c r="B98" s="20"/>
      <c r="C98" s="20"/>
      <c r="D98" s="20"/>
      <c r="E98" s="20"/>
    </row>
    <row r="99" spans="1:5" ht="15.75" x14ac:dyDescent="0.25">
      <c r="A99" s="20"/>
      <c r="B99" s="20"/>
      <c r="C99" s="20"/>
      <c r="D99" s="20"/>
      <c r="E99" s="20"/>
    </row>
    <row r="100" spans="1:5" ht="15.75" x14ac:dyDescent="0.25">
      <c r="A100" s="20"/>
      <c r="B100" s="20"/>
      <c r="C100" s="20"/>
      <c r="D100" s="20"/>
      <c r="E100" s="20"/>
    </row>
    <row r="101" spans="1:5" ht="15.75" x14ac:dyDescent="0.25">
      <c r="A101" s="20"/>
      <c r="B101" s="20"/>
      <c r="C101" s="20"/>
      <c r="D101" s="20"/>
      <c r="E101" s="20"/>
    </row>
    <row r="102" spans="1:5" ht="15.75" x14ac:dyDescent="0.25">
      <c r="A102" s="20"/>
      <c r="B102" s="20"/>
      <c r="C102" s="20"/>
      <c r="D102" s="20"/>
      <c r="E102" s="20"/>
    </row>
    <row r="103" spans="1:5" ht="15.75" x14ac:dyDescent="0.25">
      <c r="A103" s="20"/>
      <c r="B103" s="20"/>
      <c r="C103" s="20"/>
      <c r="D103" s="20"/>
      <c r="E103" s="20"/>
    </row>
    <row r="104" spans="1:5" ht="15.75" x14ac:dyDescent="0.25">
      <c r="A104" s="20"/>
      <c r="B104" s="20"/>
      <c r="C104" s="20"/>
      <c r="D104" s="20"/>
      <c r="E104" s="20"/>
    </row>
    <row r="105" spans="1:5" ht="15.75" x14ac:dyDescent="0.25">
      <c r="A105" s="20"/>
      <c r="B105" s="20"/>
      <c r="C105" s="20"/>
      <c r="D105" s="20"/>
      <c r="E105" s="20"/>
    </row>
    <row r="106" spans="1:5" ht="15.75" x14ac:dyDescent="0.25">
      <c r="A106" s="20"/>
      <c r="B106" s="20"/>
      <c r="C106" s="20"/>
      <c r="D106" s="20"/>
      <c r="E106" s="20"/>
    </row>
    <row r="107" spans="1:5" ht="15.75" x14ac:dyDescent="0.25">
      <c r="A107" s="20"/>
      <c r="B107" s="20"/>
      <c r="C107" s="20"/>
      <c r="D107" s="20"/>
      <c r="E107" s="20"/>
    </row>
    <row r="108" spans="1:5" ht="15.75" x14ac:dyDescent="0.25">
      <c r="A108" s="20"/>
      <c r="B108" s="20"/>
      <c r="C108" s="20"/>
      <c r="D108" s="20"/>
      <c r="E108" s="20"/>
    </row>
    <row r="109" spans="1:5" ht="15.75" x14ac:dyDescent="0.25">
      <c r="A109" s="20"/>
      <c r="B109" s="20"/>
      <c r="C109" s="20"/>
      <c r="D109" s="20"/>
      <c r="E109" s="20"/>
    </row>
    <row r="110" spans="1:5" ht="15.75" x14ac:dyDescent="0.25">
      <c r="A110" s="20"/>
      <c r="B110" s="20"/>
      <c r="C110" s="20"/>
      <c r="D110" s="20"/>
      <c r="E110" s="20"/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 Lashio District, Mineye` Township"/>
  </hyperlinks>
  <pageMargins left="0.75" right="0.5" top="0.5" bottom="0.2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workbookViewId="0">
      <selection sqref="A1:E1"/>
    </sheetView>
  </sheetViews>
  <sheetFormatPr defaultRowHeight="15" x14ac:dyDescent="0.25"/>
  <cols>
    <col min="2" max="2" width="22.28515625" customWidth="1"/>
    <col min="3" max="5" width="15.7109375" customWidth="1"/>
  </cols>
  <sheetData>
    <row r="1" spans="1:8" ht="18.75" x14ac:dyDescent="0.3">
      <c r="A1" s="180" t="s">
        <v>1372</v>
      </c>
      <c r="B1" s="180"/>
      <c r="C1" s="180"/>
      <c r="D1" s="180"/>
      <c r="E1" s="180"/>
    </row>
    <row r="2" spans="1:8" ht="15.75" x14ac:dyDescent="0.25">
      <c r="A2" s="20"/>
      <c r="B2" s="20"/>
      <c r="C2" s="20"/>
      <c r="D2" s="20"/>
      <c r="E2" s="74" t="s">
        <v>1341</v>
      </c>
    </row>
    <row r="3" spans="1:8" ht="9" customHeight="1" x14ac:dyDescent="0.25">
      <c r="A3" s="20"/>
      <c r="B3" s="20"/>
      <c r="C3" s="20"/>
      <c r="D3" s="20"/>
      <c r="E3" s="20"/>
    </row>
    <row r="4" spans="1:8" ht="15.75" x14ac:dyDescent="0.25">
      <c r="A4" s="173" t="s">
        <v>1339</v>
      </c>
      <c r="B4" s="173" t="s">
        <v>1422</v>
      </c>
      <c r="C4" s="174" t="s">
        <v>1340</v>
      </c>
      <c r="D4" s="175"/>
      <c r="E4" s="176"/>
    </row>
    <row r="5" spans="1:8" ht="15.75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8" ht="20.25" customHeight="1" x14ac:dyDescent="0.25">
      <c r="A6" s="48"/>
      <c r="B6" s="26" t="s">
        <v>0</v>
      </c>
      <c r="C6" s="26">
        <v>172805</v>
      </c>
      <c r="D6" s="26">
        <v>84023</v>
      </c>
      <c r="E6" s="26">
        <v>88782</v>
      </c>
      <c r="F6" s="8"/>
      <c r="G6" s="8"/>
      <c r="H6" s="8"/>
    </row>
    <row r="7" spans="1:8" ht="6.75" customHeight="1" x14ac:dyDescent="0.25">
      <c r="A7" s="23"/>
      <c r="B7" s="23"/>
      <c r="C7" s="23"/>
      <c r="D7" s="23"/>
      <c r="E7" s="23"/>
    </row>
    <row r="8" spans="1:8" ht="24.95" customHeight="1" x14ac:dyDescent="0.25">
      <c r="A8" s="23"/>
      <c r="B8" s="24" t="s">
        <v>1338</v>
      </c>
      <c r="C8" s="24">
        <f>SUM(C9:C18)</f>
        <v>33603</v>
      </c>
      <c r="D8" s="24">
        <f t="shared" ref="D8:E8" si="0">SUM(D9:D18)</f>
        <v>16305</v>
      </c>
      <c r="E8" s="24">
        <f t="shared" si="0"/>
        <v>17298</v>
      </c>
    </row>
    <row r="9" spans="1:8" ht="24.95" customHeight="1" x14ac:dyDescent="0.25">
      <c r="A9" s="23">
        <v>1</v>
      </c>
      <c r="B9" s="27" t="s">
        <v>25</v>
      </c>
      <c r="C9" s="27">
        <v>1163</v>
      </c>
      <c r="D9" s="27">
        <v>533</v>
      </c>
      <c r="E9" s="27">
        <v>630</v>
      </c>
      <c r="F9" s="8"/>
    </row>
    <row r="10" spans="1:8" ht="24.95" customHeight="1" x14ac:dyDescent="0.25">
      <c r="A10" s="23">
        <v>2</v>
      </c>
      <c r="B10" s="27" t="s">
        <v>26</v>
      </c>
      <c r="C10" s="27">
        <v>9585</v>
      </c>
      <c r="D10" s="27">
        <v>4575</v>
      </c>
      <c r="E10" s="27">
        <v>5010</v>
      </c>
      <c r="F10" s="8"/>
    </row>
    <row r="11" spans="1:8" ht="24.95" customHeight="1" x14ac:dyDescent="0.25">
      <c r="A11" s="23">
        <v>3</v>
      </c>
      <c r="B11" s="27" t="s">
        <v>27</v>
      </c>
      <c r="C11" s="27">
        <v>2014</v>
      </c>
      <c r="D11" s="27">
        <v>972</v>
      </c>
      <c r="E11" s="27">
        <v>1042</v>
      </c>
      <c r="F11" s="8"/>
    </row>
    <row r="12" spans="1:8" ht="24.95" customHeight="1" x14ac:dyDescent="0.25">
      <c r="A12" s="23">
        <v>4</v>
      </c>
      <c r="B12" s="27" t="s">
        <v>28</v>
      </c>
      <c r="C12" s="27">
        <v>3183</v>
      </c>
      <c r="D12" s="27">
        <v>1594</v>
      </c>
      <c r="E12" s="27">
        <v>1589</v>
      </c>
      <c r="F12" s="8"/>
    </row>
    <row r="13" spans="1:8" ht="24.95" customHeight="1" x14ac:dyDescent="0.25">
      <c r="A13" s="23">
        <v>5</v>
      </c>
      <c r="B13" s="27" t="s">
        <v>29</v>
      </c>
      <c r="C13" s="27">
        <v>4009</v>
      </c>
      <c r="D13" s="27">
        <v>1881</v>
      </c>
      <c r="E13" s="27">
        <v>2128</v>
      </c>
      <c r="F13" s="8"/>
    </row>
    <row r="14" spans="1:8" ht="24.95" customHeight="1" x14ac:dyDescent="0.25">
      <c r="A14" s="23">
        <v>6</v>
      </c>
      <c r="B14" s="27" t="s">
        <v>661</v>
      </c>
      <c r="C14" s="27">
        <v>4827</v>
      </c>
      <c r="D14" s="27">
        <v>2375</v>
      </c>
      <c r="E14" s="27">
        <v>2452</v>
      </c>
      <c r="F14" s="8"/>
    </row>
    <row r="15" spans="1:8" ht="24.95" customHeight="1" x14ac:dyDescent="0.25">
      <c r="A15" s="23">
        <v>7</v>
      </c>
      <c r="B15" s="27" t="s">
        <v>662</v>
      </c>
      <c r="C15" s="27">
        <v>2372</v>
      </c>
      <c r="D15" s="27">
        <v>1225</v>
      </c>
      <c r="E15" s="27">
        <v>1147</v>
      </c>
      <c r="F15" s="8"/>
    </row>
    <row r="16" spans="1:8" ht="24.95" customHeight="1" x14ac:dyDescent="0.25">
      <c r="A16" s="23">
        <v>8</v>
      </c>
      <c r="B16" s="27" t="s">
        <v>663</v>
      </c>
      <c r="C16" s="27">
        <v>1165</v>
      </c>
      <c r="D16" s="27">
        <v>550</v>
      </c>
      <c r="E16" s="27">
        <v>615</v>
      </c>
      <c r="F16" s="8"/>
    </row>
    <row r="17" spans="1:6" ht="24.95" customHeight="1" x14ac:dyDescent="0.25">
      <c r="A17" s="23">
        <v>9</v>
      </c>
      <c r="B17" s="27" t="s">
        <v>664</v>
      </c>
      <c r="C17" s="27">
        <v>3114</v>
      </c>
      <c r="D17" s="27">
        <v>1420</v>
      </c>
      <c r="E17" s="27">
        <v>1694</v>
      </c>
      <c r="F17" s="8"/>
    </row>
    <row r="18" spans="1:6" ht="24.95" customHeight="1" x14ac:dyDescent="0.25">
      <c r="A18" s="23">
        <v>10</v>
      </c>
      <c r="B18" s="27" t="s">
        <v>665</v>
      </c>
      <c r="C18" s="27">
        <v>2171</v>
      </c>
      <c r="D18" s="27">
        <v>1180</v>
      </c>
      <c r="E18" s="27">
        <v>991</v>
      </c>
      <c r="F18" s="8"/>
    </row>
    <row r="19" spans="1:6" ht="24.95" customHeight="1" x14ac:dyDescent="0.25">
      <c r="A19" s="23"/>
      <c r="B19" s="24" t="s">
        <v>1410</v>
      </c>
      <c r="C19" s="24">
        <f>SUM(C20:C68)</f>
        <v>139202</v>
      </c>
      <c r="D19" s="24">
        <f t="shared" ref="D19:E19" si="1">SUM(D20:D68)</f>
        <v>67718</v>
      </c>
      <c r="E19" s="24">
        <f t="shared" si="1"/>
        <v>71484</v>
      </c>
    </row>
    <row r="20" spans="1:6" ht="24.95" customHeight="1" x14ac:dyDescent="0.25">
      <c r="A20" s="23">
        <v>1</v>
      </c>
      <c r="B20" s="27" t="s">
        <v>666</v>
      </c>
      <c r="C20" s="27">
        <v>4149</v>
      </c>
      <c r="D20" s="27">
        <v>1962</v>
      </c>
      <c r="E20" s="27">
        <v>2187</v>
      </c>
      <c r="F20" s="8"/>
    </row>
    <row r="21" spans="1:6" ht="24.95" customHeight="1" x14ac:dyDescent="0.25">
      <c r="A21" s="23">
        <v>2</v>
      </c>
      <c r="B21" s="27" t="s">
        <v>667</v>
      </c>
      <c r="C21" s="27">
        <v>1236</v>
      </c>
      <c r="D21" s="27">
        <v>580</v>
      </c>
      <c r="E21" s="27">
        <v>656</v>
      </c>
      <c r="F21" s="8"/>
    </row>
    <row r="22" spans="1:6" ht="24.95" customHeight="1" x14ac:dyDescent="0.25">
      <c r="A22" s="23">
        <v>3</v>
      </c>
      <c r="B22" s="27" t="s">
        <v>577</v>
      </c>
      <c r="C22" s="27">
        <v>848</v>
      </c>
      <c r="D22" s="27">
        <v>404</v>
      </c>
      <c r="E22" s="27">
        <v>444</v>
      </c>
      <c r="F22" s="8"/>
    </row>
    <row r="23" spans="1:6" ht="24.95" customHeight="1" x14ac:dyDescent="0.25">
      <c r="A23" s="23">
        <v>4</v>
      </c>
      <c r="B23" s="27" t="s">
        <v>668</v>
      </c>
      <c r="C23" s="27">
        <v>2537</v>
      </c>
      <c r="D23" s="27">
        <v>1197</v>
      </c>
      <c r="E23" s="27">
        <v>1340</v>
      </c>
      <c r="F23" s="8"/>
    </row>
    <row r="24" spans="1:6" ht="24.95" customHeight="1" x14ac:dyDescent="0.25">
      <c r="A24" s="23">
        <v>5</v>
      </c>
      <c r="B24" s="27" t="s">
        <v>552</v>
      </c>
      <c r="C24" s="27">
        <v>4014</v>
      </c>
      <c r="D24" s="27">
        <v>2061</v>
      </c>
      <c r="E24" s="27">
        <v>1953</v>
      </c>
      <c r="F24" s="8"/>
    </row>
    <row r="25" spans="1:6" ht="24.95" customHeight="1" x14ac:dyDescent="0.25">
      <c r="A25" s="23">
        <v>6</v>
      </c>
      <c r="B25" s="27" t="s">
        <v>669</v>
      </c>
      <c r="C25" s="27">
        <v>1758</v>
      </c>
      <c r="D25" s="27">
        <v>815</v>
      </c>
      <c r="E25" s="27">
        <v>943</v>
      </c>
      <c r="F25" s="8"/>
    </row>
    <row r="26" spans="1:6" ht="24.95" customHeight="1" x14ac:dyDescent="0.25">
      <c r="A26" s="23">
        <v>7</v>
      </c>
      <c r="B26" s="27" t="s">
        <v>670</v>
      </c>
      <c r="C26" s="27">
        <v>2308</v>
      </c>
      <c r="D26" s="27">
        <v>1180</v>
      </c>
      <c r="E26" s="27">
        <v>1128</v>
      </c>
      <c r="F26" s="8"/>
    </row>
    <row r="27" spans="1:6" ht="24.95" customHeight="1" x14ac:dyDescent="0.25">
      <c r="A27" s="23">
        <v>8</v>
      </c>
      <c r="B27" s="27" t="s">
        <v>671</v>
      </c>
      <c r="C27" s="27">
        <v>2198</v>
      </c>
      <c r="D27" s="27">
        <v>1086</v>
      </c>
      <c r="E27" s="27">
        <v>1112</v>
      </c>
      <c r="F27" s="8"/>
    </row>
    <row r="28" spans="1:6" ht="24.95" customHeight="1" x14ac:dyDescent="0.25">
      <c r="A28" s="23">
        <v>9</v>
      </c>
      <c r="B28" s="27" t="s">
        <v>672</v>
      </c>
      <c r="C28" s="27">
        <v>3505</v>
      </c>
      <c r="D28" s="27">
        <v>1669</v>
      </c>
      <c r="E28" s="27">
        <v>1836</v>
      </c>
      <c r="F28" s="8"/>
    </row>
    <row r="29" spans="1:6" ht="24.95" customHeight="1" x14ac:dyDescent="0.25">
      <c r="A29" s="23">
        <v>10</v>
      </c>
      <c r="B29" s="27" t="s">
        <v>673</v>
      </c>
      <c r="C29" s="27">
        <v>2772</v>
      </c>
      <c r="D29" s="27">
        <v>1291</v>
      </c>
      <c r="E29" s="27">
        <v>1481</v>
      </c>
      <c r="F29" s="8"/>
    </row>
    <row r="30" spans="1:6" ht="24.95" customHeight="1" x14ac:dyDescent="0.25">
      <c r="A30" s="23">
        <v>11</v>
      </c>
      <c r="B30" s="27" t="s">
        <v>674</v>
      </c>
      <c r="C30" s="27">
        <v>735</v>
      </c>
      <c r="D30" s="27">
        <v>380</v>
      </c>
      <c r="E30" s="27">
        <v>355</v>
      </c>
      <c r="F30" s="8"/>
    </row>
    <row r="31" spans="1:6" ht="24.95" customHeight="1" x14ac:dyDescent="0.25">
      <c r="A31" s="23">
        <v>12</v>
      </c>
      <c r="B31" s="27" t="s">
        <v>675</v>
      </c>
      <c r="C31" s="27">
        <v>3040</v>
      </c>
      <c r="D31" s="27">
        <v>1381</v>
      </c>
      <c r="E31" s="27">
        <v>1659</v>
      </c>
      <c r="F31" s="8"/>
    </row>
    <row r="32" spans="1:6" ht="24.95" customHeight="1" x14ac:dyDescent="0.25">
      <c r="A32" s="23">
        <v>13</v>
      </c>
      <c r="B32" s="27" t="s">
        <v>676</v>
      </c>
      <c r="C32" s="27">
        <v>1936</v>
      </c>
      <c r="D32" s="27">
        <v>886</v>
      </c>
      <c r="E32" s="27">
        <v>1050</v>
      </c>
      <c r="F32" s="8"/>
    </row>
    <row r="33" spans="1:6" ht="24.95" customHeight="1" x14ac:dyDescent="0.25">
      <c r="A33" s="23">
        <v>14</v>
      </c>
      <c r="B33" s="27" t="s">
        <v>677</v>
      </c>
      <c r="C33" s="27">
        <v>3207</v>
      </c>
      <c r="D33" s="27">
        <v>1550</v>
      </c>
      <c r="E33" s="27">
        <v>1657</v>
      </c>
      <c r="F33" s="8"/>
    </row>
    <row r="34" spans="1:6" ht="24.95" customHeight="1" x14ac:dyDescent="0.25">
      <c r="A34" s="23">
        <v>15</v>
      </c>
      <c r="B34" s="27" t="s">
        <v>678</v>
      </c>
      <c r="C34" s="27">
        <v>2601</v>
      </c>
      <c r="D34" s="27">
        <v>1278</v>
      </c>
      <c r="E34" s="27">
        <v>1323</v>
      </c>
      <c r="F34" s="8"/>
    </row>
    <row r="35" spans="1:6" ht="24.95" customHeight="1" x14ac:dyDescent="0.25">
      <c r="A35" s="23">
        <v>16</v>
      </c>
      <c r="B35" s="27" t="s">
        <v>679</v>
      </c>
      <c r="C35" s="27">
        <v>5058</v>
      </c>
      <c r="D35" s="27">
        <v>2448</v>
      </c>
      <c r="E35" s="27">
        <v>2610</v>
      </c>
      <c r="F35" s="8"/>
    </row>
    <row r="36" spans="1:6" ht="24.95" customHeight="1" x14ac:dyDescent="0.25">
      <c r="A36" s="23">
        <v>17</v>
      </c>
      <c r="B36" s="27" t="s">
        <v>680</v>
      </c>
      <c r="C36" s="27">
        <v>1579</v>
      </c>
      <c r="D36" s="27">
        <v>790</v>
      </c>
      <c r="E36" s="27">
        <v>789</v>
      </c>
      <c r="F36" s="8"/>
    </row>
    <row r="37" spans="1:6" ht="24.95" customHeight="1" x14ac:dyDescent="0.25">
      <c r="A37" s="23">
        <v>18</v>
      </c>
      <c r="B37" s="27" t="s">
        <v>681</v>
      </c>
      <c r="C37" s="27">
        <v>2635</v>
      </c>
      <c r="D37" s="27">
        <v>1205</v>
      </c>
      <c r="E37" s="27">
        <v>1430</v>
      </c>
      <c r="F37" s="8"/>
    </row>
    <row r="38" spans="1:6" ht="24.95" customHeight="1" x14ac:dyDescent="0.25">
      <c r="A38" s="23">
        <v>19</v>
      </c>
      <c r="B38" s="27" t="s">
        <v>682</v>
      </c>
      <c r="C38" s="27">
        <v>5633</v>
      </c>
      <c r="D38" s="27">
        <v>2687</v>
      </c>
      <c r="E38" s="27">
        <v>2946</v>
      </c>
      <c r="F38" s="8"/>
    </row>
    <row r="39" spans="1:6" ht="24.95" customHeight="1" x14ac:dyDescent="0.25">
      <c r="A39" s="23">
        <v>20</v>
      </c>
      <c r="B39" s="27" t="s">
        <v>683</v>
      </c>
      <c r="C39" s="27">
        <v>1871</v>
      </c>
      <c r="D39" s="27">
        <v>896</v>
      </c>
      <c r="E39" s="27">
        <v>975</v>
      </c>
      <c r="F39" s="8"/>
    </row>
    <row r="40" spans="1:6" ht="24.95" customHeight="1" x14ac:dyDescent="0.25">
      <c r="A40" s="23">
        <v>21</v>
      </c>
      <c r="B40" s="27" t="s">
        <v>684</v>
      </c>
      <c r="C40" s="27">
        <v>1938</v>
      </c>
      <c r="D40" s="27">
        <v>942</v>
      </c>
      <c r="E40" s="27">
        <v>996</v>
      </c>
      <c r="F40" s="8"/>
    </row>
    <row r="41" spans="1:6" ht="24.95" customHeight="1" x14ac:dyDescent="0.25">
      <c r="A41" s="23">
        <v>22</v>
      </c>
      <c r="B41" s="27" t="s">
        <v>685</v>
      </c>
      <c r="C41" s="27">
        <v>2317</v>
      </c>
      <c r="D41" s="27">
        <v>1133</v>
      </c>
      <c r="E41" s="27">
        <v>1184</v>
      </c>
      <c r="F41" s="8"/>
    </row>
    <row r="42" spans="1:6" ht="24.95" customHeight="1" x14ac:dyDescent="0.25">
      <c r="A42" s="23">
        <v>23</v>
      </c>
      <c r="B42" s="27" t="s">
        <v>686</v>
      </c>
      <c r="C42" s="27">
        <v>3074</v>
      </c>
      <c r="D42" s="27">
        <v>1487</v>
      </c>
      <c r="E42" s="27">
        <v>1587</v>
      </c>
      <c r="F42" s="8"/>
    </row>
    <row r="43" spans="1:6" ht="24.95" customHeight="1" x14ac:dyDescent="0.25">
      <c r="A43" s="23">
        <v>24</v>
      </c>
      <c r="B43" s="27" t="s">
        <v>407</v>
      </c>
      <c r="C43" s="27">
        <v>9294</v>
      </c>
      <c r="D43" s="27">
        <v>4690</v>
      </c>
      <c r="E43" s="27">
        <v>4604</v>
      </c>
      <c r="F43" s="8"/>
    </row>
    <row r="44" spans="1:6" ht="24.95" customHeight="1" x14ac:dyDescent="0.25">
      <c r="A44" s="23">
        <v>25</v>
      </c>
      <c r="B44" s="27" t="s">
        <v>687</v>
      </c>
      <c r="C44" s="27">
        <v>2759</v>
      </c>
      <c r="D44" s="27">
        <v>1431</v>
      </c>
      <c r="E44" s="27">
        <v>1328</v>
      </c>
      <c r="F44" s="8"/>
    </row>
    <row r="45" spans="1:6" ht="24.95" customHeight="1" x14ac:dyDescent="0.25">
      <c r="A45" s="23">
        <v>26</v>
      </c>
      <c r="B45" s="27" t="s">
        <v>688</v>
      </c>
      <c r="C45" s="27">
        <v>4081</v>
      </c>
      <c r="D45" s="27">
        <v>2048</v>
      </c>
      <c r="E45" s="27">
        <v>2033</v>
      </c>
      <c r="F45" s="8"/>
    </row>
    <row r="46" spans="1:6" ht="24.95" customHeight="1" x14ac:dyDescent="0.25">
      <c r="A46" s="23">
        <v>27</v>
      </c>
      <c r="B46" s="27" t="s">
        <v>689</v>
      </c>
      <c r="C46" s="27">
        <v>783</v>
      </c>
      <c r="D46" s="27">
        <v>394</v>
      </c>
      <c r="E46" s="27">
        <v>389</v>
      </c>
      <c r="F46" s="8"/>
    </row>
    <row r="47" spans="1:6" ht="24.95" customHeight="1" x14ac:dyDescent="0.25">
      <c r="A47" s="23">
        <v>28</v>
      </c>
      <c r="B47" s="27" t="s">
        <v>690</v>
      </c>
      <c r="C47" s="27">
        <v>545</v>
      </c>
      <c r="D47" s="27">
        <v>291</v>
      </c>
      <c r="E47" s="27">
        <v>254</v>
      </c>
      <c r="F47" s="8"/>
    </row>
    <row r="48" spans="1:6" ht="24.95" customHeight="1" x14ac:dyDescent="0.25">
      <c r="A48" s="23">
        <v>29</v>
      </c>
      <c r="B48" s="27" t="s">
        <v>691</v>
      </c>
      <c r="C48" s="27">
        <v>198</v>
      </c>
      <c r="D48" s="27">
        <v>109</v>
      </c>
      <c r="E48" s="27">
        <v>89</v>
      </c>
      <c r="F48" s="8"/>
    </row>
    <row r="49" spans="1:6" ht="24.95" customHeight="1" x14ac:dyDescent="0.25">
      <c r="A49" s="23">
        <v>30</v>
      </c>
      <c r="B49" s="27" t="s">
        <v>692</v>
      </c>
      <c r="C49" s="27">
        <v>704</v>
      </c>
      <c r="D49" s="27">
        <v>345</v>
      </c>
      <c r="E49" s="27">
        <v>359</v>
      </c>
      <c r="F49" s="8"/>
    </row>
    <row r="50" spans="1:6" ht="24.95" customHeight="1" x14ac:dyDescent="0.25">
      <c r="A50" s="23">
        <v>31</v>
      </c>
      <c r="B50" s="27" t="s">
        <v>693</v>
      </c>
      <c r="C50" s="27">
        <v>1314</v>
      </c>
      <c r="D50" s="27">
        <v>633</v>
      </c>
      <c r="E50" s="27">
        <v>681</v>
      </c>
      <c r="F50" s="8"/>
    </row>
    <row r="51" spans="1:6" ht="24.95" customHeight="1" x14ac:dyDescent="0.25">
      <c r="A51" s="23">
        <v>32</v>
      </c>
      <c r="B51" s="27" t="s">
        <v>694</v>
      </c>
      <c r="C51" s="27">
        <v>1846</v>
      </c>
      <c r="D51" s="27">
        <v>900</v>
      </c>
      <c r="E51" s="27">
        <v>946</v>
      </c>
      <c r="F51" s="8"/>
    </row>
    <row r="52" spans="1:6" ht="24.95" customHeight="1" x14ac:dyDescent="0.25">
      <c r="A52" s="23">
        <v>33</v>
      </c>
      <c r="B52" s="27" t="s">
        <v>695</v>
      </c>
      <c r="C52" s="27">
        <v>1903</v>
      </c>
      <c r="D52" s="27">
        <v>900</v>
      </c>
      <c r="E52" s="27">
        <v>1003</v>
      </c>
      <c r="F52" s="8"/>
    </row>
    <row r="53" spans="1:6" ht="24.95" customHeight="1" x14ac:dyDescent="0.25">
      <c r="A53" s="23">
        <v>34</v>
      </c>
      <c r="B53" s="27" t="s">
        <v>696</v>
      </c>
      <c r="C53" s="27">
        <v>741</v>
      </c>
      <c r="D53" s="27">
        <v>364</v>
      </c>
      <c r="E53" s="27">
        <v>377</v>
      </c>
      <c r="F53" s="8"/>
    </row>
    <row r="54" spans="1:6" ht="24.95" customHeight="1" x14ac:dyDescent="0.25">
      <c r="A54" s="23">
        <v>35</v>
      </c>
      <c r="B54" s="27" t="s">
        <v>697</v>
      </c>
      <c r="C54" s="27">
        <v>1814</v>
      </c>
      <c r="D54" s="27">
        <v>948</v>
      </c>
      <c r="E54" s="27">
        <v>866</v>
      </c>
      <c r="F54" s="8"/>
    </row>
    <row r="55" spans="1:6" ht="24.95" customHeight="1" x14ac:dyDescent="0.25">
      <c r="A55" s="23">
        <v>36</v>
      </c>
      <c r="B55" s="27" t="s">
        <v>698</v>
      </c>
      <c r="C55" s="27">
        <v>825</v>
      </c>
      <c r="D55" s="27">
        <v>438</v>
      </c>
      <c r="E55" s="27">
        <v>387</v>
      </c>
      <c r="F55" s="8"/>
    </row>
    <row r="56" spans="1:6" ht="24.95" customHeight="1" x14ac:dyDescent="0.25">
      <c r="A56" s="23">
        <v>37</v>
      </c>
      <c r="B56" s="27" t="s">
        <v>699</v>
      </c>
      <c r="C56" s="27">
        <v>2332</v>
      </c>
      <c r="D56" s="27">
        <v>1213</v>
      </c>
      <c r="E56" s="27">
        <v>1119</v>
      </c>
      <c r="F56" s="8"/>
    </row>
    <row r="57" spans="1:6" ht="24.95" customHeight="1" x14ac:dyDescent="0.25">
      <c r="A57" s="23">
        <v>38</v>
      </c>
      <c r="B57" s="27" t="s">
        <v>440</v>
      </c>
      <c r="C57" s="27">
        <v>488</v>
      </c>
      <c r="D57" s="27">
        <v>243</v>
      </c>
      <c r="E57" s="27">
        <v>245</v>
      </c>
      <c r="F57" s="8"/>
    </row>
    <row r="58" spans="1:6" ht="24.95" customHeight="1" x14ac:dyDescent="0.25">
      <c r="A58" s="23">
        <v>39</v>
      </c>
      <c r="B58" s="27" t="s">
        <v>593</v>
      </c>
      <c r="C58" s="27">
        <v>1232</v>
      </c>
      <c r="D58" s="27">
        <v>618</v>
      </c>
      <c r="E58" s="27">
        <v>614</v>
      </c>
      <c r="F58" s="8"/>
    </row>
    <row r="59" spans="1:6" ht="24.95" customHeight="1" x14ac:dyDescent="0.25">
      <c r="A59" s="23">
        <v>40</v>
      </c>
      <c r="B59" s="27" t="s">
        <v>448</v>
      </c>
      <c r="C59" s="27">
        <v>7305</v>
      </c>
      <c r="D59" s="27">
        <v>3488</v>
      </c>
      <c r="E59" s="27">
        <v>3817</v>
      </c>
      <c r="F59" s="8"/>
    </row>
    <row r="60" spans="1:6" ht="24.95" customHeight="1" x14ac:dyDescent="0.25">
      <c r="A60" s="23">
        <v>41</v>
      </c>
      <c r="B60" s="27" t="s">
        <v>700</v>
      </c>
      <c r="C60" s="27">
        <v>2776</v>
      </c>
      <c r="D60" s="27">
        <v>1332</v>
      </c>
      <c r="E60" s="27">
        <v>1444</v>
      </c>
      <c r="F60" s="8"/>
    </row>
    <row r="61" spans="1:6" ht="24.95" customHeight="1" x14ac:dyDescent="0.25">
      <c r="A61" s="23">
        <v>42</v>
      </c>
      <c r="B61" s="27" t="s">
        <v>701</v>
      </c>
      <c r="C61" s="27">
        <v>958</v>
      </c>
      <c r="D61" s="27">
        <v>453</v>
      </c>
      <c r="E61" s="27">
        <v>505</v>
      </c>
      <c r="F61" s="8"/>
    </row>
    <row r="62" spans="1:6" ht="24.95" customHeight="1" x14ac:dyDescent="0.25">
      <c r="A62" s="23">
        <v>43</v>
      </c>
      <c r="B62" s="27" t="s">
        <v>702</v>
      </c>
      <c r="C62" s="27">
        <v>5428</v>
      </c>
      <c r="D62" s="27">
        <v>2656</v>
      </c>
      <c r="E62" s="27">
        <v>2772</v>
      </c>
      <c r="F62" s="8"/>
    </row>
    <row r="63" spans="1:6" ht="24.95" customHeight="1" x14ac:dyDescent="0.25">
      <c r="A63" s="23">
        <v>44</v>
      </c>
      <c r="B63" s="27" t="s">
        <v>703</v>
      </c>
      <c r="C63" s="27">
        <v>6772</v>
      </c>
      <c r="D63" s="27">
        <v>3299</v>
      </c>
      <c r="E63" s="27">
        <v>3473</v>
      </c>
      <c r="F63" s="8"/>
    </row>
    <row r="64" spans="1:6" ht="24.95" customHeight="1" x14ac:dyDescent="0.25">
      <c r="A64" s="23">
        <v>45</v>
      </c>
      <c r="B64" s="27" t="s">
        <v>704</v>
      </c>
      <c r="C64" s="27">
        <v>8583</v>
      </c>
      <c r="D64" s="27">
        <v>4025</v>
      </c>
      <c r="E64" s="27">
        <v>4558</v>
      </c>
      <c r="F64" s="8"/>
    </row>
    <row r="65" spans="1:6" ht="24.95" customHeight="1" x14ac:dyDescent="0.25">
      <c r="A65" s="23">
        <v>46</v>
      </c>
      <c r="B65" s="27" t="s">
        <v>705</v>
      </c>
      <c r="C65" s="27">
        <v>3340</v>
      </c>
      <c r="D65" s="27">
        <v>1775</v>
      </c>
      <c r="E65" s="27">
        <v>1565</v>
      </c>
      <c r="F65" s="8"/>
    </row>
    <row r="66" spans="1:6" ht="24.95" customHeight="1" x14ac:dyDescent="0.25">
      <c r="A66" s="23">
        <v>47</v>
      </c>
      <c r="B66" s="27" t="s">
        <v>706</v>
      </c>
      <c r="C66" s="27">
        <v>4473</v>
      </c>
      <c r="D66" s="27">
        <v>2088</v>
      </c>
      <c r="E66" s="27">
        <v>2385</v>
      </c>
      <c r="F66" s="8"/>
    </row>
    <row r="67" spans="1:6" ht="24.95" customHeight="1" x14ac:dyDescent="0.25">
      <c r="A67" s="23">
        <v>48</v>
      </c>
      <c r="B67" s="27" t="s">
        <v>707</v>
      </c>
      <c r="C67" s="27">
        <v>3774</v>
      </c>
      <c r="D67" s="27">
        <v>1850</v>
      </c>
      <c r="E67" s="27">
        <v>1924</v>
      </c>
      <c r="F67" s="8"/>
    </row>
    <row r="68" spans="1:6" ht="24.95" customHeight="1" x14ac:dyDescent="0.25">
      <c r="A68" s="28">
        <v>49</v>
      </c>
      <c r="B68" s="29" t="s">
        <v>708</v>
      </c>
      <c r="C68" s="29">
        <v>3985</v>
      </c>
      <c r="D68" s="29">
        <v>1879</v>
      </c>
      <c r="E68" s="29">
        <v>2106</v>
      </c>
      <c r="F68" s="8"/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 Lashio District,Tantyan Township"/>
  </hyperlinks>
  <pageMargins left="0.75" right="0.5" top="0.5" bottom="0.2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selection sqref="A1:E1"/>
    </sheetView>
  </sheetViews>
  <sheetFormatPr defaultRowHeight="15" x14ac:dyDescent="0.25"/>
  <cols>
    <col min="2" max="2" width="32.5703125" customWidth="1"/>
    <col min="3" max="5" width="15.7109375" customWidth="1"/>
    <col min="13" max="13" width="16.140625" customWidth="1"/>
  </cols>
  <sheetData>
    <row r="1" spans="1:5" ht="18.75" x14ac:dyDescent="0.3">
      <c r="A1" s="180" t="s">
        <v>1373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9.75" customHeight="1" x14ac:dyDescent="0.25">
      <c r="A3" s="20"/>
      <c r="B3" s="20"/>
      <c r="C3" s="20"/>
      <c r="D3" s="20"/>
      <c r="E3" s="20"/>
    </row>
    <row r="4" spans="1:5" ht="15.75" x14ac:dyDescent="0.25">
      <c r="A4" s="173" t="s">
        <v>1339</v>
      </c>
      <c r="B4" s="173" t="s">
        <v>1422</v>
      </c>
      <c r="C4" s="174" t="s">
        <v>1340</v>
      </c>
      <c r="D4" s="175"/>
      <c r="E4" s="176"/>
    </row>
    <row r="5" spans="1:5" ht="15.75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5" ht="15.75" x14ac:dyDescent="0.25">
      <c r="A6" s="48"/>
      <c r="B6" s="26" t="s">
        <v>0</v>
      </c>
      <c r="C6" s="26">
        <v>117507</v>
      </c>
      <c r="D6" s="26">
        <v>60946</v>
      </c>
      <c r="E6" s="26">
        <v>56561</v>
      </c>
    </row>
    <row r="7" spans="1:5" ht="11.25" customHeight="1" x14ac:dyDescent="0.25">
      <c r="A7" s="23"/>
      <c r="B7" s="24"/>
      <c r="C7" s="24"/>
      <c r="D7" s="24"/>
      <c r="E7" s="24"/>
    </row>
    <row r="8" spans="1:5" ht="21.95" customHeight="1" x14ac:dyDescent="0.25">
      <c r="A8" s="23"/>
      <c r="B8" s="24" t="s">
        <v>1338</v>
      </c>
      <c r="C8" s="24">
        <f>SUM(C9:C17)</f>
        <v>74313</v>
      </c>
      <c r="D8" s="24">
        <f t="shared" ref="D8:E8" si="0">SUM(D9:D17)</f>
        <v>38448</v>
      </c>
      <c r="E8" s="24">
        <f t="shared" si="0"/>
        <v>35865</v>
      </c>
    </row>
    <row r="9" spans="1:5" ht="21.95" customHeight="1" x14ac:dyDescent="0.25">
      <c r="A9" s="23">
        <v>1</v>
      </c>
      <c r="B9" s="27" t="s">
        <v>709</v>
      </c>
      <c r="C9" s="27">
        <v>4316</v>
      </c>
      <c r="D9" s="27">
        <v>2137</v>
      </c>
      <c r="E9" s="27">
        <v>2179</v>
      </c>
    </row>
    <row r="10" spans="1:5" ht="21.95" customHeight="1" x14ac:dyDescent="0.25">
      <c r="A10" s="23">
        <v>2</v>
      </c>
      <c r="B10" s="27" t="s">
        <v>389</v>
      </c>
      <c r="C10" s="27">
        <v>3981</v>
      </c>
      <c r="D10" s="27">
        <v>1978</v>
      </c>
      <c r="E10" s="27">
        <v>2003</v>
      </c>
    </row>
    <row r="11" spans="1:5" ht="21.95" customHeight="1" x14ac:dyDescent="0.25">
      <c r="A11" s="23">
        <v>3</v>
      </c>
      <c r="B11" s="27" t="s">
        <v>110</v>
      </c>
      <c r="C11" s="27">
        <v>8388</v>
      </c>
      <c r="D11" s="27">
        <v>4231</v>
      </c>
      <c r="E11" s="27">
        <v>4157</v>
      </c>
    </row>
    <row r="12" spans="1:5" ht="21.95" customHeight="1" x14ac:dyDescent="0.25">
      <c r="A12" s="23">
        <v>4</v>
      </c>
      <c r="B12" s="27" t="s">
        <v>710</v>
      </c>
      <c r="C12" s="27">
        <v>19969</v>
      </c>
      <c r="D12" s="27">
        <v>10249</v>
      </c>
      <c r="E12" s="27">
        <v>9720</v>
      </c>
    </row>
    <row r="13" spans="1:5" ht="21.95" customHeight="1" x14ac:dyDescent="0.25">
      <c r="A13" s="23">
        <v>5</v>
      </c>
      <c r="B13" s="27" t="s">
        <v>711</v>
      </c>
      <c r="C13" s="27">
        <v>3770</v>
      </c>
      <c r="D13" s="27">
        <v>1928</v>
      </c>
      <c r="E13" s="27">
        <v>1842</v>
      </c>
    </row>
    <row r="14" spans="1:5" ht="21.95" customHeight="1" x14ac:dyDescent="0.25">
      <c r="A14" s="23">
        <v>6</v>
      </c>
      <c r="B14" s="27" t="s">
        <v>712</v>
      </c>
      <c r="C14" s="27">
        <v>3431</v>
      </c>
      <c r="D14" s="27">
        <v>1632</v>
      </c>
      <c r="E14" s="27">
        <v>1799</v>
      </c>
    </row>
    <row r="15" spans="1:5" ht="21.95" customHeight="1" x14ac:dyDescent="0.25">
      <c r="A15" s="23">
        <v>7</v>
      </c>
      <c r="B15" s="27" t="s">
        <v>713</v>
      </c>
      <c r="C15" s="27">
        <v>10739</v>
      </c>
      <c r="D15" s="27">
        <v>5648</v>
      </c>
      <c r="E15" s="27">
        <v>5091</v>
      </c>
    </row>
    <row r="16" spans="1:5" ht="21.95" customHeight="1" x14ac:dyDescent="0.25">
      <c r="A16" s="23">
        <v>8</v>
      </c>
      <c r="B16" s="27" t="s">
        <v>714</v>
      </c>
      <c r="C16" s="27">
        <v>2619</v>
      </c>
      <c r="D16" s="27">
        <v>1314</v>
      </c>
      <c r="E16" s="27">
        <v>1305</v>
      </c>
    </row>
    <row r="17" spans="1:5" ht="21.95" customHeight="1" x14ac:dyDescent="0.25">
      <c r="A17" s="23">
        <v>9</v>
      </c>
      <c r="B17" s="27" t="s">
        <v>715</v>
      </c>
      <c r="C17" s="27">
        <v>17100</v>
      </c>
      <c r="D17" s="27">
        <v>9331</v>
      </c>
      <c r="E17" s="27">
        <v>7769</v>
      </c>
    </row>
    <row r="18" spans="1:5" ht="21.95" customHeight="1" x14ac:dyDescent="0.25">
      <c r="A18" s="23"/>
      <c r="B18" s="24" t="s">
        <v>1410</v>
      </c>
      <c r="C18" s="24">
        <f>SUM(C19:C34)</f>
        <v>43194</v>
      </c>
      <c r="D18" s="24">
        <f t="shared" ref="D18:E18" si="1">SUM(D19:D34)</f>
        <v>22498</v>
      </c>
      <c r="E18" s="24">
        <f t="shared" si="1"/>
        <v>20696</v>
      </c>
    </row>
    <row r="19" spans="1:5" ht="21.95" customHeight="1" x14ac:dyDescent="0.25">
      <c r="A19" s="23">
        <v>1</v>
      </c>
      <c r="B19" s="27" t="s">
        <v>716</v>
      </c>
      <c r="C19" s="27">
        <v>2497</v>
      </c>
      <c r="D19" s="27">
        <v>1287</v>
      </c>
      <c r="E19" s="27">
        <v>1210</v>
      </c>
    </row>
    <row r="20" spans="1:5" ht="21.95" customHeight="1" x14ac:dyDescent="0.25">
      <c r="A20" s="23">
        <v>2</v>
      </c>
      <c r="B20" s="27" t="s">
        <v>717</v>
      </c>
      <c r="C20" s="27">
        <v>4318</v>
      </c>
      <c r="D20" s="27">
        <v>2092</v>
      </c>
      <c r="E20" s="27">
        <v>2226</v>
      </c>
    </row>
    <row r="21" spans="1:5" ht="21.95" customHeight="1" x14ac:dyDescent="0.25">
      <c r="A21" s="23">
        <v>3</v>
      </c>
      <c r="B21" s="27" t="s">
        <v>718</v>
      </c>
      <c r="C21" s="27">
        <v>575</v>
      </c>
      <c r="D21" s="27">
        <v>275</v>
      </c>
      <c r="E21" s="27">
        <v>300</v>
      </c>
    </row>
    <row r="22" spans="1:5" ht="21.95" customHeight="1" x14ac:dyDescent="0.25">
      <c r="A22" s="23">
        <v>4</v>
      </c>
      <c r="B22" s="27" t="s">
        <v>719</v>
      </c>
      <c r="C22" s="27">
        <v>1134</v>
      </c>
      <c r="D22" s="27">
        <v>550</v>
      </c>
      <c r="E22" s="27">
        <v>584</v>
      </c>
    </row>
    <row r="23" spans="1:5" ht="21.95" customHeight="1" x14ac:dyDescent="0.25">
      <c r="A23" s="23">
        <v>5</v>
      </c>
      <c r="B23" s="27" t="s">
        <v>720</v>
      </c>
      <c r="C23" s="27">
        <v>2983</v>
      </c>
      <c r="D23" s="27">
        <v>1422</v>
      </c>
      <c r="E23" s="27">
        <v>1561</v>
      </c>
    </row>
    <row r="24" spans="1:5" ht="21.95" customHeight="1" x14ac:dyDescent="0.25">
      <c r="A24" s="23">
        <v>6</v>
      </c>
      <c r="B24" s="27" t="s">
        <v>721</v>
      </c>
      <c r="C24" s="27">
        <v>2191</v>
      </c>
      <c r="D24" s="27">
        <v>1115</v>
      </c>
      <c r="E24" s="27">
        <v>1076</v>
      </c>
    </row>
    <row r="25" spans="1:5" ht="21.95" customHeight="1" x14ac:dyDescent="0.25">
      <c r="A25" s="23">
        <v>7</v>
      </c>
      <c r="B25" s="27" t="s">
        <v>722</v>
      </c>
      <c r="C25" s="27">
        <v>1580</v>
      </c>
      <c r="D25" s="27">
        <v>758</v>
      </c>
      <c r="E25" s="27">
        <v>822</v>
      </c>
    </row>
    <row r="26" spans="1:5" ht="21.95" customHeight="1" x14ac:dyDescent="0.25">
      <c r="A26" s="23">
        <v>8</v>
      </c>
      <c r="B26" s="27" t="s">
        <v>723</v>
      </c>
      <c r="C26" s="27">
        <v>12336</v>
      </c>
      <c r="D26" s="27">
        <v>6949</v>
      </c>
      <c r="E26" s="27">
        <v>5387</v>
      </c>
    </row>
    <row r="27" spans="1:5" ht="21.95" customHeight="1" x14ac:dyDescent="0.25">
      <c r="A27" s="23">
        <v>9</v>
      </c>
      <c r="B27" s="27" t="s">
        <v>724</v>
      </c>
      <c r="C27" s="27">
        <v>1763</v>
      </c>
      <c r="D27" s="27">
        <v>937</v>
      </c>
      <c r="E27" s="27">
        <v>826</v>
      </c>
    </row>
    <row r="28" spans="1:5" ht="21.95" customHeight="1" x14ac:dyDescent="0.25">
      <c r="A28" s="23">
        <v>10</v>
      </c>
      <c r="B28" s="27" t="s">
        <v>725</v>
      </c>
      <c r="C28" s="27">
        <v>4230</v>
      </c>
      <c r="D28" s="27">
        <v>2174</v>
      </c>
      <c r="E28" s="27">
        <v>2056</v>
      </c>
    </row>
    <row r="29" spans="1:5" ht="21.95" customHeight="1" x14ac:dyDescent="0.25">
      <c r="A29" s="23">
        <v>11</v>
      </c>
      <c r="B29" s="27" t="s">
        <v>726</v>
      </c>
      <c r="C29" s="27">
        <v>330</v>
      </c>
      <c r="D29" s="27">
        <v>167</v>
      </c>
      <c r="E29" s="27">
        <v>163</v>
      </c>
    </row>
    <row r="30" spans="1:5" ht="21.95" customHeight="1" x14ac:dyDescent="0.25">
      <c r="A30" s="23">
        <v>12</v>
      </c>
      <c r="B30" s="27" t="s">
        <v>693</v>
      </c>
      <c r="C30" s="27">
        <v>4020</v>
      </c>
      <c r="D30" s="27">
        <v>2121</v>
      </c>
      <c r="E30" s="27">
        <v>1899</v>
      </c>
    </row>
    <row r="31" spans="1:5" ht="21.95" customHeight="1" x14ac:dyDescent="0.25">
      <c r="A31" s="23">
        <v>13</v>
      </c>
      <c r="B31" s="27" t="s">
        <v>205</v>
      </c>
      <c r="C31" s="27">
        <v>31</v>
      </c>
      <c r="D31" s="27">
        <v>16</v>
      </c>
      <c r="E31" s="27">
        <v>15</v>
      </c>
    </row>
    <row r="32" spans="1:5" ht="21.95" customHeight="1" x14ac:dyDescent="0.25">
      <c r="A32" s="23">
        <v>14</v>
      </c>
      <c r="B32" s="27" t="s">
        <v>632</v>
      </c>
      <c r="C32" s="27">
        <v>1266</v>
      </c>
      <c r="D32" s="27">
        <v>621</v>
      </c>
      <c r="E32" s="27">
        <v>645</v>
      </c>
    </row>
    <row r="33" spans="1:5" ht="21.95" customHeight="1" x14ac:dyDescent="0.25">
      <c r="A33" s="23">
        <v>15</v>
      </c>
      <c r="B33" s="27" t="s">
        <v>727</v>
      </c>
      <c r="C33" s="27">
        <v>2830</v>
      </c>
      <c r="D33" s="27">
        <v>1444</v>
      </c>
      <c r="E33" s="27">
        <v>1386</v>
      </c>
    </row>
    <row r="34" spans="1:5" ht="21.95" customHeight="1" x14ac:dyDescent="0.25">
      <c r="A34" s="28">
        <v>16</v>
      </c>
      <c r="B34" s="29" t="s">
        <v>728</v>
      </c>
      <c r="C34" s="29">
        <v>1110</v>
      </c>
      <c r="D34" s="29">
        <v>570</v>
      </c>
      <c r="E34" s="29">
        <v>540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MuSe District,  MuSe Township"/>
  </hyperlinks>
  <pageMargins left="0.75" right="0.5" top="0.5" bottom="0.2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"/>
  <sheetViews>
    <sheetView workbookViewId="0">
      <selection sqref="A1:XFD1"/>
    </sheetView>
  </sheetViews>
  <sheetFormatPr defaultRowHeight="15" x14ac:dyDescent="0.25"/>
  <cols>
    <col min="2" max="2" width="30.42578125" customWidth="1"/>
    <col min="3" max="5" width="15.7109375" customWidth="1"/>
  </cols>
  <sheetData>
    <row r="1" spans="1:11" ht="18.75" x14ac:dyDescent="0.3">
      <c r="A1" s="180" t="s">
        <v>1374</v>
      </c>
      <c r="B1" s="180"/>
      <c r="C1" s="180"/>
      <c r="D1" s="180"/>
      <c r="E1" s="180"/>
    </row>
    <row r="2" spans="1:11" ht="15.75" x14ac:dyDescent="0.25">
      <c r="A2" s="20"/>
      <c r="B2" s="20"/>
      <c r="C2" s="20"/>
      <c r="D2" s="20"/>
      <c r="E2" s="21" t="s">
        <v>1341</v>
      </c>
    </row>
    <row r="3" spans="1:11" ht="10.5" customHeight="1" x14ac:dyDescent="0.25">
      <c r="A3" s="20"/>
      <c r="B3" s="20"/>
      <c r="C3" s="20"/>
      <c r="D3" s="20"/>
      <c r="E3" s="20"/>
    </row>
    <row r="4" spans="1:11" ht="15.75" x14ac:dyDescent="0.25">
      <c r="A4" s="173" t="s">
        <v>1339</v>
      </c>
      <c r="B4" s="173" t="s">
        <v>1422</v>
      </c>
      <c r="C4" s="174" t="s">
        <v>1340</v>
      </c>
      <c r="D4" s="175"/>
      <c r="E4" s="176"/>
    </row>
    <row r="5" spans="1:11" ht="15.75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11" ht="23.1" customHeight="1" x14ac:dyDescent="0.25">
      <c r="A6" s="48"/>
      <c r="B6" s="26" t="s">
        <v>0</v>
      </c>
      <c r="C6" s="26">
        <v>107034</v>
      </c>
      <c r="D6" s="26">
        <v>51315</v>
      </c>
      <c r="E6" s="26">
        <v>55719</v>
      </c>
    </row>
    <row r="7" spans="1:11" ht="12.75" customHeight="1" x14ac:dyDescent="0.25">
      <c r="A7" s="23"/>
      <c r="B7" s="24"/>
      <c r="C7" s="24"/>
      <c r="D7" s="24"/>
      <c r="E7" s="24"/>
    </row>
    <row r="8" spans="1:11" ht="21.95" customHeight="1" x14ac:dyDescent="0.25">
      <c r="A8" s="23"/>
      <c r="B8" s="24" t="s">
        <v>1338</v>
      </c>
      <c r="C8" s="24">
        <f>SUM(C9:C22)</f>
        <v>30269</v>
      </c>
      <c r="D8" s="24">
        <f t="shared" ref="D8:E8" si="0">SUM(D9:D22)</f>
        <v>14171</v>
      </c>
      <c r="E8" s="24">
        <f t="shared" si="0"/>
        <v>16098</v>
      </c>
    </row>
    <row r="9" spans="1:11" s="10" customFormat="1" ht="21.95" customHeight="1" x14ac:dyDescent="0.25">
      <c r="A9" s="58">
        <v>1</v>
      </c>
      <c r="B9" s="27" t="s">
        <v>25</v>
      </c>
      <c r="C9" s="27">
        <v>2188</v>
      </c>
      <c r="D9" s="27">
        <v>1032</v>
      </c>
      <c r="E9" s="27">
        <v>1156</v>
      </c>
      <c r="I9"/>
      <c r="J9"/>
      <c r="K9"/>
    </row>
    <row r="10" spans="1:11" s="10" customFormat="1" ht="21.95" customHeight="1" x14ac:dyDescent="0.25">
      <c r="A10" s="58">
        <v>2</v>
      </c>
      <c r="B10" s="27" t="s">
        <v>26</v>
      </c>
      <c r="C10" s="27">
        <v>1463</v>
      </c>
      <c r="D10" s="27">
        <v>696</v>
      </c>
      <c r="E10" s="27">
        <v>767</v>
      </c>
      <c r="I10"/>
      <c r="J10"/>
      <c r="K10"/>
    </row>
    <row r="11" spans="1:11" s="10" customFormat="1" ht="21.95" customHeight="1" x14ac:dyDescent="0.25">
      <c r="A11" s="58">
        <v>3</v>
      </c>
      <c r="B11" s="27" t="s">
        <v>27</v>
      </c>
      <c r="C11" s="27">
        <v>2327</v>
      </c>
      <c r="D11" s="27">
        <v>1055</v>
      </c>
      <c r="E11" s="27">
        <v>1272</v>
      </c>
      <c r="I11"/>
      <c r="J11"/>
      <c r="K11"/>
    </row>
    <row r="12" spans="1:11" s="10" customFormat="1" ht="21.95" customHeight="1" x14ac:dyDescent="0.25">
      <c r="A12" s="58">
        <v>4</v>
      </c>
      <c r="B12" s="27" t="s">
        <v>28</v>
      </c>
      <c r="C12" s="27">
        <v>2613</v>
      </c>
      <c r="D12" s="27">
        <v>1205</v>
      </c>
      <c r="E12" s="27">
        <v>1408</v>
      </c>
      <c r="I12"/>
      <c r="J12"/>
      <c r="K12"/>
    </row>
    <row r="13" spans="1:11" s="10" customFormat="1" ht="21.95" customHeight="1" x14ac:dyDescent="0.25">
      <c r="A13" s="58">
        <v>5</v>
      </c>
      <c r="B13" s="27" t="s">
        <v>29</v>
      </c>
      <c r="C13" s="27">
        <v>1892</v>
      </c>
      <c r="D13" s="27">
        <v>914</v>
      </c>
      <c r="E13" s="27">
        <v>978</v>
      </c>
      <c r="I13"/>
      <c r="J13"/>
      <c r="K13"/>
    </row>
    <row r="14" spans="1:11" s="10" customFormat="1" ht="21.95" customHeight="1" x14ac:dyDescent="0.25">
      <c r="A14" s="58">
        <v>6</v>
      </c>
      <c r="B14" s="27" t="s">
        <v>30</v>
      </c>
      <c r="C14" s="27">
        <v>1284</v>
      </c>
      <c r="D14" s="27">
        <v>595</v>
      </c>
      <c r="E14" s="27">
        <v>689</v>
      </c>
      <c r="I14"/>
      <c r="J14"/>
      <c r="K14"/>
    </row>
    <row r="15" spans="1:11" s="10" customFormat="1" ht="21.95" customHeight="1" x14ac:dyDescent="0.25">
      <c r="A15" s="58">
        <v>7</v>
      </c>
      <c r="B15" s="27" t="s">
        <v>31</v>
      </c>
      <c r="C15" s="27">
        <v>2289</v>
      </c>
      <c r="D15" s="27">
        <v>1094</v>
      </c>
      <c r="E15" s="27">
        <v>1195</v>
      </c>
      <c r="I15"/>
      <c r="J15"/>
      <c r="K15"/>
    </row>
    <row r="16" spans="1:11" s="10" customFormat="1" ht="21.95" customHeight="1" x14ac:dyDescent="0.25">
      <c r="A16" s="58">
        <v>8</v>
      </c>
      <c r="B16" s="27" t="s">
        <v>32</v>
      </c>
      <c r="C16" s="27">
        <v>3211</v>
      </c>
      <c r="D16" s="27">
        <v>1519</v>
      </c>
      <c r="E16" s="27">
        <v>1692</v>
      </c>
      <c r="I16"/>
      <c r="J16"/>
      <c r="K16"/>
    </row>
    <row r="17" spans="1:11" s="10" customFormat="1" ht="21.95" customHeight="1" x14ac:dyDescent="0.25">
      <c r="A17" s="58">
        <v>9</v>
      </c>
      <c r="B17" s="27" t="s">
        <v>33</v>
      </c>
      <c r="C17" s="27">
        <v>1853</v>
      </c>
      <c r="D17" s="27">
        <v>818</v>
      </c>
      <c r="E17" s="27">
        <v>1035</v>
      </c>
      <c r="I17"/>
      <c r="J17"/>
      <c r="K17"/>
    </row>
    <row r="18" spans="1:11" s="10" customFormat="1" ht="21.95" customHeight="1" x14ac:dyDescent="0.25">
      <c r="A18" s="58">
        <v>10</v>
      </c>
      <c r="B18" s="27" t="s">
        <v>34</v>
      </c>
      <c r="C18" s="27">
        <v>2411</v>
      </c>
      <c r="D18" s="27">
        <v>1067</v>
      </c>
      <c r="E18" s="27">
        <v>1344</v>
      </c>
      <c r="I18"/>
      <c r="J18"/>
      <c r="K18"/>
    </row>
    <row r="19" spans="1:11" s="10" customFormat="1" ht="21.95" customHeight="1" x14ac:dyDescent="0.25">
      <c r="A19" s="58">
        <v>11</v>
      </c>
      <c r="B19" s="27" t="s">
        <v>35</v>
      </c>
      <c r="C19" s="27">
        <v>1519</v>
      </c>
      <c r="D19" s="27">
        <v>660</v>
      </c>
      <c r="E19" s="27">
        <v>859</v>
      </c>
      <c r="I19"/>
      <c r="J19"/>
      <c r="K19"/>
    </row>
    <row r="20" spans="1:11" s="10" customFormat="1" ht="21.95" customHeight="1" x14ac:dyDescent="0.25">
      <c r="A20" s="58">
        <v>12</v>
      </c>
      <c r="B20" s="27" t="s">
        <v>36</v>
      </c>
      <c r="C20" s="27">
        <v>699</v>
      </c>
      <c r="D20" s="27">
        <v>355</v>
      </c>
      <c r="E20" s="27">
        <v>344</v>
      </c>
      <c r="I20"/>
      <c r="J20"/>
      <c r="K20"/>
    </row>
    <row r="21" spans="1:11" s="10" customFormat="1" ht="21.95" customHeight="1" x14ac:dyDescent="0.25">
      <c r="A21" s="58">
        <v>13</v>
      </c>
      <c r="B21" s="27" t="s">
        <v>729</v>
      </c>
      <c r="C21" s="27">
        <v>2102</v>
      </c>
      <c r="D21" s="27">
        <v>1035</v>
      </c>
      <c r="E21" s="27">
        <v>1067</v>
      </c>
      <c r="I21"/>
      <c r="J21"/>
      <c r="K21"/>
    </row>
    <row r="22" spans="1:11" s="10" customFormat="1" ht="21.95" customHeight="1" x14ac:dyDescent="0.25">
      <c r="A22" s="58">
        <v>14</v>
      </c>
      <c r="B22" s="27" t="s">
        <v>730</v>
      </c>
      <c r="C22" s="27">
        <v>4418</v>
      </c>
      <c r="D22" s="27">
        <v>2126</v>
      </c>
      <c r="E22" s="27">
        <v>2292</v>
      </c>
      <c r="I22"/>
      <c r="J22"/>
      <c r="K22"/>
    </row>
    <row r="23" spans="1:11" s="10" customFormat="1" ht="21.95" customHeight="1" x14ac:dyDescent="0.25">
      <c r="A23" s="58"/>
      <c r="B23" s="60" t="s">
        <v>1410</v>
      </c>
      <c r="C23" s="60">
        <f>SUM(C24:C66)</f>
        <v>76765</v>
      </c>
      <c r="D23" s="60">
        <f t="shared" ref="D23:E23" si="1">SUM(D24:D66)</f>
        <v>37144</v>
      </c>
      <c r="E23" s="60">
        <f t="shared" si="1"/>
        <v>39621</v>
      </c>
      <c r="I23"/>
      <c r="J23"/>
      <c r="K23"/>
    </row>
    <row r="24" spans="1:11" s="10" customFormat="1" ht="21.95" customHeight="1" x14ac:dyDescent="0.25">
      <c r="A24" s="58">
        <v>1</v>
      </c>
      <c r="B24" s="27" t="s">
        <v>558</v>
      </c>
      <c r="C24" s="27">
        <v>1244</v>
      </c>
      <c r="D24" s="27">
        <v>602</v>
      </c>
      <c r="E24" s="27">
        <v>642</v>
      </c>
      <c r="I24"/>
      <c r="J24"/>
      <c r="K24"/>
    </row>
    <row r="25" spans="1:11" s="10" customFormat="1" ht="21.95" customHeight="1" x14ac:dyDescent="0.25">
      <c r="A25" s="58">
        <v>2</v>
      </c>
      <c r="B25" s="27" t="s">
        <v>731</v>
      </c>
      <c r="C25" s="27">
        <v>683</v>
      </c>
      <c r="D25" s="27">
        <v>315</v>
      </c>
      <c r="E25" s="27">
        <v>368</v>
      </c>
      <c r="I25"/>
      <c r="J25"/>
      <c r="K25"/>
    </row>
    <row r="26" spans="1:11" s="10" customFormat="1" ht="21.95" customHeight="1" x14ac:dyDescent="0.25">
      <c r="A26" s="58">
        <v>3</v>
      </c>
      <c r="B26" s="27" t="s">
        <v>732</v>
      </c>
      <c r="C26" s="27">
        <v>2531</v>
      </c>
      <c r="D26" s="27">
        <v>1197</v>
      </c>
      <c r="E26" s="27">
        <v>1334</v>
      </c>
      <c r="I26"/>
      <c r="J26"/>
      <c r="K26"/>
    </row>
    <row r="27" spans="1:11" s="10" customFormat="1" ht="21.95" customHeight="1" x14ac:dyDescent="0.25">
      <c r="A27" s="58">
        <v>4</v>
      </c>
      <c r="B27" s="27" t="s">
        <v>733</v>
      </c>
      <c r="C27" s="27">
        <v>1356</v>
      </c>
      <c r="D27" s="27">
        <v>634</v>
      </c>
      <c r="E27" s="27">
        <v>722</v>
      </c>
      <c r="I27"/>
      <c r="J27"/>
      <c r="K27"/>
    </row>
    <row r="28" spans="1:11" s="10" customFormat="1" ht="21.95" customHeight="1" x14ac:dyDescent="0.25">
      <c r="A28" s="58">
        <v>5</v>
      </c>
      <c r="B28" s="27" t="s">
        <v>734</v>
      </c>
      <c r="C28" s="27">
        <v>1670</v>
      </c>
      <c r="D28" s="27">
        <v>792</v>
      </c>
      <c r="E28" s="27">
        <v>878</v>
      </c>
      <c r="I28"/>
      <c r="J28"/>
      <c r="K28"/>
    </row>
    <row r="29" spans="1:11" s="10" customFormat="1" ht="21.95" customHeight="1" x14ac:dyDescent="0.25">
      <c r="A29" s="58">
        <v>6</v>
      </c>
      <c r="B29" s="27" t="s">
        <v>735</v>
      </c>
      <c r="C29" s="27">
        <v>1301</v>
      </c>
      <c r="D29" s="27">
        <v>622</v>
      </c>
      <c r="E29" s="27">
        <v>679</v>
      </c>
      <c r="I29"/>
      <c r="J29"/>
      <c r="K29"/>
    </row>
    <row r="30" spans="1:11" s="10" customFormat="1" ht="21.95" customHeight="1" x14ac:dyDescent="0.25">
      <c r="A30" s="58">
        <v>7</v>
      </c>
      <c r="B30" s="27" t="s">
        <v>681</v>
      </c>
      <c r="C30" s="27">
        <v>1682</v>
      </c>
      <c r="D30" s="27">
        <v>791</v>
      </c>
      <c r="E30" s="27">
        <v>891</v>
      </c>
      <c r="I30"/>
      <c r="J30"/>
      <c r="K30"/>
    </row>
    <row r="31" spans="1:11" s="10" customFormat="1" ht="21.95" customHeight="1" x14ac:dyDescent="0.25">
      <c r="A31" s="58">
        <v>8</v>
      </c>
      <c r="B31" s="27" t="s">
        <v>736</v>
      </c>
      <c r="C31" s="27">
        <v>1979</v>
      </c>
      <c r="D31" s="27">
        <v>937</v>
      </c>
      <c r="E31" s="27">
        <v>1042</v>
      </c>
      <c r="I31"/>
      <c r="J31"/>
      <c r="K31"/>
    </row>
    <row r="32" spans="1:11" s="10" customFormat="1" ht="21.95" customHeight="1" x14ac:dyDescent="0.25">
      <c r="A32" s="58">
        <v>9</v>
      </c>
      <c r="B32" s="27" t="s">
        <v>737</v>
      </c>
      <c r="C32" s="27">
        <v>2705</v>
      </c>
      <c r="D32" s="27">
        <v>1302</v>
      </c>
      <c r="E32" s="27">
        <v>1403</v>
      </c>
      <c r="I32"/>
      <c r="J32"/>
      <c r="K32"/>
    </row>
    <row r="33" spans="1:11" s="10" customFormat="1" ht="21.95" customHeight="1" x14ac:dyDescent="0.25">
      <c r="A33" s="58">
        <v>10</v>
      </c>
      <c r="B33" s="27" t="s">
        <v>63</v>
      </c>
      <c r="C33" s="27">
        <v>2474</v>
      </c>
      <c r="D33" s="27">
        <v>1170</v>
      </c>
      <c r="E33" s="27">
        <v>1304</v>
      </c>
      <c r="I33"/>
      <c r="J33"/>
      <c r="K33"/>
    </row>
    <row r="34" spans="1:11" s="10" customFormat="1" ht="21.95" customHeight="1" x14ac:dyDescent="0.25">
      <c r="A34" s="58">
        <v>11</v>
      </c>
      <c r="B34" s="27" t="s">
        <v>738</v>
      </c>
      <c r="C34" s="27">
        <v>1977</v>
      </c>
      <c r="D34" s="27">
        <v>952</v>
      </c>
      <c r="E34" s="27">
        <v>1025</v>
      </c>
      <c r="I34"/>
      <c r="J34"/>
      <c r="K34"/>
    </row>
    <row r="35" spans="1:11" s="10" customFormat="1" ht="21.95" customHeight="1" x14ac:dyDescent="0.25">
      <c r="A35" s="58">
        <v>12</v>
      </c>
      <c r="B35" s="27" t="s">
        <v>464</v>
      </c>
      <c r="C35" s="27">
        <v>2302</v>
      </c>
      <c r="D35" s="27">
        <v>1113</v>
      </c>
      <c r="E35" s="27">
        <v>1189</v>
      </c>
      <c r="I35"/>
      <c r="J35"/>
      <c r="K35"/>
    </row>
    <row r="36" spans="1:11" s="10" customFormat="1" ht="21.95" customHeight="1" x14ac:dyDescent="0.25">
      <c r="A36" s="58">
        <v>13</v>
      </c>
      <c r="B36" s="27" t="s">
        <v>739</v>
      </c>
      <c r="C36" s="27">
        <v>2072</v>
      </c>
      <c r="D36" s="27">
        <v>1003</v>
      </c>
      <c r="E36" s="27">
        <v>1069</v>
      </c>
      <c r="I36"/>
      <c r="J36"/>
      <c r="K36"/>
    </row>
    <row r="37" spans="1:11" s="10" customFormat="1" ht="21.95" customHeight="1" x14ac:dyDescent="0.25">
      <c r="A37" s="58">
        <v>14</v>
      </c>
      <c r="B37" s="27" t="s">
        <v>740</v>
      </c>
      <c r="C37" s="27">
        <v>1214</v>
      </c>
      <c r="D37" s="27">
        <v>571</v>
      </c>
      <c r="E37" s="27">
        <v>643</v>
      </c>
      <c r="I37"/>
      <c r="J37"/>
      <c r="K37"/>
    </row>
    <row r="38" spans="1:11" s="10" customFormat="1" ht="21.95" customHeight="1" x14ac:dyDescent="0.25">
      <c r="A38" s="58">
        <v>15</v>
      </c>
      <c r="B38" s="27" t="s">
        <v>741</v>
      </c>
      <c r="C38" s="27">
        <v>1057</v>
      </c>
      <c r="D38" s="27">
        <v>530</v>
      </c>
      <c r="E38" s="27">
        <v>527</v>
      </c>
      <c r="I38"/>
      <c r="J38"/>
      <c r="K38"/>
    </row>
    <row r="39" spans="1:11" s="10" customFormat="1" ht="21.95" customHeight="1" x14ac:dyDescent="0.25">
      <c r="A39" s="58">
        <v>16</v>
      </c>
      <c r="B39" s="27" t="s">
        <v>742</v>
      </c>
      <c r="C39" s="27">
        <v>1881</v>
      </c>
      <c r="D39" s="27">
        <v>891</v>
      </c>
      <c r="E39" s="27">
        <v>990</v>
      </c>
      <c r="I39"/>
      <c r="J39"/>
      <c r="K39"/>
    </row>
    <row r="40" spans="1:11" s="10" customFormat="1" ht="21.95" customHeight="1" x14ac:dyDescent="0.25">
      <c r="A40" s="58">
        <v>17</v>
      </c>
      <c r="B40" s="27" t="s">
        <v>743</v>
      </c>
      <c r="C40" s="27">
        <v>1804</v>
      </c>
      <c r="D40" s="27">
        <v>817</v>
      </c>
      <c r="E40" s="27">
        <v>987</v>
      </c>
      <c r="I40"/>
      <c r="J40"/>
      <c r="K40"/>
    </row>
    <row r="41" spans="1:11" s="10" customFormat="1" ht="21.95" customHeight="1" x14ac:dyDescent="0.25">
      <c r="A41" s="58">
        <v>18</v>
      </c>
      <c r="B41" s="27" t="s">
        <v>744</v>
      </c>
      <c r="C41" s="27">
        <v>2648</v>
      </c>
      <c r="D41" s="27">
        <v>1226</v>
      </c>
      <c r="E41" s="27">
        <v>1422</v>
      </c>
      <c r="I41"/>
      <c r="J41"/>
      <c r="K41"/>
    </row>
    <row r="42" spans="1:11" s="10" customFormat="1" ht="21.95" customHeight="1" x14ac:dyDescent="0.25">
      <c r="A42" s="58">
        <v>19</v>
      </c>
      <c r="B42" s="27" t="s">
        <v>597</v>
      </c>
      <c r="C42" s="27">
        <v>1926</v>
      </c>
      <c r="D42" s="27">
        <v>931</v>
      </c>
      <c r="E42" s="27">
        <v>995</v>
      </c>
      <c r="I42"/>
      <c r="J42"/>
      <c r="K42"/>
    </row>
    <row r="43" spans="1:11" s="10" customFormat="1" ht="21.95" customHeight="1" x14ac:dyDescent="0.25">
      <c r="A43" s="58">
        <v>20</v>
      </c>
      <c r="B43" s="27" t="s">
        <v>745</v>
      </c>
      <c r="C43" s="27">
        <v>1592</v>
      </c>
      <c r="D43" s="27">
        <v>744</v>
      </c>
      <c r="E43" s="27">
        <v>848</v>
      </c>
      <c r="I43"/>
      <c r="J43"/>
      <c r="K43"/>
    </row>
    <row r="44" spans="1:11" s="10" customFormat="1" ht="21.95" customHeight="1" x14ac:dyDescent="0.25">
      <c r="A44" s="58">
        <v>21</v>
      </c>
      <c r="B44" s="27" t="s">
        <v>746</v>
      </c>
      <c r="C44" s="27">
        <v>2082</v>
      </c>
      <c r="D44" s="27">
        <v>1043</v>
      </c>
      <c r="E44" s="27">
        <v>1039</v>
      </c>
      <c r="I44"/>
      <c r="J44"/>
      <c r="K44"/>
    </row>
    <row r="45" spans="1:11" s="10" customFormat="1" ht="21.95" customHeight="1" x14ac:dyDescent="0.25">
      <c r="A45" s="58">
        <v>22</v>
      </c>
      <c r="B45" s="27" t="s">
        <v>726</v>
      </c>
      <c r="C45" s="27">
        <v>1297</v>
      </c>
      <c r="D45" s="27">
        <v>664</v>
      </c>
      <c r="E45" s="27">
        <v>633</v>
      </c>
      <c r="I45"/>
      <c r="J45"/>
      <c r="K45"/>
    </row>
    <row r="46" spans="1:11" s="10" customFormat="1" ht="21.95" customHeight="1" x14ac:dyDescent="0.25">
      <c r="A46" s="58">
        <v>23</v>
      </c>
      <c r="B46" s="27" t="s">
        <v>747</v>
      </c>
      <c r="C46" s="27">
        <v>1321</v>
      </c>
      <c r="D46" s="27">
        <v>631</v>
      </c>
      <c r="E46" s="27">
        <v>690</v>
      </c>
      <c r="I46"/>
      <c r="J46"/>
      <c r="K46"/>
    </row>
    <row r="47" spans="1:11" s="10" customFormat="1" ht="21.95" customHeight="1" x14ac:dyDescent="0.25">
      <c r="A47" s="58">
        <v>24</v>
      </c>
      <c r="B47" s="27" t="s">
        <v>748</v>
      </c>
      <c r="C47" s="27">
        <v>650</v>
      </c>
      <c r="D47" s="27">
        <v>355</v>
      </c>
      <c r="E47" s="27">
        <v>295</v>
      </c>
      <c r="I47"/>
      <c r="J47"/>
      <c r="K47"/>
    </row>
    <row r="48" spans="1:11" s="10" customFormat="1" ht="21.95" customHeight="1" x14ac:dyDescent="0.25">
      <c r="A48" s="58">
        <v>25</v>
      </c>
      <c r="B48" s="27" t="s">
        <v>749</v>
      </c>
      <c r="C48" s="27">
        <v>2275</v>
      </c>
      <c r="D48" s="27">
        <v>1193</v>
      </c>
      <c r="E48" s="27">
        <v>1082</v>
      </c>
      <c r="I48"/>
      <c r="J48"/>
      <c r="K48"/>
    </row>
    <row r="49" spans="1:11" s="10" customFormat="1" ht="21.95" customHeight="1" x14ac:dyDescent="0.25">
      <c r="A49" s="58">
        <v>26</v>
      </c>
      <c r="B49" s="27" t="s">
        <v>750</v>
      </c>
      <c r="C49" s="27">
        <v>3910</v>
      </c>
      <c r="D49" s="27">
        <v>1796</v>
      </c>
      <c r="E49" s="27">
        <v>2114</v>
      </c>
      <c r="I49"/>
      <c r="J49"/>
      <c r="K49"/>
    </row>
    <row r="50" spans="1:11" s="10" customFormat="1" ht="21.95" customHeight="1" x14ac:dyDescent="0.25">
      <c r="A50" s="58">
        <v>27</v>
      </c>
      <c r="B50" s="27" t="s">
        <v>751</v>
      </c>
      <c r="C50" s="27">
        <v>2515</v>
      </c>
      <c r="D50" s="27">
        <v>1325</v>
      </c>
      <c r="E50" s="27">
        <v>1190</v>
      </c>
      <c r="I50"/>
      <c r="J50"/>
      <c r="K50"/>
    </row>
    <row r="51" spans="1:11" s="10" customFormat="1" ht="21.95" customHeight="1" x14ac:dyDescent="0.25">
      <c r="A51" s="58">
        <v>28</v>
      </c>
      <c r="B51" s="27" t="s">
        <v>752</v>
      </c>
      <c r="C51" s="27">
        <v>2547</v>
      </c>
      <c r="D51" s="27">
        <v>1260</v>
      </c>
      <c r="E51" s="27">
        <v>1287</v>
      </c>
      <c r="I51"/>
      <c r="J51"/>
      <c r="K51"/>
    </row>
    <row r="52" spans="1:11" s="10" customFormat="1" ht="21.95" customHeight="1" x14ac:dyDescent="0.25">
      <c r="A52" s="58">
        <v>29</v>
      </c>
      <c r="B52" s="27" t="s">
        <v>753</v>
      </c>
      <c r="C52" s="27">
        <v>1969</v>
      </c>
      <c r="D52" s="27">
        <v>936</v>
      </c>
      <c r="E52" s="27">
        <v>1033</v>
      </c>
      <c r="I52"/>
      <c r="J52"/>
      <c r="K52"/>
    </row>
    <row r="53" spans="1:11" s="10" customFormat="1" ht="21.95" customHeight="1" x14ac:dyDescent="0.25">
      <c r="A53" s="58">
        <v>30</v>
      </c>
      <c r="B53" s="27" t="s">
        <v>754</v>
      </c>
      <c r="C53" s="27">
        <v>512</v>
      </c>
      <c r="D53" s="27">
        <v>249</v>
      </c>
      <c r="E53" s="27">
        <v>263</v>
      </c>
      <c r="I53"/>
      <c r="J53"/>
      <c r="K53"/>
    </row>
    <row r="54" spans="1:11" s="10" customFormat="1" ht="21.95" customHeight="1" x14ac:dyDescent="0.25">
      <c r="A54" s="58">
        <v>31</v>
      </c>
      <c r="B54" s="27" t="s">
        <v>755</v>
      </c>
      <c r="C54" s="27">
        <v>629</v>
      </c>
      <c r="D54" s="27">
        <v>290</v>
      </c>
      <c r="E54" s="27">
        <v>339</v>
      </c>
      <c r="I54"/>
      <c r="J54"/>
      <c r="K54"/>
    </row>
    <row r="55" spans="1:11" s="10" customFormat="1" ht="21.95" customHeight="1" x14ac:dyDescent="0.25">
      <c r="A55" s="58">
        <v>32</v>
      </c>
      <c r="B55" s="27" t="s">
        <v>756</v>
      </c>
      <c r="C55" s="27">
        <v>368</v>
      </c>
      <c r="D55" s="27">
        <v>178</v>
      </c>
      <c r="E55" s="27">
        <v>190</v>
      </c>
      <c r="I55"/>
      <c r="J55"/>
      <c r="K55"/>
    </row>
    <row r="56" spans="1:11" s="10" customFormat="1" ht="21.95" customHeight="1" x14ac:dyDescent="0.25">
      <c r="A56" s="58">
        <v>33</v>
      </c>
      <c r="B56" s="27" t="s">
        <v>757</v>
      </c>
      <c r="C56" s="27">
        <v>1406</v>
      </c>
      <c r="D56" s="27">
        <v>665</v>
      </c>
      <c r="E56" s="27">
        <v>741</v>
      </c>
      <c r="I56"/>
      <c r="J56"/>
      <c r="K56"/>
    </row>
    <row r="57" spans="1:11" s="10" customFormat="1" ht="21.95" customHeight="1" x14ac:dyDescent="0.25">
      <c r="A57" s="58">
        <v>34</v>
      </c>
      <c r="B57" s="27" t="s">
        <v>758</v>
      </c>
      <c r="C57" s="27">
        <v>2435</v>
      </c>
      <c r="D57" s="27">
        <v>1252</v>
      </c>
      <c r="E57" s="27">
        <v>1183</v>
      </c>
      <c r="I57"/>
      <c r="J57"/>
      <c r="K57"/>
    </row>
    <row r="58" spans="1:11" s="10" customFormat="1" ht="21.95" customHeight="1" x14ac:dyDescent="0.25">
      <c r="A58" s="58">
        <v>35</v>
      </c>
      <c r="B58" s="27" t="s">
        <v>759</v>
      </c>
      <c r="C58" s="27">
        <v>3372</v>
      </c>
      <c r="D58" s="27">
        <v>1680</v>
      </c>
      <c r="E58" s="27">
        <v>1692</v>
      </c>
      <c r="I58"/>
      <c r="J58"/>
      <c r="K58"/>
    </row>
    <row r="59" spans="1:11" s="10" customFormat="1" ht="21.95" customHeight="1" x14ac:dyDescent="0.25">
      <c r="A59" s="58">
        <v>36</v>
      </c>
      <c r="B59" s="27" t="s">
        <v>760</v>
      </c>
      <c r="C59" s="27">
        <v>1664</v>
      </c>
      <c r="D59" s="27">
        <v>781</v>
      </c>
      <c r="E59" s="27">
        <v>883</v>
      </c>
      <c r="I59"/>
      <c r="J59"/>
      <c r="K59"/>
    </row>
    <row r="60" spans="1:11" s="10" customFormat="1" ht="21.95" customHeight="1" x14ac:dyDescent="0.25">
      <c r="A60" s="58">
        <v>37</v>
      </c>
      <c r="B60" s="27" t="s">
        <v>761</v>
      </c>
      <c r="C60" s="27">
        <v>1361</v>
      </c>
      <c r="D60" s="27">
        <v>624</v>
      </c>
      <c r="E60" s="27">
        <v>737</v>
      </c>
      <c r="I60"/>
      <c r="J60"/>
      <c r="K60"/>
    </row>
    <row r="61" spans="1:11" s="10" customFormat="1" ht="21.95" customHeight="1" x14ac:dyDescent="0.25">
      <c r="A61" s="58">
        <v>38</v>
      </c>
      <c r="B61" s="27" t="s">
        <v>762</v>
      </c>
      <c r="C61" s="27">
        <v>797</v>
      </c>
      <c r="D61" s="27">
        <v>394</v>
      </c>
      <c r="E61" s="27">
        <v>403</v>
      </c>
      <c r="I61"/>
      <c r="J61"/>
      <c r="K61"/>
    </row>
    <row r="62" spans="1:11" s="10" customFormat="1" ht="21.95" customHeight="1" x14ac:dyDescent="0.25">
      <c r="A62" s="58">
        <v>39</v>
      </c>
      <c r="B62" s="27" t="s">
        <v>763</v>
      </c>
      <c r="C62" s="27">
        <v>1958</v>
      </c>
      <c r="D62" s="27">
        <v>944</v>
      </c>
      <c r="E62" s="27">
        <v>1014</v>
      </c>
      <c r="I62"/>
      <c r="J62"/>
      <c r="K62"/>
    </row>
    <row r="63" spans="1:11" s="10" customFormat="1" ht="21.95" customHeight="1" x14ac:dyDescent="0.25">
      <c r="A63" s="58">
        <v>40</v>
      </c>
      <c r="B63" s="27" t="s">
        <v>764</v>
      </c>
      <c r="C63" s="27">
        <v>2732</v>
      </c>
      <c r="D63" s="27">
        <v>1385</v>
      </c>
      <c r="E63" s="27">
        <v>1347</v>
      </c>
      <c r="I63"/>
      <c r="J63"/>
      <c r="K63"/>
    </row>
    <row r="64" spans="1:11" s="10" customFormat="1" ht="21.95" customHeight="1" x14ac:dyDescent="0.25">
      <c r="A64" s="58">
        <v>41</v>
      </c>
      <c r="B64" s="27" t="s">
        <v>765</v>
      </c>
      <c r="C64" s="27">
        <v>1927</v>
      </c>
      <c r="D64" s="27">
        <v>888</v>
      </c>
      <c r="E64" s="27">
        <v>1039</v>
      </c>
      <c r="I64"/>
      <c r="J64"/>
      <c r="K64"/>
    </row>
    <row r="65" spans="1:11" s="10" customFormat="1" ht="21.95" customHeight="1" x14ac:dyDescent="0.25">
      <c r="A65" s="58">
        <v>42</v>
      </c>
      <c r="B65" s="27" t="s">
        <v>766</v>
      </c>
      <c r="C65" s="27">
        <v>2669</v>
      </c>
      <c r="D65" s="27">
        <v>1330</v>
      </c>
      <c r="E65" s="27">
        <v>1339</v>
      </c>
      <c r="I65"/>
      <c r="J65"/>
      <c r="K65"/>
    </row>
    <row r="66" spans="1:11" s="10" customFormat="1" ht="21.95" customHeight="1" x14ac:dyDescent="0.25">
      <c r="A66" s="59">
        <v>43</v>
      </c>
      <c r="B66" s="29" t="s">
        <v>455</v>
      </c>
      <c r="C66" s="29">
        <v>271</v>
      </c>
      <c r="D66" s="29">
        <v>141</v>
      </c>
      <c r="E66" s="29">
        <v>130</v>
      </c>
      <c r="I66"/>
      <c r="J66"/>
      <c r="K66"/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MuSe District, Namkham Township"/>
  </hyperlinks>
  <pageMargins left="0.75" right="0.5" top="0.5" bottom="0.2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workbookViewId="0">
      <selection sqref="A1:XFD1"/>
    </sheetView>
  </sheetViews>
  <sheetFormatPr defaultRowHeight="15" x14ac:dyDescent="0.25"/>
  <cols>
    <col min="2" max="2" width="41.140625" customWidth="1"/>
    <col min="3" max="4" width="13.7109375" customWidth="1"/>
    <col min="5" max="5" width="14.140625" customWidth="1"/>
  </cols>
  <sheetData>
    <row r="1" spans="1:5" ht="18.75" x14ac:dyDescent="0.3">
      <c r="A1" s="180" t="s">
        <v>1375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10.5" customHeight="1" x14ac:dyDescent="0.25">
      <c r="A3" s="20"/>
      <c r="B3" s="20"/>
      <c r="C3" s="20"/>
      <c r="D3" s="20"/>
      <c r="E3" s="20"/>
    </row>
    <row r="4" spans="1:5" ht="15.75" x14ac:dyDescent="0.25">
      <c r="A4" s="173" t="s">
        <v>1339</v>
      </c>
      <c r="B4" s="173" t="s">
        <v>1422</v>
      </c>
      <c r="C4" s="174" t="s">
        <v>1340</v>
      </c>
      <c r="D4" s="175"/>
      <c r="E4" s="176"/>
    </row>
    <row r="5" spans="1:5" ht="15.75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5" ht="23.25" customHeight="1" x14ac:dyDescent="0.25">
      <c r="A6" s="48"/>
      <c r="B6" s="26" t="s">
        <v>0</v>
      </c>
      <c r="C6" s="26">
        <v>101334</v>
      </c>
      <c r="D6" s="26">
        <v>50247</v>
      </c>
      <c r="E6" s="26">
        <v>51087</v>
      </c>
    </row>
    <row r="7" spans="1:5" ht="9.75" customHeight="1" x14ac:dyDescent="0.25">
      <c r="A7" s="23"/>
      <c r="B7" s="24"/>
      <c r="C7" s="24"/>
      <c r="D7" s="24"/>
      <c r="E7" s="24"/>
    </row>
    <row r="8" spans="1:5" ht="24.95" customHeight="1" x14ac:dyDescent="0.25">
      <c r="A8" s="23"/>
      <c r="B8" s="24" t="s">
        <v>1338</v>
      </c>
      <c r="C8" s="24">
        <f>SUM(C9:C16)</f>
        <v>24963</v>
      </c>
      <c r="D8" s="24">
        <f t="shared" ref="D8:E8" si="0">SUM(D9:D16)</f>
        <v>12226</v>
      </c>
      <c r="E8" s="24">
        <f t="shared" si="0"/>
        <v>12737</v>
      </c>
    </row>
    <row r="9" spans="1:5" ht="24.95" customHeight="1" x14ac:dyDescent="0.25">
      <c r="A9" s="23">
        <v>1</v>
      </c>
      <c r="B9" s="27" t="s">
        <v>25</v>
      </c>
      <c r="C9" s="27">
        <v>4676</v>
      </c>
      <c r="D9" s="27">
        <v>2386</v>
      </c>
      <c r="E9" s="27">
        <v>2290</v>
      </c>
    </row>
    <row r="10" spans="1:5" ht="24.95" customHeight="1" x14ac:dyDescent="0.25">
      <c r="A10" s="23">
        <v>2</v>
      </c>
      <c r="B10" s="27" t="s">
        <v>26</v>
      </c>
      <c r="C10" s="27">
        <v>3521</v>
      </c>
      <c r="D10" s="27">
        <v>1748</v>
      </c>
      <c r="E10" s="27">
        <v>1773</v>
      </c>
    </row>
    <row r="11" spans="1:5" ht="24.95" customHeight="1" x14ac:dyDescent="0.25">
      <c r="A11" s="23">
        <v>3</v>
      </c>
      <c r="B11" s="27" t="s">
        <v>27</v>
      </c>
      <c r="C11" s="27">
        <v>4348</v>
      </c>
      <c r="D11" s="27">
        <v>2069</v>
      </c>
      <c r="E11" s="27">
        <v>2279</v>
      </c>
    </row>
    <row r="12" spans="1:5" ht="24.95" customHeight="1" x14ac:dyDescent="0.25">
      <c r="A12" s="23">
        <v>4</v>
      </c>
      <c r="B12" s="27" t="s">
        <v>28</v>
      </c>
      <c r="C12" s="27">
        <v>3595</v>
      </c>
      <c r="D12" s="27">
        <v>1735</v>
      </c>
      <c r="E12" s="27">
        <v>1860</v>
      </c>
    </row>
    <row r="13" spans="1:5" ht="24.95" customHeight="1" x14ac:dyDescent="0.25">
      <c r="A13" s="23">
        <v>5</v>
      </c>
      <c r="B13" s="27" t="s">
        <v>29</v>
      </c>
      <c r="C13" s="27">
        <v>3023</v>
      </c>
      <c r="D13" s="27">
        <v>1449</v>
      </c>
      <c r="E13" s="27">
        <v>1574</v>
      </c>
    </row>
    <row r="14" spans="1:5" ht="24.95" customHeight="1" x14ac:dyDescent="0.25">
      <c r="A14" s="23">
        <v>6</v>
      </c>
      <c r="B14" s="27" t="s">
        <v>30</v>
      </c>
      <c r="C14" s="27">
        <v>1945</v>
      </c>
      <c r="D14" s="27">
        <v>955</v>
      </c>
      <c r="E14" s="27">
        <v>990</v>
      </c>
    </row>
    <row r="15" spans="1:5" ht="24.95" customHeight="1" x14ac:dyDescent="0.25">
      <c r="A15" s="23">
        <v>7</v>
      </c>
      <c r="B15" s="27" t="s">
        <v>31</v>
      </c>
      <c r="C15" s="27">
        <v>1413</v>
      </c>
      <c r="D15" s="27">
        <v>701</v>
      </c>
      <c r="E15" s="27">
        <v>712</v>
      </c>
    </row>
    <row r="16" spans="1:5" ht="24.95" customHeight="1" x14ac:dyDescent="0.25">
      <c r="A16" s="23">
        <v>8</v>
      </c>
      <c r="B16" s="27" t="s">
        <v>32</v>
      </c>
      <c r="C16" s="27">
        <v>2442</v>
      </c>
      <c r="D16" s="27">
        <v>1183</v>
      </c>
      <c r="E16" s="27">
        <v>1259</v>
      </c>
    </row>
    <row r="17" spans="1:5" ht="24.95" customHeight="1" x14ac:dyDescent="0.25">
      <c r="A17" s="23"/>
      <c r="B17" s="49" t="s">
        <v>1410</v>
      </c>
      <c r="C17" s="24">
        <f>SUM(C18:C56)</f>
        <v>76371</v>
      </c>
      <c r="D17" s="24">
        <f t="shared" ref="D17:E17" si="1">SUM(D18:D56)</f>
        <v>38021</v>
      </c>
      <c r="E17" s="24">
        <f t="shared" si="1"/>
        <v>38350</v>
      </c>
    </row>
    <row r="18" spans="1:5" ht="24.95" customHeight="1" x14ac:dyDescent="0.25">
      <c r="A18" s="23">
        <v>1</v>
      </c>
      <c r="B18" s="27" t="s">
        <v>767</v>
      </c>
      <c r="C18" s="27">
        <v>1969</v>
      </c>
      <c r="D18" s="27">
        <v>973</v>
      </c>
      <c r="E18" s="27">
        <v>996</v>
      </c>
    </row>
    <row r="19" spans="1:5" ht="24.95" customHeight="1" x14ac:dyDescent="0.25">
      <c r="A19" s="23">
        <v>2</v>
      </c>
      <c r="B19" s="27" t="s">
        <v>768</v>
      </c>
      <c r="C19" s="27">
        <v>1435</v>
      </c>
      <c r="D19" s="27">
        <v>693</v>
      </c>
      <c r="E19" s="27">
        <v>742</v>
      </c>
    </row>
    <row r="20" spans="1:5" ht="24.95" customHeight="1" x14ac:dyDescent="0.25">
      <c r="A20" s="23">
        <v>3</v>
      </c>
      <c r="B20" s="27" t="s">
        <v>769</v>
      </c>
      <c r="C20" s="27">
        <v>3445</v>
      </c>
      <c r="D20" s="27">
        <v>1675</v>
      </c>
      <c r="E20" s="27">
        <v>1770</v>
      </c>
    </row>
    <row r="21" spans="1:5" ht="24.95" customHeight="1" x14ac:dyDescent="0.25">
      <c r="A21" s="23">
        <v>4</v>
      </c>
      <c r="B21" s="27" t="s">
        <v>770</v>
      </c>
      <c r="C21" s="27">
        <v>1617</v>
      </c>
      <c r="D21" s="27">
        <v>757</v>
      </c>
      <c r="E21" s="27">
        <v>860</v>
      </c>
    </row>
    <row r="22" spans="1:5" ht="24.95" customHeight="1" x14ac:dyDescent="0.25">
      <c r="A22" s="23">
        <v>5</v>
      </c>
      <c r="B22" s="27" t="s">
        <v>771</v>
      </c>
      <c r="C22" s="27">
        <v>3046</v>
      </c>
      <c r="D22" s="27">
        <v>1468</v>
      </c>
      <c r="E22" s="27">
        <v>1578</v>
      </c>
    </row>
    <row r="23" spans="1:5" ht="24.95" customHeight="1" x14ac:dyDescent="0.25">
      <c r="A23" s="23">
        <v>6</v>
      </c>
      <c r="B23" s="27" t="s">
        <v>573</v>
      </c>
      <c r="C23" s="27">
        <v>330</v>
      </c>
      <c r="D23" s="27">
        <v>160</v>
      </c>
      <c r="E23" s="27">
        <v>170</v>
      </c>
    </row>
    <row r="24" spans="1:5" ht="24.95" customHeight="1" x14ac:dyDescent="0.25">
      <c r="A24" s="23">
        <v>7</v>
      </c>
      <c r="B24" s="27" t="s">
        <v>772</v>
      </c>
      <c r="C24" s="27">
        <v>759</v>
      </c>
      <c r="D24" s="27">
        <v>371</v>
      </c>
      <c r="E24" s="27">
        <v>388</v>
      </c>
    </row>
    <row r="25" spans="1:5" ht="24.95" customHeight="1" x14ac:dyDescent="0.25">
      <c r="A25" s="23">
        <v>8</v>
      </c>
      <c r="B25" s="27" t="s">
        <v>440</v>
      </c>
      <c r="C25" s="27">
        <v>501</v>
      </c>
      <c r="D25" s="27">
        <v>220</v>
      </c>
      <c r="E25" s="27">
        <v>281</v>
      </c>
    </row>
    <row r="26" spans="1:5" ht="24.95" customHeight="1" x14ac:dyDescent="0.25">
      <c r="A26" s="23">
        <v>9</v>
      </c>
      <c r="B26" s="27" t="s">
        <v>773</v>
      </c>
      <c r="C26" s="27">
        <v>899</v>
      </c>
      <c r="D26" s="27">
        <v>477</v>
      </c>
      <c r="E26" s="27">
        <v>422</v>
      </c>
    </row>
    <row r="27" spans="1:5" ht="24.95" customHeight="1" x14ac:dyDescent="0.25">
      <c r="A27" s="23">
        <v>10</v>
      </c>
      <c r="B27" s="27" t="s">
        <v>774</v>
      </c>
      <c r="C27" s="27">
        <v>1114</v>
      </c>
      <c r="D27" s="27">
        <v>574</v>
      </c>
      <c r="E27" s="27">
        <v>540</v>
      </c>
    </row>
    <row r="28" spans="1:5" ht="24.95" customHeight="1" x14ac:dyDescent="0.25">
      <c r="A28" s="23">
        <v>11</v>
      </c>
      <c r="B28" s="27" t="s">
        <v>775</v>
      </c>
      <c r="C28" s="27">
        <v>3121</v>
      </c>
      <c r="D28" s="27">
        <v>1516</v>
      </c>
      <c r="E28" s="27">
        <v>1605</v>
      </c>
    </row>
    <row r="29" spans="1:5" ht="24.95" customHeight="1" x14ac:dyDescent="0.25">
      <c r="A29" s="23">
        <v>12</v>
      </c>
      <c r="B29" s="27" t="s">
        <v>776</v>
      </c>
      <c r="C29" s="27">
        <v>4241</v>
      </c>
      <c r="D29" s="27">
        <v>2140</v>
      </c>
      <c r="E29" s="27">
        <v>2101</v>
      </c>
    </row>
    <row r="30" spans="1:5" ht="24.95" customHeight="1" x14ac:dyDescent="0.25">
      <c r="A30" s="23">
        <v>13</v>
      </c>
      <c r="B30" s="27" t="s">
        <v>777</v>
      </c>
      <c r="C30" s="27">
        <v>3428</v>
      </c>
      <c r="D30" s="27">
        <v>1676</v>
      </c>
      <c r="E30" s="27">
        <v>1752</v>
      </c>
    </row>
    <row r="31" spans="1:5" ht="24.95" customHeight="1" x14ac:dyDescent="0.25">
      <c r="A31" s="23">
        <v>14</v>
      </c>
      <c r="B31" s="27" t="s">
        <v>778</v>
      </c>
      <c r="C31" s="27">
        <v>3062</v>
      </c>
      <c r="D31" s="27">
        <v>1539</v>
      </c>
      <c r="E31" s="27">
        <v>1523</v>
      </c>
    </row>
    <row r="32" spans="1:5" ht="24.95" customHeight="1" x14ac:dyDescent="0.25">
      <c r="A32" s="23">
        <v>15</v>
      </c>
      <c r="B32" s="27" t="s">
        <v>779</v>
      </c>
      <c r="C32" s="27">
        <v>2468</v>
      </c>
      <c r="D32" s="27">
        <v>1284</v>
      </c>
      <c r="E32" s="27">
        <v>1184</v>
      </c>
    </row>
    <row r="33" spans="1:5" ht="24.95" customHeight="1" x14ac:dyDescent="0.25">
      <c r="A33" s="23">
        <v>16</v>
      </c>
      <c r="B33" s="27" t="s">
        <v>780</v>
      </c>
      <c r="C33" s="27">
        <v>4313</v>
      </c>
      <c r="D33" s="27">
        <v>2016</v>
      </c>
      <c r="E33" s="27">
        <v>2297</v>
      </c>
    </row>
    <row r="34" spans="1:5" ht="24.95" customHeight="1" x14ac:dyDescent="0.25">
      <c r="A34" s="23">
        <v>17</v>
      </c>
      <c r="B34" s="27" t="s">
        <v>781</v>
      </c>
      <c r="C34" s="27">
        <v>1603</v>
      </c>
      <c r="D34" s="27">
        <v>789</v>
      </c>
      <c r="E34" s="27">
        <v>814</v>
      </c>
    </row>
    <row r="35" spans="1:5" ht="24.95" customHeight="1" x14ac:dyDescent="0.25">
      <c r="A35" s="23">
        <v>18</v>
      </c>
      <c r="B35" s="27" t="s">
        <v>51</v>
      </c>
      <c r="C35" s="27">
        <v>566</v>
      </c>
      <c r="D35" s="27">
        <v>290</v>
      </c>
      <c r="E35" s="27">
        <v>276</v>
      </c>
    </row>
    <row r="36" spans="1:5" ht="24.95" customHeight="1" x14ac:dyDescent="0.25">
      <c r="A36" s="23">
        <v>19</v>
      </c>
      <c r="B36" s="27" t="s">
        <v>782</v>
      </c>
      <c r="C36" s="27">
        <v>832</v>
      </c>
      <c r="D36" s="27">
        <v>438</v>
      </c>
      <c r="E36" s="27">
        <v>394</v>
      </c>
    </row>
    <row r="37" spans="1:5" ht="24.95" customHeight="1" x14ac:dyDescent="0.25">
      <c r="A37" s="23">
        <v>20</v>
      </c>
      <c r="B37" s="27" t="s">
        <v>783</v>
      </c>
      <c r="C37" s="27">
        <v>9137</v>
      </c>
      <c r="D37" s="27">
        <v>4561</v>
      </c>
      <c r="E37" s="27">
        <v>4576</v>
      </c>
    </row>
    <row r="38" spans="1:5" ht="24.95" customHeight="1" x14ac:dyDescent="0.25">
      <c r="A38" s="23">
        <v>21</v>
      </c>
      <c r="B38" s="27" t="s">
        <v>784</v>
      </c>
      <c r="C38" s="27">
        <v>1394</v>
      </c>
      <c r="D38" s="27">
        <v>677</v>
      </c>
      <c r="E38" s="27">
        <v>717</v>
      </c>
    </row>
    <row r="39" spans="1:5" ht="24.95" customHeight="1" x14ac:dyDescent="0.25">
      <c r="A39" s="23">
        <v>22</v>
      </c>
      <c r="B39" s="27" t="s">
        <v>573</v>
      </c>
      <c r="C39" s="27">
        <v>234</v>
      </c>
      <c r="D39" s="27">
        <v>115</v>
      </c>
      <c r="E39" s="27">
        <v>119</v>
      </c>
    </row>
    <row r="40" spans="1:5" ht="24.95" customHeight="1" x14ac:dyDescent="0.25">
      <c r="A40" s="23">
        <v>23</v>
      </c>
      <c r="B40" s="27" t="s">
        <v>785</v>
      </c>
      <c r="C40" s="27">
        <v>725</v>
      </c>
      <c r="D40" s="27">
        <v>345</v>
      </c>
      <c r="E40" s="27">
        <v>380</v>
      </c>
    </row>
    <row r="41" spans="1:5" ht="24.95" customHeight="1" x14ac:dyDescent="0.25">
      <c r="A41" s="23">
        <v>24</v>
      </c>
      <c r="B41" s="27" t="s">
        <v>786</v>
      </c>
      <c r="C41" s="27">
        <v>577</v>
      </c>
      <c r="D41" s="27">
        <v>287</v>
      </c>
      <c r="E41" s="27">
        <v>290</v>
      </c>
    </row>
    <row r="42" spans="1:5" ht="24.95" customHeight="1" x14ac:dyDescent="0.25">
      <c r="A42" s="23">
        <v>25</v>
      </c>
      <c r="B42" s="27" t="s">
        <v>787</v>
      </c>
      <c r="C42" s="27">
        <v>1822</v>
      </c>
      <c r="D42" s="27">
        <v>1004</v>
      </c>
      <c r="E42" s="27">
        <v>818</v>
      </c>
    </row>
    <row r="43" spans="1:5" ht="24.95" customHeight="1" x14ac:dyDescent="0.25">
      <c r="A43" s="23">
        <v>26</v>
      </c>
      <c r="B43" s="27" t="s">
        <v>788</v>
      </c>
      <c r="C43" s="27">
        <v>1699</v>
      </c>
      <c r="D43" s="27">
        <v>843</v>
      </c>
      <c r="E43" s="27">
        <v>856</v>
      </c>
    </row>
    <row r="44" spans="1:5" ht="24.95" customHeight="1" x14ac:dyDescent="0.25">
      <c r="A44" s="23">
        <v>27</v>
      </c>
      <c r="B44" s="27" t="s">
        <v>789</v>
      </c>
      <c r="C44" s="27">
        <v>3627</v>
      </c>
      <c r="D44" s="27">
        <v>1776</v>
      </c>
      <c r="E44" s="27">
        <v>1851</v>
      </c>
    </row>
    <row r="45" spans="1:5" ht="24.95" customHeight="1" x14ac:dyDescent="0.25">
      <c r="A45" s="23">
        <v>28</v>
      </c>
      <c r="B45" s="27" t="s">
        <v>790</v>
      </c>
      <c r="C45" s="27">
        <v>2786</v>
      </c>
      <c r="D45" s="27">
        <v>1383</v>
      </c>
      <c r="E45" s="27">
        <v>1403</v>
      </c>
    </row>
    <row r="46" spans="1:5" ht="24.95" customHeight="1" x14ac:dyDescent="0.25">
      <c r="A46" s="23">
        <v>29</v>
      </c>
      <c r="B46" s="27" t="s">
        <v>791</v>
      </c>
      <c r="C46" s="27">
        <v>1707</v>
      </c>
      <c r="D46" s="27">
        <v>886</v>
      </c>
      <c r="E46" s="27">
        <v>821</v>
      </c>
    </row>
    <row r="47" spans="1:5" ht="24.95" customHeight="1" x14ac:dyDescent="0.25">
      <c r="A47" s="23">
        <v>30</v>
      </c>
      <c r="B47" s="27" t="s">
        <v>792</v>
      </c>
      <c r="C47" s="27">
        <v>2834</v>
      </c>
      <c r="D47" s="27">
        <v>1449</v>
      </c>
      <c r="E47" s="27">
        <v>1385</v>
      </c>
    </row>
    <row r="48" spans="1:5" ht="24.95" customHeight="1" x14ac:dyDescent="0.25">
      <c r="A48" s="23">
        <v>31</v>
      </c>
      <c r="B48" s="27" t="s">
        <v>793</v>
      </c>
      <c r="C48" s="27">
        <v>1812</v>
      </c>
      <c r="D48" s="27">
        <v>917</v>
      </c>
      <c r="E48" s="27">
        <v>895</v>
      </c>
    </row>
    <row r="49" spans="1:5" ht="24.95" customHeight="1" x14ac:dyDescent="0.25">
      <c r="A49" s="23">
        <v>32</v>
      </c>
      <c r="B49" s="27" t="s">
        <v>794</v>
      </c>
      <c r="C49" s="27">
        <v>1127</v>
      </c>
      <c r="D49" s="27">
        <v>582</v>
      </c>
      <c r="E49" s="27">
        <v>545</v>
      </c>
    </row>
    <row r="50" spans="1:5" ht="24.95" customHeight="1" x14ac:dyDescent="0.25">
      <c r="A50" s="23">
        <v>33</v>
      </c>
      <c r="B50" s="27" t="s">
        <v>795</v>
      </c>
      <c r="C50" s="27">
        <v>2119</v>
      </c>
      <c r="D50" s="27">
        <v>1093</v>
      </c>
      <c r="E50" s="27">
        <v>1026</v>
      </c>
    </row>
    <row r="51" spans="1:5" ht="24.95" customHeight="1" x14ac:dyDescent="0.25">
      <c r="A51" s="23">
        <v>34</v>
      </c>
      <c r="B51" s="27" t="s">
        <v>752</v>
      </c>
      <c r="C51" s="27">
        <v>1205</v>
      </c>
      <c r="D51" s="27">
        <v>599</v>
      </c>
      <c r="E51" s="27">
        <v>606</v>
      </c>
    </row>
    <row r="52" spans="1:5" ht="24.95" customHeight="1" x14ac:dyDescent="0.25">
      <c r="A52" s="23">
        <v>35</v>
      </c>
      <c r="B52" s="27" t="s">
        <v>796</v>
      </c>
      <c r="C52" s="27">
        <v>159</v>
      </c>
      <c r="D52" s="27">
        <v>88</v>
      </c>
      <c r="E52" s="27">
        <v>71</v>
      </c>
    </row>
    <row r="53" spans="1:5" ht="24.95" customHeight="1" x14ac:dyDescent="0.25">
      <c r="A53" s="23">
        <v>36</v>
      </c>
      <c r="B53" s="27" t="s">
        <v>797</v>
      </c>
      <c r="C53" s="27">
        <v>268</v>
      </c>
      <c r="D53" s="27">
        <v>138</v>
      </c>
      <c r="E53" s="27">
        <v>130</v>
      </c>
    </row>
    <row r="54" spans="1:5" ht="24.95" customHeight="1" x14ac:dyDescent="0.25">
      <c r="A54" s="23">
        <v>37</v>
      </c>
      <c r="B54" s="27" t="s">
        <v>798</v>
      </c>
      <c r="C54" s="27">
        <v>398</v>
      </c>
      <c r="D54" s="27">
        <v>226</v>
      </c>
      <c r="E54" s="27">
        <v>172</v>
      </c>
    </row>
    <row r="55" spans="1:5" ht="24.95" customHeight="1" x14ac:dyDescent="0.25">
      <c r="A55" s="23">
        <v>38</v>
      </c>
      <c r="B55" s="27" t="s">
        <v>799</v>
      </c>
      <c r="C55" s="27">
        <v>3200</v>
      </c>
      <c r="D55" s="27">
        <v>1598</v>
      </c>
      <c r="E55" s="27">
        <v>1602</v>
      </c>
    </row>
    <row r="56" spans="1:5" ht="24.95" customHeight="1" x14ac:dyDescent="0.25">
      <c r="A56" s="28">
        <v>39</v>
      </c>
      <c r="B56" s="29" t="s">
        <v>800</v>
      </c>
      <c r="C56" s="29">
        <v>792</v>
      </c>
      <c r="D56" s="29">
        <v>398</v>
      </c>
      <c r="E56" s="29">
        <v>394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MuSe District,  Kukai Township"/>
  </hyperlinks>
  <pageMargins left="0.75" right="0.5" top="0.5" bottom="0.25" header="0.3" footer="0.3"/>
  <pageSetup paperSize="9" scale="95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workbookViewId="0">
      <selection sqref="A1:XFD1"/>
    </sheetView>
  </sheetViews>
  <sheetFormatPr defaultRowHeight="15" x14ac:dyDescent="0.25"/>
  <cols>
    <col min="1" max="1" width="7.7109375" customWidth="1"/>
    <col min="2" max="2" width="34.28515625" customWidth="1"/>
    <col min="3" max="5" width="15.7109375" customWidth="1"/>
  </cols>
  <sheetData>
    <row r="1" spans="1:11" ht="18.75" x14ac:dyDescent="0.3">
      <c r="A1" s="180" t="s">
        <v>1376</v>
      </c>
      <c r="B1" s="180"/>
      <c r="C1" s="180"/>
      <c r="D1" s="180"/>
      <c r="E1" s="180"/>
    </row>
    <row r="2" spans="1:11" ht="15.75" x14ac:dyDescent="0.25">
      <c r="A2" s="20"/>
      <c r="B2" s="20"/>
      <c r="C2" s="20"/>
      <c r="D2" s="20"/>
      <c r="E2" s="74" t="s">
        <v>1341</v>
      </c>
    </row>
    <row r="3" spans="1:11" ht="15.75" x14ac:dyDescent="0.25">
      <c r="A3" s="20"/>
      <c r="B3" s="20"/>
      <c r="C3" s="20"/>
      <c r="D3" s="20"/>
      <c r="E3" s="20"/>
    </row>
    <row r="4" spans="1:11" ht="15.75" x14ac:dyDescent="0.25">
      <c r="A4" s="173" t="s">
        <v>1339</v>
      </c>
      <c r="B4" s="173" t="s">
        <v>1422</v>
      </c>
      <c r="C4" s="174" t="s">
        <v>1340</v>
      </c>
      <c r="D4" s="175"/>
      <c r="E4" s="176"/>
    </row>
    <row r="5" spans="1:11" ht="15.75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11" ht="24" customHeight="1" x14ac:dyDescent="0.25">
      <c r="A6" s="48"/>
      <c r="B6" s="26" t="s">
        <v>0</v>
      </c>
      <c r="C6" s="26">
        <v>24565</v>
      </c>
      <c r="D6" s="26">
        <v>12745</v>
      </c>
      <c r="E6" s="26">
        <v>11820</v>
      </c>
    </row>
    <row r="7" spans="1:11" ht="8.25" customHeight="1" x14ac:dyDescent="0.25">
      <c r="A7" s="23"/>
      <c r="B7" s="24"/>
      <c r="C7" s="24"/>
      <c r="D7" s="24"/>
      <c r="E7" s="24"/>
    </row>
    <row r="8" spans="1:11" ht="24.95" customHeight="1" x14ac:dyDescent="0.25">
      <c r="A8" s="23"/>
      <c r="B8" s="24" t="s">
        <v>1338</v>
      </c>
      <c r="C8" s="24">
        <f>SUM(C9:C15)</f>
        <v>8847</v>
      </c>
      <c r="D8" s="24">
        <f t="shared" ref="D8:E8" si="0">SUM(D9:D15)</f>
        <v>4527</v>
      </c>
      <c r="E8" s="24">
        <f t="shared" si="0"/>
        <v>4320</v>
      </c>
    </row>
    <row r="9" spans="1:11" s="10" customFormat="1" ht="24.95" customHeight="1" x14ac:dyDescent="0.25">
      <c r="A9" s="58">
        <v>1</v>
      </c>
      <c r="B9" s="27" t="s">
        <v>25</v>
      </c>
      <c r="C9" s="27">
        <v>1355</v>
      </c>
      <c r="D9" s="27">
        <v>653</v>
      </c>
      <c r="E9" s="27">
        <v>702</v>
      </c>
      <c r="I9"/>
      <c r="J9"/>
      <c r="K9"/>
    </row>
    <row r="10" spans="1:11" s="10" customFormat="1" ht="24.95" customHeight="1" x14ac:dyDescent="0.25">
      <c r="A10" s="58">
        <v>2</v>
      </c>
      <c r="B10" s="27" t="s">
        <v>26</v>
      </c>
      <c r="C10" s="27">
        <v>2366</v>
      </c>
      <c r="D10" s="27">
        <v>1236</v>
      </c>
      <c r="E10" s="27">
        <v>1130</v>
      </c>
      <c r="I10"/>
      <c r="J10"/>
      <c r="K10"/>
    </row>
    <row r="11" spans="1:11" s="10" customFormat="1" ht="24.95" customHeight="1" x14ac:dyDescent="0.25">
      <c r="A11" s="58">
        <v>3</v>
      </c>
      <c r="B11" s="27" t="s">
        <v>27</v>
      </c>
      <c r="C11" s="27">
        <v>1136</v>
      </c>
      <c r="D11" s="27">
        <v>584</v>
      </c>
      <c r="E11" s="27">
        <v>552</v>
      </c>
      <c r="I11"/>
      <c r="J11"/>
      <c r="K11"/>
    </row>
    <row r="12" spans="1:11" s="10" customFormat="1" ht="24.95" customHeight="1" x14ac:dyDescent="0.25">
      <c r="A12" s="58">
        <v>4</v>
      </c>
      <c r="B12" s="27" t="s">
        <v>28</v>
      </c>
      <c r="C12" s="27">
        <v>850</v>
      </c>
      <c r="D12" s="27">
        <v>439</v>
      </c>
      <c r="E12" s="27">
        <v>411</v>
      </c>
      <c r="I12"/>
      <c r="J12"/>
      <c r="K12"/>
    </row>
    <row r="13" spans="1:11" s="10" customFormat="1" ht="24.95" customHeight="1" x14ac:dyDescent="0.25">
      <c r="A13" s="58">
        <v>5</v>
      </c>
      <c r="B13" s="27" t="s">
        <v>29</v>
      </c>
      <c r="C13" s="27">
        <v>797</v>
      </c>
      <c r="D13" s="27">
        <v>408</v>
      </c>
      <c r="E13" s="27">
        <v>389</v>
      </c>
      <c r="I13"/>
      <c r="J13"/>
      <c r="K13"/>
    </row>
    <row r="14" spans="1:11" s="10" customFormat="1" ht="24.95" customHeight="1" x14ac:dyDescent="0.25">
      <c r="A14" s="58">
        <v>6</v>
      </c>
      <c r="B14" s="27" t="s">
        <v>30</v>
      </c>
      <c r="C14" s="27">
        <v>1335</v>
      </c>
      <c r="D14" s="27">
        <v>687</v>
      </c>
      <c r="E14" s="27">
        <v>648</v>
      </c>
      <c r="I14"/>
      <c r="J14"/>
      <c r="K14"/>
    </row>
    <row r="15" spans="1:11" s="10" customFormat="1" ht="24.95" customHeight="1" x14ac:dyDescent="0.25">
      <c r="A15" s="58">
        <v>7</v>
      </c>
      <c r="B15" s="27" t="s">
        <v>31</v>
      </c>
      <c r="C15" s="27">
        <v>1008</v>
      </c>
      <c r="D15" s="27">
        <v>520</v>
      </c>
      <c r="E15" s="27">
        <v>488</v>
      </c>
      <c r="I15"/>
      <c r="J15"/>
      <c r="K15"/>
    </row>
    <row r="16" spans="1:11" s="10" customFormat="1" ht="24.95" customHeight="1" x14ac:dyDescent="0.25">
      <c r="A16" s="58"/>
      <c r="B16" s="60" t="s">
        <v>1410</v>
      </c>
      <c r="C16" s="60">
        <f>SUM(C17:C37)</f>
        <v>15718</v>
      </c>
      <c r="D16" s="60">
        <f t="shared" ref="D16:E16" si="1">SUM(D17:D37)</f>
        <v>8218</v>
      </c>
      <c r="E16" s="60">
        <f t="shared" si="1"/>
        <v>7500</v>
      </c>
      <c r="I16"/>
      <c r="J16"/>
      <c r="K16"/>
    </row>
    <row r="17" spans="1:11" s="10" customFormat="1" ht="24.95" customHeight="1" x14ac:dyDescent="0.25">
      <c r="A17" s="58">
        <v>1</v>
      </c>
      <c r="B17" s="27" t="s">
        <v>801</v>
      </c>
      <c r="C17" s="27">
        <v>25</v>
      </c>
      <c r="D17" s="27">
        <v>14</v>
      </c>
      <c r="E17" s="27">
        <v>11</v>
      </c>
      <c r="I17"/>
      <c r="J17"/>
      <c r="K17"/>
    </row>
    <row r="18" spans="1:11" s="10" customFormat="1" ht="24.95" customHeight="1" x14ac:dyDescent="0.25">
      <c r="A18" s="58">
        <v>2</v>
      </c>
      <c r="B18" s="27" t="s">
        <v>802</v>
      </c>
      <c r="C18" s="27">
        <v>1244</v>
      </c>
      <c r="D18" s="27">
        <v>638</v>
      </c>
      <c r="E18" s="27">
        <v>606</v>
      </c>
      <c r="I18"/>
      <c r="J18"/>
      <c r="K18"/>
    </row>
    <row r="19" spans="1:11" s="10" customFormat="1" ht="24.95" customHeight="1" x14ac:dyDescent="0.25">
      <c r="A19" s="58">
        <v>3</v>
      </c>
      <c r="B19" s="27" t="s">
        <v>803</v>
      </c>
      <c r="C19" s="27">
        <v>2150</v>
      </c>
      <c r="D19" s="27">
        <v>1106</v>
      </c>
      <c r="E19" s="27">
        <v>1044</v>
      </c>
      <c r="I19"/>
      <c r="J19"/>
      <c r="K19"/>
    </row>
    <row r="20" spans="1:11" s="10" customFormat="1" ht="24.95" customHeight="1" x14ac:dyDescent="0.25">
      <c r="A20" s="58">
        <v>4</v>
      </c>
      <c r="B20" s="27" t="s">
        <v>804</v>
      </c>
      <c r="C20" s="27">
        <v>488</v>
      </c>
      <c r="D20" s="27">
        <v>251</v>
      </c>
      <c r="E20" s="27">
        <v>237</v>
      </c>
      <c r="I20"/>
      <c r="J20"/>
      <c r="K20"/>
    </row>
    <row r="21" spans="1:11" s="10" customFormat="1" ht="24.95" customHeight="1" x14ac:dyDescent="0.25">
      <c r="A21" s="58">
        <v>5</v>
      </c>
      <c r="B21" s="27" t="s">
        <v>805</v>
      </c>
      <c r="C21" s="27">
        <v>1085</v>
      </c>
      <c r="D21" s="27">
        <v>567</v>
      </c>
      <c r="E21" s="27">
        <v>518</v>
      </c>
      <c r="I21"/>
      <c r="J21"/>
      <c r="K21"/>
    </row>
    <row r="22" spans="1:11" s="10" customFormat="1" ht="24.95" customHeight="1" x14ac:dyDescent="0.25">
      <c r="A22" s="58">
        <v>6</v>
      </c>
      <c r="B22" s="27" t="s">
        <v>806</v>
      </c>
      <c r="C22" s="27">
        <v>271</v>
      </c>
      <c r="D22" s="27">
        <v>143</v>
      </c>
      <c r="E22" s="27">
        <v>128</v>
      </c>
      <c r="F22" s="11"/>
      <c r="G22" s="11"/>
      <c r="I22"/>
      <c r="J22"/>
      <c r="K22"/>
    </row>
    <row r="23" spans="1:11" s="10" customFormat="1" ht="24.95" customHeight="1" x14ac:dyDescent="0.25">
      <c r="A23" s="58">
        <v>7</v>
      </c>
      <c r="B23" s="27" t="s">
        <v>807</v>
      </c>
      <c r="C23" s="27">
        <v>1080</v>
      </c>
      <c r="D23" s="27">
        <v>552</v>
      </c>
      <c r="E23" s="27">
        <v>528</v>
      </c>
      <c r="I23"/>
      <c r="J23"/>
      <c r="K23"/>
    </row>
    <row r="24" spans="1:11" s="10" customFormat="1" ht="24.95" customHeight="1" x14ac:dyDescent="0.25">
      <c r="A24" s="58">
        <v>8</v>
      </c>
      <c r="B24" s="27" t="s">
        <v>808</v>
      </c>
      <c r="C24" s="27">
        <v>64</v>
      </c>
      <c r="D24" s="27">
        <v>34</v>
      </c>
      <c r="E24" s="27">
        <v>30</v>
      </c>
      <c r="I24"/>
      <c r="J24"/>
      <c r="K24"/>
    </row>
    <row r="25" spans="1:11" s="10" customFormat="1" ht="24.95" customHeight="1" x14ac:dyDescent="0.25">
      <c r="A25" s="58">
        <v>9</v>
      </c>
      <c r="B25" s="27" t="s">
        <v>809</v>
      </c>
      <c r="C25" s="27">
        <v>48</v>
      </c>
      <c r="D25" s="27">
        <v>28</v>
      </c>
      <c r="E25" s="27">
        <v>20</v>
      </c>
      <c r="I25"/>
      <c r="J25"/>
      <c r="K25"/>
    </row>
    <row r="26" spans="1:11" s="10" customFormat="1" ht="24.95" customHeight="1" x14ac:dyDescent="0.25">
      <c r="A26" s="58">
        <v>10</v>
      </c>
      <c r="B26" s="27" t="s">
        <v>810</v>
      </c>
      <c r="C26" s="27">
        <v>263</v>
      </c>
      <c r="D26" s="27">
        <v>134</v>
      </c>
      <c r="E26" s="27">
        <v>129</v>
      </c>
      <c r="I26"/>
      <c r="J26"/>
      <c r="K26"/>
    </row>
    <row r="27" spans="1:11" s="10" customFormat="1" ht="24.95" customHeight="1" x14ac:dyDescent="0.25">
      <c r="A27" s="58">
        <v>11</v>
      </c>
      <c r="B27" s="27" t="s">
        <v>811</v>
      </c>
      <c r="C27" s="27">
        <v>1271</v>
      </c>
      <c r="D27" s="27">
        <v>685</v>
      </c>
      <c r="E27" s="27">
        <v>586</v>
      </c>
      <c r="I27"/>
      <c r="J27"/>
      <c r="K27"/>
    </row>
    <row r="28" spans="1:11" s="10" customFormat="1" ht="24.95" customHeight="1" x14ac:dyDescent="0.25">
      <c r="A28" s="58">
        <v>12</v>
      </c>
      <c r="B28" s="27" t="s">
        <v>812</v>
      </c>
      <c r="C28" s="27">
        <v>300</v>
      </c>
      <c r="D28" s="27">
        <v>150</v>
      </c>
      <c r="E28" s="27">
        <v>150</v>
      </c>
      <c r="I28"/>
      <c r="J28"/>
      <c r="K28"/>
    </row>
    <row r="29" spans="1:11" s="10" customFormat="1" ht="24.95" customHeight="1" x14ac:dyDescent="0.25">
      <c r="A29" s="58">
        <v>13</v>
      </c>
      <c r="B29" s="27" t="s">
        <v>813</v>
      </c>
      <c r="C29" s="27">
        <v>2184</v>
      </c>
      <c r="D29" s="27">
        <v>1167</v>
      </c>
      <c r="E29" s="27">
        <v>1017</v>
      </c>
      <c r="I29"/>
      <c r="J29"/>
      <c r="K29"/>
    </row>
    <row r="30" spans="1:11" s="10" customFormat="1" ht="24.95" customHeight="1" x14ac:dyDescent="0.25">
      <c r="A30" s="58">
        <v>14</v>
      </c>
      <c r="B30" s="27" t="s">
        <v>814</v>
      </c>
      <c r="C30" s="27">
        <v>1474</v>
      </c>
      <c r="D30" s="27">
        <v>759</v>
      </c>
      <c r="E30" s="27">
        <v>715</v>
      </c>
      <c r="I30"/>
      <c r="J30"/>
      <c r="K30"/>
    </row>
    <row r="31" spans="1:11" s="10" customFormat="1" ht="24.95" customHeight="1" x14ac:dyDescent="0.25">
      <c r="A31" s="58">
        <v>15</v>
      </c>
      <c r="B31" s="27" t="s">
        <v>815</v>
      </c>
      <c r="C31" s="27">
        <v>803</v>
      </c>
      <c r="D31" s="27">
        <v>427</v>
      </c>
      <c r="E31" s="27">
        <v>376</v>
      </c>
      <c r="I31"/>
      <c r="J31"/>
      <c r="K31"/>
    </row>
    <row r="32" spans="1:11" s="10" customFormat="1" ht="24.95" customHeight="1" x14ac:dyDescent="0.25">
      <c r="A32" s="58">
        <v>16</v>
      </c>
      <c r="B32" s="27" t="s">
        <v>816</v>
      </c>
      <c r="C32" s="27">
        <v>410</v>
      </c>
      <c r="D32" s="27">
        <v>206</v>
      </c>
      <c r="E32" s="27">
        <v>204</v>
      </c>
      <c r="I32"/>
      <c r="J32"/>
      <c r="K32"/>
    </row>
    <row r="33" spans="1:11" s="10" customFormat="1" ht="24.95" customHeight="1" x14ac:dyDescent="0.25">
      <c r="A33" s="58">
        <v>17</v>
      </c>
      <c r="B33" s="27" t="s">
        <v>817</v>
      </c>
      <c r="C33" s="27">
        <v>1096</v>
      </c>
      <c r="D33" s="27">
        <v>563</v>
      </c>
      <c r="E33" s="27">
        <v>533</v>
      </c>
      <c r="I33"/>
      <c r="J33"/>
      <c r="K33"/>
    </row>
    <row r="34" spans="1:11" s="10" customFormat="1" ht="24.95" customHeight="1" x14ac:dyDescent="0.25">
      <c r="A34" s="58">
        <v>18</v>
      </c>
      <c r="B34" s="27" t="s">
        <v>818</v>
      </c>
      <c r="C34" s="27">
        <v>479</v>
      </c>
      <c r="D34" s="27">
        <v>264</v>
      </c>
      <c r="E34" s="27">
        <v>215</v>
      </c>
      <c r="I34"/>
      <c r="J34"/>
      <c r="K34"/>
    </row>
    <row r="35" spans="1:11" s="10" customFormat="1" ht="24.95" customHeight="1" x14ac:dyDescent="0.25">
      <c r="A35" s="58">
        <v>19</v>
      </c>
      <c r="B35" s="27" t="s">
        <v>819</v>
      </c>
      <c r="C35" s="27">
        <v>159</v>
      </c>
      <c r="D35" s="27">
        <v>89</v>
      </c>
      <c r="E35" s="27">
        <v>70</v>
      </c>
      <c r="I35"/>
      <c r="J35"/>
      <c r="K35"/>
    </row>
    <row r="36" spans="1:11" s="10" customFormat="1" ht="24.95" customHeight="1" x14ac:dyDescent="0.25">
      <c r="A36" s="58">
        <v>20</v>
      </c>
      <c r="B36" s="27" t="s">
        <v>820</v>
      </c>
      <c r="C36" s="27">
        <v>74</v>
      </c>
      <c r="D36" s="27">
        <v>38</v>
      </c>
      <c r="E36" s="27">
        <v>36</v>
      </c>
      <c r="I36"/>
      <c r="J36"/>
      <c r="K36"/>
    </row>
    <row r="37" spans="1:11" s="10" customFormat="1" ht="24.95" customHeight="1" x14ac:dyDescent="0.25">
      <c r="A37" s="59">
        <v>21</v>
      </c>
      <c r="B37" s="29" t="s">
        <v>821</v>
      </c>
      <c r="C37" s="29">
        <v>750</v>
      </c>
      <c r="D37" s="29">
        <v>403</v>
      </c>
      <c r="E37" s="29">
        <v>347</v>
      </c>
      <c r="I37"/>
      <c r="J37"/>
      <c r="K37"/>
    </row>
    <row r="38" spans="1:11" s="10" customFormat="1" x14ac:dyDescent="0.25"/>
    <row r="39" spans="1:11" s="10" customFormat="1" x14ac:dyDescent="0.25"/>
  </sheetData>
  <mergeCells count="4">
    <mergeCell ref="A1:E1"/>
    <mergeCell ref="A4:A5"/>
    <mergeCell ref="B4:B5"/>
    <mergeCell ref="C4:E4"/>
  </mergeCells>
  <hyperlinks>
    <hyperlink ref="A1:E1" location="'Link of Township'!A1" display="Shan State, MuSe District,    Monekoe(Sub-Township)"/>
  </hyperlinks>
  <pageMargins left="0.75" right="0.5" top="0.5" bottom="0.2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sqref="A1:XFD1"/>
    </sheetView>
  </sheetViews>
  <sheetFormatPr defaultRowHeight="15" x14ac:dyDescent="0.25"/>
  <cols>
    <col min="1" max="1" width="7.140625" customWidth="1"/>
    <col min="2" max="2" width="33.42578125" customWidth="1"/>
    <col min="3" max="5" width="15.7109375" customWidth="1"/>
  </cols>
  <sheetData>
    <row r="1" spans="1:5" ht="18.75" x14ac:dyDescent="0.3">
      <c r="A1" s="180" t="s">
        <v>1377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15.75" x14ac:dyDescent="0.25">
      <c r="A3" s="20"/>
      <c r="B3" s="20"/>
      <c r="C3" s="20"/>
      <c r="D3" s="20"/>
      <c r="E3" s="20"/>
    </row>
    <row r="4" spans="1:5" ht="24.95" customHeight="1" x14ac:dyDescent="0.25">
      <c r="A4" s="173" t="s">
        <v>1339</v>
      </c>
      <c r="B4" s="173" t="s">
        <v>1422</v>
      </c>
      <c r="C4" s="174" t="s">
        <v>1340</v>
      </c>
      <c r="D4" s="175"/>
      <c r="E4" s="176"/>
    </row>
    <row r="5" spans="1:5" ht="24.95" customHeight="1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5" s="13" customFormat="1" ht="24.95" customHeight="1" x14ac:dyDescent="0.25">
      <c r="A6" s="61"/>
      <c r="B6" s="26" t="s">
        <v>0</v>
      </c>
      <c r="C6" s="26">
        <v>6787</v>
      </c>
      <c r="D6" s="26">
        <v>3242</v>
      </c>
      <c r="E6" s="26">
        <v>3545</v>
      </c>
    </row>
    <row r="7" spans="1:5" s="13" customFormat="1" ht="12.75" customHeight="1" x14ac:dyDescent="0.25">
      <c r="A7" s="62"/>
      <c r="B7" s="63"/>
      <c r="C7" s="63"/>
      <c r="D7" s="63"/>
      <c r="E7" s="63"/>
    </row>
    <row r="8" spans="1:5" s="13" customFormat="1" ht="24.95" customHeight="1" x14ac:dyDescent="0.25">
      <c r="A8" s="62"/>
      <c r="B8" s="63" t="s">
        <v>1338</v>
      </c>
      <c r="C8" s="63">
        <f>SUM(C9:C11)</f>
        <v>1438</v>
      </c>
      <c r="D8" s="63">
        <f t="shared" ref="D8:E8" si="0">SUM(D9:D11)</f>
        <v>684</v>
      </c>
      <c r="E8" s="63">
        <f t="shared" si="0"/>
        <v>754</v>
      </c>
    </row>
    <row r="9" spans="1:5" s="13" customFormat="1" ht="24.95" customHeight="1" x14ac:dyDescent="0.25">
      <c r="A9" s="62">
        <v>1</v>
      </c>
      <c r="B9" s="27" t="s">
        <v>25</v>
      </c>
      <c r="C9" s="27">
        <v>713</v>
      </c>
      <c r="D9" s="27">
        <v>338</v>
      </c>
      <c r="E9" s="27">
        <v>375</v>
      </c>
    </row>
    <row r="10" spans="1:5" s="13" customFormat="1" ht="24.95" customHeight="1" x14ac:dyDescent="0.25">
      <c r="A10" s="62">
        <v>2</v>
      </c>
      <c r="B10" s="27" t="s">
        <v>26</v>
      </c>
      <c r="C10" s="27">
        <v>362</v>
      </c>
      <c r="D10" s="27">
        <v>172</v>
      </c>
      <c r="E10" s="27">
        <v>190</v>
      </c>
    </row>
    <row r="11" spans="1:5" s="13" customFormat="1" ht="24.95" customHeight="1" x14ac:dyDescent="0.25">
      <c r="A11" s="62">
        <v>3</v>
      </c>
      <c r="B11" s="27" t="s">
        <v>27</v>
      </c>
      <c r="C11" s="27">
        <v>363</v>
      </c>
      <c r="D11" s="27">
        <v>174</v>
      </c>
      <c r="E11" s="27">
        <v>189</v>
      </c>
    </row>
    <row r="12" spans="1:5" s="13" customFormat="1" ht="24.95" customHeight="1" x14ac:dyDescent="0.25">
      <c r="A12" s="62"/>
      <c r="B12" s="63" t="s">
        <v>1410</v>
      </c>
      <c r="C12" s="63">
        <f>SUM(C13:C16)</f>
        <v>5349</v>
      </c>
      <c r="D12" s="63">
        <f t="shared" ref="D12:E12" si="1">SUM(D13:D16)</f>
        <v>2558</v>
      </c>
      <c r="E12" s="63">
        <f t="shared" si="1"/>
        <v>2791</v>
      </c>
    </row>
    <row r="13" spans="1:5" s="13" customFormat="1" ht="24.95" customHeight="1" x14ac:dyDescent="0.25">
      <c r="A13" s="62">
        <v>1</v>
      </c>
      <c r="B13" s="27" t="s">
        <v>822</v>
      </c>
      <c r="C13" s="27">
        <v>2240</v>
      </c>
      <c r="D13" s="27">
        <v>1082</v>
      </c>
      <c r="E13" s="27">
        <v>1158</v>
      </c>
    </row>
    <row r="14" spans="1:5" s="13" customFormat="1" ht="24.95" customHeight="1" x14ac:dyDescent="0.25">
      <c r="A14" s="62">
        <v>2</v>
      </c>
      <c r="B14" s="27" t="s">
        <v>823</v>
      </c>
      <c r="C14" s="27">
        <v>610</v>
      </c>
      <c r="D14" s="27">
        <v>283</v>
      </c>
      <c r="E14" s="27">
        <v>327</v>
      </c>
    </row>
    <row r="15" spans="1:5" s="13" customFormat="1" ht="24.95" customHeight="1" x14ac:dyDescent="0.25">
      <c r="A15" s="62">
        <v>3</v>
      </c>
      <c r="B15" s="27" t="s">
        <v>824</v>
      </c>
      <c r="C15" s="27">
        <v>1455</v>
      </c>
      <c r="D15" s="27">
        <v>688</v>
      </c>
      <c r="E15" s="27">
        <v>767</v>
      </c>
    </row>
    <row r="16" spans="1:5" s="13" customFormat="1" ht="24.95" customHeight="1" x14ac:dyDescent="0.25">
      <c r="A16" s="64">
        <v>4</v>
      </c>
      <c r="B16" s="29" t="s">
        <v>825</v>
      </c>
      <c r="C16" s="29">
        <v>1044</v>
      </c>
      <c r="D16" s="29">
        <v>505</v>
      </c>
      <c r="E16" s="29">
        <v>539</v>
      </c>
    </row>
    <row r="17" spans="6:6" s="13" customFormat="1" x14ac:dyDescent="0.25"/>
    <row r="18" spans="6:6" s="13" customFormat="1" x14ac:dyDescent="0.25">
      <c r="F18" s="12"/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MuSe District, Manhero(Manhyo)Sub-Township"/>
  </hyperlinks>
  <pageMargins left="0.75" right="0.5" top="0.5" bottom="0.2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sqref="A1:XFD1"/>
    </sheetView>
  </sheetViews>
  <sheetFormatPr defaultRowHeight="15" x14ac:dyDescent="0.25"/>
  <cols>
    <col min="2" max="2" width="36.28515625" customWidth="1"/>
    <col min="3" max="5" width="13.7109375" customWidth="1"/>
  </cols>
  <sheetData>
    <row r="1" spans="1:5" ht="18.75" x14ac:dyDescent="0.3">
      <c r="A1" s="180" t="s">
        <v>1378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15.75" x14ac:dyDescent="0.25">
      <c r="A3" s="20"/>
      <c r="B3" s="20"/>
      <c r="C3" s="20"/>
      <c r="D3" s="20"/>
      <c r="E3" s="20"/>
    </row>
    <row r="4" spans="1:5" ht="24.95" customHeight="1" x14ac:dyDescent="0.25">
      <c r="A4" s="173" t="s">
        <v>1339</v>
      </c>
      <c r="B4" s="173" t="s">
        <v>1422</v>
      </c>
      <c r="C4" s="174" t="s">
        <v>1340</v>
      </c>
      <c r="D4" s="175"/>
      <c r="E4" s="176"/>
    </row>
    <row r="5" spans="1:5" ht="24.95" customHeight="1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5" ht="24.95" customHeight="1" x14ac:dyDescent="0.25">
      <c r="A6" s="48"/>
      <c r="B6" s="26" t="s">
        <v>0</v>
      </c>
      <c r="C6" s="26">
        <v>22950</v>
      </c>
      <c r="D6" s="26">
        <v>11469</v>
      </c>
      <c r="E6" s="26">
        <v>11481</v>
      </c>
    </row>
    <row r="7" spans="1:5" ht="9.75" customHeight="1" x14ac:dyDescent="0.25">
      <c r="A7" s="23"/>
      <c r="B7" s="24"/>
      <c r="C7" s="24"/>
      <c r="D7" s="24"/>
      <c r="E7" s="24"/>
    </row>
    <row r="8" spans="1:5" ht="24.95" customHeight="1" x14ac:dyDescent="0.25">
      <c r="A8" s="23"/>
      <c r="B8" s="24" t="s">
        <v>1338</v>
      </c>
      <c r="C8" s="24">
        <f>SUM(C9:C13)</f>
        <v>9530</v>
      </c>
      <c r="D8" s="24">
        <f t="shared" ref="D8:E8" si="0">SUM(D9:D13)</f>
        <v>4710</v>
      </c>
      <c r="E8" s="24">
        <f t="shared" si="0"/>
        <v>4820</v>
      </c>
    </row>
    <row r="9" spans="1:5" ht="24.95" customHeight="1" x14ac:dyDescent="0.25">
      <c r="A9" s="27">
        <v>1</v>
      </c>
      <c r="B9" s="27" t="s">
        <v>25</v>
      </c>
      <c r="C9" s="27">
        <v>1341</v>
      </c>
      <c r="D9" s="27">
        <v>683</v>
      </c>
      <c r="E9" s="27">
        <v>658</v>
      </c>
    </row>
    <row r="10" spans="1:5" ht="24.95" customHeight="1" x14ac:dyDescent="0.25">
      <c r="A10" s="27">
        <v>2</v>
      </c>
      <c r="B10" s="27" t="s">
        <v>26</v>
      </c>
      <c r="C10" s="27">
        <v>1748</v>
      </c>
      <c r="D10" s="27">
        <v>822</v>
      </c>
      <c r="E10" s="27">
        <v>926</v>
      </c>
    </row>
    <row r="11" spans="1:5" ht="24.95" customHeight="1" x14ac:dyDescent="0.25">
      <c r="A11" s="27">
        <v>3</v>
      </c>
      <c r="B11" s="27" t="s">
        <v>27</v>
      </c>
      <c r="C11" s="27">
        <v>2280</v>
      </c>
      <c r="D11" s="27">
        <v>1129</v>
      </c>
      <c r="E11" s="27">
        <v>1151</v>
      </c>
    </row>
    <row r="12" spans="1:5" ht="24.95" customHeight="1" x14ac:dyDescent="0.25">
      <c r="A12" s="27">
        <v>4</v>
      </c>
      <c r="B12" s="27" t="s">
        <v>28</v>
      </c>
      <c r="C12" s="27">
        <v>2201</v>
      </c>
      <c r="D12" s="27">
        <v>1097</v>
      </c>
      <c r="E12" s="27">
        <v>1104</v>
      </c>
    </row>
    <row r="13" spans="1:5" ht="24.95" customHeight="1" x14ac:dyDescent="0.25">
      <c r="A13" s="23">
        <v>5</v>
      </c>
      <c r="B13" s="27" t="s">
        <v>29</v>
      </c>
      <c r="C13" s="27">
        <v>1960</v>
      </c>
      <c r="D13" s="27">
        <v>979</v>
      </c>
      <c r="E13" s="27">
        <v>981</v>
      </c>
    </row>
    <row r="14" spans="1:5" ht="24.95" customHeight="1" x14ac:dyDescent="0.25">
      <c r="A14" s="23"/>
      <c r="B14" s="49" t="s">
        <v>1410</v>
      </c>
      <c r="C14" s="24">
        <f>SUM(C15:C25)</f>
        <v>13420</v>
      </c>
      <c r="D14" s="24">
        <f t="shared" ref="D14:E14" si="1">SUM(D15:D25)</f>
        <v>6759</v>
      </c>
      <c r="E14" s="24">
        <f t="shared" si="1"/>
        <v>6661</v>
      </c>
    </row>
    <row r="15" spans="1:5" ht="24.95" customHeight="1" x14ac:dyDescent="0.25">
      <c r="A15" s="23">
        <v>1</v>
      </c>
      <c r="B15" s="27" t="s">
        <v>434</v>
      </c>
      <c r="C15" s="27">
        <v>2859</v>
      </c>
      <c r="D15" s="27">
        <v>1431</v>
      </c>
      <c r="E15" s="27">
        <v>1428</v>
      </c>
    </row>
    <row r="16" spans="1:5" ht="24.95" customHeight="1" x14ac:dyDescent="0.25">
      <c r="A16" s="23">
        <v>2</v>
      </c>
      <c r="B16" s="27" t="s">
        <v>826</v>
      </c>
      <c r="C16" s="27">
        <v>1252</v>
      </c>
      <c r="D16" s="27">
        <v>679</v>
      </c>
      <c r="E16" s="27">
        <v>573</v>
      </c>
    </row>
    <row r="17" spans="1:5" ht="24.95" customHeight="1" x14ac:dyDescent="0.25">
      <c r="A17" s="23">
        <v>3</v>
      </c>
      <c r="B17" s="27" t="s">
        <v>827</v>
      </c>
      <c r="C17" s="27">
        <v>389</v>
      </c>
      <c r="D17" s="27">
        <v>205</v>
      </c>
      <c r="E17" s="27">
        <v>184</v>
      </c>
    </row>
    <row r="18" spans="1:5" ht="24.95" customHeight="1" x14ac:dyDescent="0.25">
      <c r="A18" s="23">
        <v>4</v>
      </c>
      <c r="B18" s="27" t="s">
        <v>810</v>
      </c>
      <c r="C18" s="27">
        <v>1887</v>
      </c>
      <c r="D18" s="27">
        <v>952</v>
      </c>
      <c r="E18" s="27">
        <v>935</v>
      </c>
    </row>
    <row r="19" spans="1:5" ht="24.95" customHeight="1" x14ac:dyDescent="0.25">
      <c r="A19" s="23">
        <v>5</v>
      </c>
      <c r="B19" s="27" t="s">
        <v>828</v>
      </c>
      <c r="C19" s="27">
        <v>2790</v>
      </c>
      <c r="D19" s="27">
        <v>1361</v>
      </c>
      <c r="E19" s="27">
        <v>1429</v>
      </c>
    </row>
    <row r="20" spans="1:5" ht="24.95" customHeight="1" x14ac:dyDescent="0.25">
      <c r="A20" s="23">
        <v>6</v>
      </c>
      <c r="B20" s="27" t="s">
        <v>829</v>
      </c>
      <c r="C20" s="27">
        <v>1552</v>
      </c>
      <c r="D20" s="27">
        <v>775</v>
      </c>
      <c r="E20" s="27">
        <v>777</v>
      </c>
    </row>
    <row r="21" spans="1:5" ht="24.95" customHeight="1" x14ac:dyDescent="0.25">
      <c r="A21" s="23">
        <v>7</v>
      </c>
      <c r="B21" s="27" t="s">
        <v>830</v>
      </c>
      <c r="C21" s="27">
        <v>2</v>
      </c>
      <c r="D21" s="27">
        <v>1</v>
      </c>
      <c r="E21" s="27">
        <v>1</v>
      </c>
    </row>
    <row r="22" spans="1:5" ht="24.95" customHeight="1" x14ac:dyDescent="0.25">
      <c r="A22" s="23">
        <v>8</v>
      </c>
      <c r="B22" s="27" t="s">
        <v>831</v>
      </c>
      <c r="C22" s="27">
        <v>119</v>
      </c>
      <c r="D22" s="27">
        <v>61</v>
      </c>
      <c r="E22" s="27">
        <v>58</v>
      </c>
    </row>
    <row r="23" spans="1:5" ht="24.95" customHeight="1" x14ac:dyDescent="0.25">
      <c r="A23" s="23">
        <v>9</v>
      </c>
      <c r="B23" s="27" t="s">
        <v>565</v>
      </c>
      <c r="C23" s="27">
        <v>761</v>
      </c>
      <c r="D23" s="27">
        <v>383</v>
      </c>
      <c r="E23" s="27">
        <v>378</v>
      </c>
    </row>
    <row r="24" spans="1:5" ht="24.95" customHeight="1" x14ac:dyDescent="0.25">
      <c r="A24" s="23">
        <v>10</v>
      </c>
      <c r="B24" s="27" t="s">
        <v>553</v>
      </c>
      <c r="C24" s="27">
        <v>1235</v>
      </c>
      <c r="D24" s="27">
        <v>627</v>
      </c>
      <c r="E24" s="27">
        <v>608</v>
      </c>
    </row>
    <row r="25" spans="1:5" ht="24.95" customHeight="1" x14ac:dyDescent="0.25">
      <c r="A25" s="28">
        <v>11</v>
      </c>
      <c r="B25" s="29" t="s">
        <v>558</v>
      </c>
      <c r="C25" s="29">
        <v>574</v>
      </c>
      <c r="D25" s="29">
        <v>284</v>
      </c>
      <c r="E25" s="29">
        <v>290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MuSe District,  Pansai(Kyu Kok) Sub-Township"/>
  </hyperlinks>
  <pageMargins left="0.75" right="0.5" top="0.5" bottom="0.2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workbookViewId="0">
      <selection sqref="A1:XFD1"/>
    </sheetView>
  </sheetViews>
  <sheetFormatPr defaultRowHeight="15" x14ac:dyDescent="0.25"/>
  <cols>
    <col min="2" max="2" width="32.140625" customWidth="1"/>
    <col min="3" max="5" width="15.7109375" customWidth="1"/>
  </cols>
  <sheetData>
    <row r="1" spans="1:5" ht="18.75" x14ac:dyDescent="0.3">
      <c r="A1" s="180" t="s">
        <v>1379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15.75" x14ac:dyDescent="0.25">
      <c r="A3" s="20"/>
      <c r="B3" s="20"/>
      <c r="C3" s="20"/>
      <c r="D3" s="20"/>
      <c r="E3" s="20"/>
    </row>
    <row r="4" spans="1:5" ht="15.75" x14ac:dyDescent="0.25">
      <c r="A4" s="173" t="s">
        <v>1339</v>
      </c>
      <c r="B4" s="173" t="s">
        <v>1422</v>
      </c>
      <c r="C4" s="174" t="s">
        <v>1340</v>
      </c>
      <c r="D4" s="175"/>
      <c r="E4" s="176"/>
    </row>
    <row r="5" spans="1:5" ht="15.75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5" ht="27" customHeight="1" x14ac:dyDescent="0.25">
      <c r="A6" s="48"/>
      <c r="B6" s="26" t="s">
        <v>0</v>
      </c>
      <c r="C6" s="26">
        <v>73318</v>
      </c>
      <c r="D6" s="26">
        <v>37195</v>
      </c>
      <c r="E6" s="26">
        <v>36123</v>
      </c>
    </row>
    <row r="7" spans="1:5" ht="9.75" customHeight="1" x14ac:dyDescent="0.25">
      <c r="A7" s="23"/>
      <c r="B7" s="24"/>
      <c r="C7" s="24"/>
      <c r="D7" s="24"/>
      <c r="E7" s="24"/>
    </row>
    <row r="8" spans="1:5" ht="24.95" customHeight="1" x14ac:dyDescent="0.25">
      <c r="A8" s="23"/>
      <c r="B8" s="24" t="s">
        <v>1338</v>
      </c>
      <c r="C8" s="24">
        <f>SUM(C9:C16)</f>
        <v>14675</v>
      </c>
      <c r="D8" s="24">
        <f>SUM(D9:D16)</f>
        <v>7452</v>
      </c>
      <c r="E8" s="24">
        <f>SUM(E9:E16)</f>
        <v>7223</v>
      </c>
    </row>
    <row r="9" spans="1:5" ht="24.95" customHeight="1" x14ac:dyDescent="0.25">
      <c r="A9" s="23">
        <v>1</v>
      </c>
      <c r="B9" s="27" t="s">
        <v>25</v>
      </c>
      <c r="C9" s="27">
        <v>295</v>
      </c>
      <c r="D9" s="27">
        <v>164</v>
      </c>
      <c r="E9" s="27">
        <v>131</v>
      </c>
    </row>
    <row r="10" spans="1:5" ht="24.95" customHeight="1" x14ac:dyDescent="0.25">
      <c r="A10" s="23">
        <v>2</v>
      </c>
      <c r="B10" s="27" t="s">
        <v>26</v>
      </c>
      <c r="C10" s="27">
        <v>1458</v>
      </c>
      <c r="D10" s="27">
        <v>757</v>
      </c>
      <c r="E10" s="27">
        <v>701</v>
      </c>
    </row>
    <row r="11" spans="1:5" ht="24.95" customHeight="1" x14ac:dyDescent="0.25">
      <c r="A11" s="23">
        <v>3</v>
      </c>
      <c r="B11" s="27" t="s">
        <v>27</v>
      </c>
      <c r="C11" s="27">
        <v>841</v>
      </c>
      <c r="D11" s="27">
        <v>424</v>
      </c>
      <c r="E11" s="27">
        <v>417</v>
      </c>
    </row>
    <row r="12" spans="1:5" ht="24.95" customHeight="1" x14ac:dyDescent="0.25">
      <c r="A12" s="23">
        <v>4</v>
      </c>
      <c r="B12" s="27" t="s">
        <v>28</v>
      </c>
      <c r="C12" s="27">
        <v>1700</v>
      </c>
      <c r="D12" s="27">
        <v>856</v>
      </c>
      <c r="E12" s="27">
        <v>844</v>
      </c>
    </row>
    <row r="13" spans="1:5" ht="24.95" customHeight="1" x14ac:dyDescent="0.25">
      <c r="A13" s="23">
        <v>5</v>
      </c>
      <c r="B13" s="27" t="s">
        <v>29</v>
      </c>
      <c r="C13" s="27">
        <v>1896</v>
      </c>
      <c r="D13" s="27">
        <v>955</v>
      </c>
      <c r="E13" s="27">
        <v>941</v>
      </c>
    </row>
    <row r="14" spans="1:5" ht="24.95" customHeight="1" x14ac:dyDescent="0.25">
      <c r="A14" s="23">
        <v>6</v>
      </c>
      <c r="B14" s="27" t="s">
        <v>30</v>
      </c>
      <c r="C14" s="27">
        <v>2826</v>
      </c>
      <c r="D14" s="27">
        <v>1473</v>
      </c>
      <c r="E14" s="27">
        <v>1353</v>
      </c>
    </row>
    <row r="15" spans="1:5" ht="24.95" customHeight="1" x14ac:dyDescent="0.25">
      <c r="A15" s="23">
        <v>7</v>
      </c>
      <c r="B15" s="27" t="s">
        <v>31</v>
      </c>
      <c r="C15" s="27">
        <v>2942</v>
      </c>
      <c r="D15" s="27">
        <v>1466</v>
      </c>
      <c r="E15" s="27">
        <v>1476</v>
      </c>
    </row>
    <row r="16" spans="1:5" ht="24.95" customHeight="1" x14ac:dyDescent="0.25">
      <c r="A16" s="23">
        <v>8</v>
      </c>
      <c r="B16" s="27" t="s">
        <v>32</v>
      </c>
      <c r="C16" s="27">
        <v>2717</v>
      </c>
      <c r="D16" s="27">
        <v>1357</v>
      </c>
      <c r="E16" s="27">
        <v>1360</v>
      </c>
    </row>
    <row r="17" spans="1:5" ht="24.95" customHeight="1" x14ac:dyDescent="0.25">
      <c r="A17" s="23"/>
      <c r="B17" s="49" t="s">
        <v>1410</v>
      </c>
      <c r="C17" s="24">
        <f>SUM(C18:C46)</f>
        <v>58643</v>
      </c>
      <c r="D17" s="24">
        <f t="shared" ref="D17:E17" si="0">SUM(D18:D46)</f>
        <v>29743</v>
      </c>
      <c r="E17" s="24">
        <f t="shared" si="0"/>
        <v>28900</v>
      </c>
    </row>
    <row r="18" spans="1:5" ht="24.95" customHeight="1" x14ac:dyDescent="0.25">
      <c r="A18" s="23">
        <v>1</v>
      </c>
      <c r="B18" s="27" t="s">
        <v>832</v>
      </c>
      <c r="C18" s="27">
        <v>626</v>
      </c>
      <c r="D18" s="27">
        <v>312</v>
      </c>
      <c r="E18" s="27">
        <v>314</v>
      </c>
    </row>
    <row r="19" spans="1:5" ht="24.95" customHeight="1" x14ac:dyDescent="0.25">
      <c r="A19" s="23">
        <v>2</v>
      </c>
      <c r="B19" s="27" t="s">
        <v>833</v>
      </c>
      <c r="C19" s="27">
        <v>1684</v>
      </c>
      <c r="D19" s="27">
        <v>890</v>
      </c>
      <c r="E19" s="27">
        <v>794</v>
      </c>
    </row>
    <row r="20" spans="1:5" ht="24.95" customHeight="1" x14ac:dyDescent="0.25">
      <c r="A20" s="23">
        <v>3</v>
      </c>
      <c r="B20" s="27" t="s">
        <v>834</v>
      </c>
      <c r="C20" s="27">
        <v>3284</v>
      </c>
      <c r="D20" s="27">
        <v>1621</v>
      </c>
      <c r="E20" s="27">
        <v>1663</v>
      </c>
    </row>
    <row r="21" spans="1:5" ht="24.95" customHeight="1" x14ac:dyDescent="0.25">
      <c r="A21" s="23">
        <v>4</v>
      </c>
      <c r="B21" s="27" t="s">
        <v>835</v>
      </c>
      <c r="C21" s="27">
        <v>1018</v>
      </c>
      <c r="D21" s="27">
        <v>535</v>
      </c>
      <c r="E21" s="27">
        <v>483</v>
      </c>
    </row>
    <row r="22" spans="1:5" ht="24.95" customHeight="1" x14ac:dyDescent="0.25">
      <c r="A22" s="23">
        <v>5</v>
      </c>
      <c r="B22" s="27" t="s">
        <v>553</v>
      </c>
      <c r="C22" s="27">
        <v>1165</v>
      </c>
      <c r="D22" s="27">
        <v>603</v>
      </c>
      <c r="E22" s="27">
        <v>562</v>
      </c>
    </row>
    <row r="23" spans="1:5" ht="24.95" customHeight="1" x14ac:dyDescent="0.25">
      <c r="A23" s="23">
        <v>6</v>
      </c>
      <c r="B23" s="27" t="s">
        <v>836</v>
      </c>
      <c r="C23" s="27">
        <v>1278</v>
      </c>
      <c r="D23" s="27">
        <v>655</v>
      </c>
      <c r="E23" s="27">
        <v>623</v>
      </c>
    </row>
    <row r="24" spans="1:5" ht="24.95" customHeight="1" x14ac:dyDescent="0.25">
      <c r="A24" s="23">
        <v>7</v>
      </c>
      <c r="B24" s="27" t="s">
        <v>837</v>
      </c>
      <c r="C24" s="27">
        <v>1260</v>
      </c>
      <c r="D24" s="27">
        <v>648</v>
      </c>
      <c r="E24" s="27">
        <v>612</v>
      </c>
    </row>
    <row r="25" spans="1:5" ht="24.95" customHeight="1" x14ac:dyDescent="0.25">
      <c r="A25" s="23">
        <v>8</v>
      </c>
      <c r="B25" s="27" t="s">
        <v>838</v>
      </c>
      <c r="C25" s="27">
        <v>5926</v>
      </c>
      <c r="D25" s="27">
        <v>2974</v>
      </c>
      <c r="E25" s="27">
        <v>2952</v>
      </c>
    </row>
    <row r="26" spans="1:5" ht="24.95" customHeight="1" x14ac:dyDescent="0.25">
      <c r="A26" s="23">
        <v>9</v>
      </c>
      <c r="B26" s="27" t="s">
        <v>839</v>
      </c>
      <c r="C26" s="27">
        <v>1702</v>
      </c>
      <c r="D26" s="27">
        <v>843</v>
      </c>
      <c r="E26" s="27">
        <v>859</v>
      </c>
    </row>
    <row r="27" spans="1:5" ht="24.95" customHeight="1" x14ac:dyDescent="0.25">
      <c r="A27" s="23">
        <v>10</v>
      </c>
      <c r="B27" s="27" t="s">
        <v>434</v>
      </c>
      <c r="C27" s="27">
        <v>2843</v>
      </c>
      <c r="D27" s="27">
        <v>1479</v>
      </c>
      <c r="E27" s="27">
        <v>1364</v>
      </c>
    </row>
    <row r="28" spans="1:5" ht="24.95" customHeight="1" x14ac:dyDescent="0.25">
      <c r="A28" s="23">
        <v>11</v>
      </c>
      <c r="B28" s="27" t="s">
        <v>840</v>
      </c>
      <c r="C28" s="27">
        <v>2462</v>
      </c>
      <c r="D28" s="27">
        <v>1217</v>
      </c>
      <c r="E28" s="27">
        <v>1245</v>
      </c>
    </row>
    <row r="29" spans="1:5" ht="24.95" customHeight="1" x14ac:dyDescent="0.25">
      <c r="A29" s="23">
        <v>12</v>
      </c>
      <c r="B29" s="27" t="s">
        <v>841</v>
      </c>
      <c r="C29" s="27">
        <v>2519</v>
      </c>
      <c r="D29" s="27">
        <v>1253</v>
      </c>
      <c r="E29" s="27">
        <v>1266</v>
      </c>
    </row>
    <row r="30" spans="1:5" ht="24.95" customHeight="1" x14ac:dyDescent="0.25">
      <c r="A30" s="23">
        <v>13</v>
      </c>
      <c r="B30" s="27" t="s">
        <v>842</v>
      </c>
      <c r="C30" s="27">
        <v>972</v>
      </c>
      <c r="D30" s="27">
        <v>494</v>
      </c>
      <c r="E30" s="27">
        <v>478</v>
      </c>
    </row>
    <row r="31" spans="1:5" ht="24.95" customHeight="1" x14ac:dyDescent="0.25">
      <c r="A31" s="23">
        <v>14</v>
      </c>
      <c r="B31" s="27" t="s">
        <v>843</v>
      </c>
      <c r="C31" s="27">
        <v>1355</v>
      </c>
      <c r="D31" s="27">
        <v>674</v>
      </c>
      <c r="E31" s="27">
        <v>681</v>
      </c>
    </row>
    <row r="32" spans="1:5" ht="24.95" customHeight="1" x14ac:dyDescent="0.25">
      <c r="A32" s="23">
        <v>15</v>
      </c>
      <c r="B32" s="27" t="s">
        <v>844</v>
      </c>
      <c r="C32" s="27">
        <v>1044</v>
      </c>
      <c r="D32" s="27">
        <v>531</v>
      </c>
      <c r="E32" s="27">
        <v>513</v>
      </c>
    </row>
    <row r="33" spans="1:5" ht="24.95" customHeight="1" x14ac:dyDescent="0.25">
      <c r="A33" s="23">
        <v>16</v>
      </c>
      <c r="B33" s="27" t="s">
        <v>611</v>
      </c>
      <c r="C33" s="27">
        <v>2189</v>
      </c>
      <c r="D33" s="27">
        <v>1090</v>
      </c>
      <c r="E33" s="27">
        <v>1099</v>
      </c>
    </row>
    <row r="34" spans="1:5" ht="24.95" customHeight="1" x14ac:dyDescent="0.25">
      <c r="A34" s="23">
        <v>17</v>
      </c>
      <c r="B34" s="27" t="s">
        <v>845</v>
      </c>
      <c r="C34" s="27">
        <v>4135</v>
      </c>
      <c r="D34" s="27">
        <v>2133</v>
      </c>
      <c r="E34" s="27">
        <v>2002</v>
      </c>
    </row>
    <row r="35" spans="1:5" ht="24.95" customHeight="1" x14ac:dyDescent="0.25">
      <c r="A35" s="23">
        <v>18</v>
      </c>
      <c r="B35" s="27" t="s">
        <v>846</v>
      </c>
      <c r="C35" s="27">
        <v>1377</v>
      </c>
      <c r="D35" s="27">
        <v>708</v>
      </c>
      <c r="E35" s="27">
        <v>669</v>
      </c>
    </row>
    <row r="36" spans="1:5" ht="24.95" customHeight="1" x14ac:dyDescent="0.25">
      <c r="A36" s="23">
        <v>19</v>
      </c>
      <c r="B36" s="27" t="s">
        <v>847</v>
      </c>
      <c r="C36" s="27">
        <v>1191</v>
      </c>
      <c r="D36" s="27">
        <v>601</v>
      </c>
      <c r="E36" s="27">
        <v>590</v>
      </c>
    </row>
    <row r="37" spans="1:5" ht="24.95" customHeight="1" x14ac:dyDescent="0.25">
      <c r="A37" s="23">
        <v>20</v>
      </c>
      <c r="B37" s="27" t="s">
        <v>848</v>
      </c>
      <c r="C37" s="27">
        <v>1631</v>
      </c>
      <c r="D37" s="27">
        <v>790</v>
      </c>
      <c r="E37" s="27">
        <v>841</v>
      </c>
    </row>
    <row r="38" spans="1:5" ht="24.95" customHeight="1" x14ac:dyDescent="0.25">
      <c r="A38" s="23">
        <v>21</v>
      </c>
      <c r="B38" s="27" t="s">
        <v>849</v>
      </c>
      <c r="C38" s="27">
        <v>2753</v>
      </c>
      <c r="D38" s="27">
        <v>1426</v>
      </c>
      <c r="E38" s="27">
        <v>1327</v>
      </c>
    </row>
    <row r="39" spans="1:5" ht="24.95" customHeight="1" x14ac:dyDescent="0.25">
      <c r="A39" s="23">
        <v>22</v>
      </c>
      <c r="B39" s="27" t="s">
        <v>638</v>
      </c>
      <c r="C39" s="27">
        <v>952</v>
      </c>
      <c r="D39" s="27">
        <v>492</v>
      </c>
      <c r="E39" s="27">
        <v>460</v>
      </c>
    </row>
    <row r="40" spans="1:5" ht="24.95" customHeight="1" x14ac:dyDescent="0.25">
      <c r="A40" s="23">
        <v>23</v>
      </c>
      <c r="B40" s="27" t="s">
        <v>850</v>
      </c>
      <c r="C40" s="27">
        <v>1344</v>
      </c>
      <c r="D40" s="27">
        <v>684</v>
      </c>
      <c r="E40" s="27">
        <v>660</v>
      </c>
    </row>
    <row r="41" spans="1:5" ht="24.95" customHeight="1" x14ac:dyDescent="0.25">
      <c r="A41" s="23">
        <v>24</v>
      </c>
      <c r="B41" s="27" t="s">
        <v>851</v>
      </c>
      <c r="C41" s="27">
        <v>2042</v>
      </c>
      <c r="D41" s="27">
        <v>1030</v>
      </c>
      <c r="E41" s="27">
        <v>1012</v>
      </c>
    </row>
    <row r="42" spans="1:5" ht="24.95" customHeight="1" x14ac:dyDescent="0.25">
      <c r="A42" s="23">
        <v>25</v>
      </c>
      <c r="B42" s="27" t="s">
        <v>852</v>
      </c>
      <c r="C42" s="27">
        <v>869</v>
      </c>
      <c r="D42" s="27">
        <v>429</v>
      </c>
      <c r="E42" s="27">
        <v>440</v>
      </c>
    </row>
    <row r="43" spans="1:5" ht="24.95" customHeight="1" x14ac:dyDescent="0.25">
      <c r="A43" s="23">
        <v>26</v>
      </c>
      <c r="B43" s="27" t="s">
        <v>853</v>
      </c>
      <c r="C43" s="27">
        <v>582</v>
      </c>
      <c r="D43" s="27">
        <v>291</v>
      </c>
      <c r="E43" s="27">
        <v>291</v>
      </c>
    </row>
    <row r="44" spans="1:5" ht="24.95" customHeight="1" x14ac:dyDescent="0.25">
      <c r="A44" s="23">
        <v>27</v>
      </c>
      <c r="B44" s="27" t="s">
        <v>854</v>
      </c>
      <c r="C44" s="27">
        <v>4223</v>
      </c>
      <c r="D44" s="27">
        <v>2184</v>
      </c>
      <c r="E44" s="27">
        <v>2039</v>
      </c>
    </row>
    <row r="45" spans="1:5" ht="24.95" customHeight="1" x14ac:dyDescent="0.25">
      <c r="A45" s="23">
        <v>28</v>
      </c>
      <c r="B45" s="27" t="s">
        <v>855</v>
      </c>
      <c r="C45" s="27">
        <v>2640</v>
      </c>
      <c r="D45" s="27">
        <v>1336</v>
      </c>
      <c r="E45" s="27">
        <v>1304</v>
      </c>
    </row>
    <row r="46" spans="1:5" ht="24.95" customHeight="1" x14ac:dyDescent="0.25">
      <c r="A46" s="28">
        <v>29</v>
      </c>
      <c r="B46" s="29" t="s">
        <v>856</v>
      </c>
      <c r="C46" s="29">
        <v>3577</v>
      </c>
      <c r="D46" s="29">
        <v>1820</v>
      </c>
      <c r="E46" s="29">
        <v>1757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MuSe District,   Tamoenye(Sub-Township)"/>
  </hyperlinks>
  <pageMargins left="0.75" right="0.5" top="0.5" bottom="0.2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workbookViewId="0">
      <selection sqref="A1:XFD1"/>
    </sheetView>
  </sheetViews>
  <sheetFormatPr defaultRowHeight="15" x14ac:dyDescent="0.25"/>
  <cols>
    <col min="2" max="2" width="37.28515625" customWidth="1"/>
    <col min="3" max="5" width="13.7109375" customWidth="1"/>
  </cols>
  <sheetData>
    <row r="1" spans="1:11" ht="18.75" x14ac:dyDescent="0.3">
      <c r="A1" s="180" t="s">
        <v>1380</v>
      </c>
      <c r="B1" s="180"/>
      <c r="C1" s="180"/>
      <c r="D1" s="180"/>
      <c r="E1" s="180"/>
    </row>
    <row r="2" spans="1:11" ht="15.75" x14ac:dyDescent="0.25">
      <c r="A2" s="20"/>
      <c r="B2" s="20"/>
      <c r="C2" s="20"/>
      <c r="D2" s="20"/>
      <c r="E2" s="74" t="s">
        <v>1341</v>
      </c>
    </row>
    <row r="3" spans="1:11" ht="8.25" customHeight="1" x14ac:dyDescent="0.25">
      <c r="A3" s="20"/>
      <c r="B3" s="20"/>
      <c r="C3" s="20"/>
      <c r="D3" s="20"/>
      <c r="E3" s="20"/>
    </row>
    <row r="4" spans="1:11" ht="15.75" x14ac:dyDescent="0.25">
      <c r="A4" s="173" t="s">
        <v>1339</v>
      </c>
      <c r="B4" s="173" t="s">
        <v>1422</v>
      </c>
      <c r="C4" s="174" t="s">
        <v>1340</v>
      </c>
      <c r="D4" s="175"/>
      <c r="E4" s="176"/>
    </row>
    <row r="5" spans="1:11" ht="15.75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11" ht="25.5" customHeight="1" x14ac:dyDescent="0.25">
      <c r="A6" s="48"/>
      <c r="B6" s="26" t="s">
        <v>0</v>
      </c>
      <c r="C6" s="26">
        <v>127560</v>
      </c>
      <c r="D6" s="26">
        <v>61644</v>
      </c>
      <c r="E6" s="26">
        <v>65916</v>
      </c>
    </row>
    <row r="7" spans="1:11" ht="6.75" customHeight="1" x14ac:dyDescent="0.25">
      <c r="A7" s="23"/>
      <c r="B7" s="24"/>
      <c r="C7" s="24"/>
      <c r="D7" s="24"/>
      <c r="E7" s="24"/>
    </row>
    <row r="8" spans="1:11" ht="24.95" customHeight="1" x14ac:dyDescent="0.25">
      <c r="A8" s="23"/>
      <c r="B8" s="24" t="s">
        <v>1338</v>
      </c>
      <c r="C8" s="24">
        <f>SUM(C9:C17)</f>
        <v>39930</v>
      </c>
      <c r="D8" s="24">
        <f t="shared" ref="D8:E8" si="0">SUM(D9:D17)</f>
        <v>19111</v>
      </c>
      <c r="E8" s="24">
        <f t="shared" si="0"/>
        <v>20819</v>
      </c>
    </row>
    <row r="9" spans="1:11" s="10" customFormat="1" ht="24.95" customHeight="1" x14ac:dyDescent="0.25">
      <c r="A9" s="58">
        <v>1</v>
      </c>
      <c r="B9" s="27" t="s">
        <v>25</v>
      </c>
      <c r="C9" s="27">
        <v>8803</v>
      </c>
      <c r="D9" s="27">
        <v>4439</v>
      </c>
      <c r="E9" s="27">
        <v>4364</v>
      </c>
      <c r="I9"/>
      <c r="J9"/>
      <c r="K9"/>
    </row>
    <row r="10" spans="1:11" s="10" customFormat="1" ht="24.95" customHeight="1" x14ac:dyDescent="0.25">
      <c r="A10" s="58">
        <v>2</v>
      </c>
      <c r="B10" s="27" t="s">
        <v>26</v>
      </c>
      <c r="C10" s="27">
        <v>7672</v>
      </c>
      <c r="D10" s="27">
        <v>3671</v>
      </c>
      <c r="E10" s="27">
        <v>4001</v>
      </c>
      <c r="I10"/>
      <c r="J10"/>
      <c r="K10"/>
    </row>
    <row r="11" spans="1:11" s="10" customFormat="1" ht="24.95" customHeight="1" x14ac:dyDescent="0.25">
      <c r="A11" s="58">
        <v>3</v>
      </c>
      <c r="B11" s="27" t="s">
        <v>27</v>
      </c>
      <c r="C11" s="27">
        <v>2373</v>
      </c>
      <c r="D11" s="27">
        <v>1158</v>
      </c>
      <c r="E11" s="27">
        <v>1215</v>
      </c>
      <c r="I11"/>
      <c r="J11"/>
      <c r="K11"/>
    </row>
    <row r="12" spans="1:11" s="10" customFormat="1" ht="24.95" customHeight="1" x14ac:dyDescent="0.25">
      <c r="A12" s="58">
        <v>4</v>
      </c>
      <c r="B12" s="27" t="s">
        <v>28</v>
      </c>
      <c r="C12" s="27">
        <v>653</v>
      </c>
      <c r="D12" s="27">
        <v>300</v>
      </c>
      <c r="E12" s="27">
        <v>353</v>
      </c>
      <c r="I12"/>
      <c r="J12"/>
      <c r="K12"/>
    </row>
    <row r="13" spans="1:11" s="10" customFormat="1" ht="24.95" customHeight="1" x14ac:dyDescent="0.25">
      <c r="A13" s="58">
        <v>5</v>
      </c>
      <c r="B13" s="27" t="s">
        <v>29</v>
      </c>
      <c r="C13" s="27">
        <v>469</v>
      </c>
      <c r="D13" s="27">
        <v>211</v>
      </c>
      <c r="E13" s="27">
        <v>258</v>
      </c>
      <c r="I13"/>
      <c r="J13"/>
      <c r="K13"/>
    </row>
    <row r="14" spans="1:11" s="10" customFormat="1" ht="24.95" customHeight="1" x14ac:dyDescent="0.25">
      <c r="A14" s="58">
        <v>6</v>
      </c>
      <c r="B14" s="27" t="s">
        <v>30</v>
      </c>
      <c r="C14" s="27">
        <v>1059</v>
      </c>
      <c r="D14" s="27">
        <v>481</v>
      </c>
      <c r="E14" s="27">
        <v>578</v>
      </c>
      <c r="I14"/>
      <c r="J14"/>
      <c r="K14"/>
    </row>
    <row r="15" spans="1:11" s="10" customFormat="1" ht="24.95" customHeight="1" x14ac:dyDescent="0.25">
      <c r="A15" s="58">
        <v>7</v>
      </c>
      <c r="B15" s="27" t="s">
        <v>31</v>
      </c>
      <c r="C15" s="27">
        <v>5740</v>
      </c>
      <c r="D15" s="27">
        <v>2747</v>
      </c>
      <c r="E15" s="27">
        <v>2993</v>
      </c>
      <c r="I15"/>
      <c r="J15"/>
      <c r="K15"/>
    </row>
    <row r="16" spans="1:11" s="10" customFormat="1" ht="24.95" customHeight="1" x14ac:dyDescent="0.25">
      <c r="A16" s="58">
        <v>8</v>
      </c>
      <c r="B16" s="27" t="s">
        <v>32</v>
      </c>
      <c r="C16" s="27">
        <v>7919</v>
      </c>
      <c r="D16" s="27">
        <v>3695</v>
      </c>
      <c r="E16" s="27">
        <v>4224</v>
      </c>
      <c r="I16"/>
      <c r="J16"/>
      <c r="K16"/>
    </row>
    <row r="17" spans="1:11" s="10" customFormat="1" ht="24.95" customHeight="1" x14ac:dyDescent="0.25">
      <c r="A17" s="58">
        <v>9</v>
      </c>
      <c r="B17" s="27" t="s">
        <v>33</v>
      </c>
      <c r="C17" s="27">
        <v>5242</v>
      </c>
      <c r="D17" s="27">
        <v>2409</v>
      </c>
      <c r="E17" s="27">
        <v>2833</v>
      </c>
      <c r="I17"/>
      <c r="J17"/>
      <c r="K17"/>
    </row>
    <row r="18" spans="1:11" s="10" customFormat="1" ht="24.95" customHeight="1" x14ac:dyDescent="0.25">
      <c r="A18" s="58"/>
      <c r="B18" s="60" t="s">
        <v>1410</v>
      </c>
      <c r="C18" s="60">
        <f>SUM(C19:C59)</f>
        <v>87630</v>
      </c>
      <c r="D18" s="60">
        <f t="shared" ref="D18:E18" si="1">SUM(D19:D59)</f>
        <v>42533</v>
      </c>
      <c r="E18" s="60">
        <f t="shared" si="1"/>
        <v>45097</v>
      </c>
      <c r="I18"/>
      <c r="J18"/>
      <c r="K18"/>
    </row>
    <row r="19" spans="1:11" s="10" customFormat="1" ht="24.95" customHeight="1" x14ac:dyDescent="0.25">
      <c r="A19" s="58">
        <v>1</v>
      </c>
      <c r="B19" s="27" t="s">
        <v>857</v>
      </c>
      <c r="C19" s="27">
        <v>3811</v>
      </c>
      <c r="D19" s="27">
        <v>1893</v>
      </c>
      <c r="E19" s="27">
        <v>1918</v>
      </c>
      <c r="I19"/>
      <c r="J19"/>
      <c r="K19"/>
    </row>
    <row r="20" spans="1:11" s="10" customFormat="1" ht="24.95" customHeight="1" x14ac:dyDescent="0.25">
      <c r="A20" s="58">
        <v>2</v>
      </c>
      <c r="B20" s="27" t="s">
        <v>858</v>
      </c>
      <c r="C20" s="27">
        <v>3643</v>
      </c>
      <c r="D20" s="27">
        <v>1781</v>
      </c>
      <c r="E20" s="27">
        <v>1862</v>
      </c>
      <c r="I20"/>
      <c r="J20"/>
      <c r="K20"/>
    </row>
    <row r="21" spans="1:11" s="10" customFormat="1" ht="24.95" customHeight="1" x14ac:dyDescent="0.25">
      <c r="A21" s="58">
        <v>3</v>
      </c>
      <c r="B21" s="27" t="s">
        <v>859</v>
      </c>
      <c r="C21" s="27">
        <v>4496</v>
      </c>
      <c r="D21" s="27">
        <v>2126</v>
      </c>
      <c r="E21" s="27">
        <v>2370</v>
      </c>
      <c r="I21"/>
      <c r="J21"/>
      <c r="K21"/>
    </row>
    <row r="22" spans="1:11" s="10" customFormat="1" ht="24.95" customHeight="1" x14ac:dyDescent="0.25">
      <c r="A22" s="58">
        <v>4</v>
      </c>
      <c r="B22" s="27" t="s">
        <v>394</v>
      </c>
      <c r="C22" s="27">
        <v>2223</v>
      </c>
      <c r="D22" s="27">
        <v>1093</v>
      </c>
      <c r="E22" s="27">
        <v>1130</v>
      </c>
      <c r="I22"/>
      <c r="J22"/>
      <c r="K22"/>
    </row>
    <row r="23" spans="1:11" s="10" customFormat="1" ht="24.95" customHeight="1" x14ac:dyDescent="0.25">
      <c r="A23" s="58">
        <v>5</v>
      </c>
      <c r="B23" s="27" t="s">
        <v>860</v>
      </c>
      <c r="C23" s="27">
        <v>2037</v>
      </c>
      <c r="D23" s="27">
        <v>945</v>
      </c>
      <c r="E23" s="27">
        <v>1092</v>
      </c>
      <c r="I23"/>
      <c r="J23"/>
      <c r="K23"/>
    </row>
    <row r="24" spans="1:11" s="10" customFormat="1" ht="24.95" customHeight="1" x14ac:dyDescent="0.25">
      <c r="A24" s="58">
        <v>6</v>
      </c>
      <c r="B24" s="27" t="s">
        <v>861</v>
      </c>
      <c r="C24" s="27">
        <v>1556</v>
      </c>
      <c r="D24" s="27">
        <v>737</v>
      </c>
      <c r="E24" s="27">
        <v>819</v>
      </c>
      <c r="I24"/>
      <c r="J24"/>
      <c r="K24"/>
    </row>
    <row r="25" spans="1:11" s="10" customFormat="1" ht="24.95" customHeight="1" x14ac:dyDescent="0.25">
      <c r="A25" s="58">
        <v>7</v>
      </c>
      <c r="B25" s="27" t="s">
        <v>862</v>
      </c>
      <c r="C25" s="27">
        <v>3709</v>
      </c>
      <c r="D25" s="27">
        <v>2054</v>
      </c>
      <c r="E25" s="27">
        <v>1655</v>
      </c>
      <c r="I25"/>
      <c r="J25"/>
      <c r="K25"/>
    </row>
    <row r="26" spans="1:11" s="10" customFormat="1" ht="24.95" customHeight="1" x14ac:dyDescent="0.25">
      <c r="A26" s="58">
        <v>8</v>
      </c>
      <c r="B26" s="27" t="s">
        <v>863</v>
      </c>
      <c r="C26" s="27">
        <v>1529</v>
      </c>
      <c r="D26" s="27">
        <v>751</v>
      </c>
      <c r="E26" s="27">
        <v>778</v>
      </c>
      <c r="I26"/>
      <c r="J26"/>
      <c r="K26"/>
    </row>
    <row r="27" spans="1:11" s="10" customFormat="1" ht="24.95" customHeight="1" x14ac:dyDescent="0.25">
      <c r="A27" s="58">
        <v>9</v>
      </c>
      <c r="B27" s="27" t="s">
        <v>864</v>
      </c>
      <c r="C27" s="27">
        <v>2006</v>
      </c>
      <c r="D27" s="27">
        <v>1013</v>
      </c>
      <c r="E27" s="27">
        <v>993</v>
      </c>
      <c r="G27" s="11"/>
      <c r="I27"/>
      <c r="J27"/>
      <c r="K27"/>
    </row>
    <row r="28" spans="1:11" s="10" customFormat="1" ht="24.95" customHeight="1" x14ac:dyDescent="0.25">
      <c r="A28" s="58">
        <v>10</v>
      </c>
      <c r="B28" s="27" t="s">
        <v>865</v>
      </c>
      <c r="C28" s="27">
        <v>1183</v>
      </c>
      <c r="D28" s="27">
        <v>539</v>
      </c>
      <c r="E28" s="27">
        <v>644</v>
      </c>
      <c r="I28"/>
      <c r="J28"/>
      <c r="K28"/>
    </row>
    <row r="29" spans="1:11" s="10" customFormat="1" ht="24.95" customHeight="1" x14ac:dyDescent="0.25">
      <c r="A29" s="58">
        <v>11</v>
      </c>
      <c r="B29" s="27" t="s">
        <v>866</v>
      </c>
      <c r="C29" s="27">
        <v>3398</v>
      </c>
      <c r="D29" s="27">
        <v>1640</v>
      </c>
      <c r="E29" s="27">
        <v>1758</v>
      </c>
      <c r="I29"/>
      <c r="J29"/>
      <c r="K29"/>
    </row>
    <row r="30" spans="1:11" s="10" customFormat="1" ht="24.95" customHeight="1" x14ac:dyDescent="0.25">
      <c r="A30" s="58">
        <v>12</v>
      </c>
      <c r="B30" s="27" t="s">
        <v>867</v>
      </c>
      <c r="C30" s="27">
        <v>3804</v>
      </c>
      <c r="D30" s="27">
        <v>1836</v>
      </c>
      <c r="E30" s="27">
        <v>1968</v>
      </c>
      <c r="I30"/>
      <c r="J30"/>
      <c r="K30"/>
    </row>
    <row r="31" spans="1:11" s="10" customFormat="1" ht="24.95" customHeight="1" x14ac:dyDescent="0.25">
      <c r="A31" s="58">
        <v>13</v>
      </c>
      <c r="B31" s="27" t="s">
        <v>160</v>
      </c>
      <c r="C31" s="27">
        <v>2223</v>
      </c>
      <c r="D31" s="27">
        <v>1024</v>
      </c>
      <c r="E31" s="27">
        <v>1199</v>
      </c>
      <c r="I31"/>
      <c r="J31"/>
      <c r="K31"/>
    </row>
    <row r="32" spans="1:11" s="10" customFormat="1" ht="24.95" customHeight="1" x14ac:dyDescent="0.25">
      <c r="A32" s="58">
        <v>14</v>
      </c>
      <c r="B32" s="27" t="s">
        <v>868</v>
      </c>
      <c r="C32" s="27">
        <v>1124</v>
      </c>
      <c r="D32" s="27">
        <v>545</v>
      </c>
      <c r="E32" s="27">
        <v>579</v>
      </c>
      <c r="I32"/>
      <c r="J32"/>
      <c r="K32"/>
    </row>
    <row r="33" spans="1:11" s="10" customFormat="1" ht="24.95" customHeight="1" x14ac:dyDescent="0.25">
      <c r="A33" s="58">
        <v>15</v>
      </c>
      <c r="B33" s="27" t="s">
        <v>869</v>
      </c>
      <c r="C33" s="27">
        <v>1266</v>
      </c>
      <c r="D33" s="27">
        <v>607</v>
      </c>
      <c r="E33" s="27">
        <v>659</v>
      </c>
      <c r="I33"/>
      <c r="J33"/>
      <c r="K33"/>
    </row>
    <row r="34" spans="1:11" s="10" customFormat="1" ht="24.95" customHeight="1" x14ac:dyDescent="0.25">
      <c r="A34" s="58">
        <v>16</v>
      </c>
      <c r="B34" s="27" t="s">
        <v>870</v>
      </c>
      <c r="C34" s="27">
        <v>2632</v>
      </c>
      <c r="D34" s="27">
        <v>1302</v>
      </c>
      <c r="E34" s="27">
        <v>1330</v>
      </c>
      <c r="I34"/>
      <c r="J34"/>
      <c r="K34"/>
    </row>
    <row r="35" spans="1:11" s="10" customFormat="1" ht="24.95" customHeight="1" x14ac:dyDescent="0.25">
      <c r="A35" s="58">
        <v>17</v>
      </c>
      <c r="B35" s="27" t="s">
        <v>871</v>
      </c>
      <c r="C35" s="27">
        <v>4269</v>
      </c>
      <c r="D35" s="27">
        <v>2084</v>
      </c>
      <c r="E35" s="27">
        <v>2185</v>
      </c>
      <c r="I35"/>
      <c r="J35"/>
      <c r="K35"/>
    </row>
    <row r="36" spans="1:11" s="10" customFormat="1" ht="24.95" customHeight="1" x14ac:dyDescent="0.25">
      <c r="A36" s="58">
        <v>18</v>
      </c>
      <c r="B36" s="27" t="s">
        <v>872</v>
      </c>
      <c r="C36" s="27">
        <v>2058</v>
      </c>
      <c r="D36" s="27">
        <v>1050</v>
      </c>
      <c r="E36" s="27">
        <v>1008</v>
      </c>
      <c r="I36"/>
      <c r="J36"/>
      <c r="K36"/>
    </row>
    <row r="37" spans="1:11" s="10" customFormat="1" ht="24.95" customHeight="1" x14ac:dyDescent="0.25">
      <c r="A37" s="58">
        <v>19</v>
      </c>
      <c r="B37" s="27" t="s">
        <v>873</v>
      </c>
      <c r="C37" s="27">
        <v>2280</v>
      </c>
      <c r="D37" s="27">
        <v>1193</v>
      </c>
      <c r="E37" s="27">
        <v>1087</v>
      </c>
      <c r="I37"/>
      <c r="J37"/>
      <c r="K37"/>
    </row>
    <row r="38" spans="1:11" s="10" customFormat="1" ht="24.95" customHeight="1" x14ac:dyDescent="0.25">
      <c r="A38" s="58">
        <v>20</v>
      </c>
      <c r="B38" s="27" t="s">
        <v>874</v>
      </c>
      <c r="C38" s="27">
        <v>2510</v>
      </c>
      <c r="D38" s="27">
        <v>1206</v>
      </c>
      <c r="E38" s="27">
        <v>1304</v>
      </c>
      <c r="I38"/>
      <c r="J38"/>
      <c r="K38"/>
    </row>
    <row r="39" spans="1:11" s="10" customFormat="1" ht="24.95" customHeight="1" x14ac:dyDescent="0.25">
      <c r="A39" s="58">
        <v>21</v>
      </c>
      <c r="B39" s="27" t="s">
        <v>875</v>
      </c>
      <c r="C39" s="27">
        <v>2543</v>
      </c>
      <c r="D39" s="27">
        <v>1216</v>
      </c>
      <c r="E39" s="27">
        <v>1327</v>
      </c>
      <c r="I39"/>
      <c r="J39"/>
      <c r="K39"/>
    </row>
    <row r="40" spans="1:11" s="10" customFormat="1" ht="24.95" customHeight="1" x14ac:dyDescent="0.25">
      <c r="A40" s="58">
        <v>22</v>
      </c>
      <c r="B40" s="27" t="s">
        <v>876</v>
      </c>
      <c r="C40" s="27">
        <v>2517</v>
      </c>
      <c r="D40" s="27">
        <v>1263</v>
      </c>
      <c r="E40" s="27">
        <v>1254</v>
      </c>
      <c r="I40"/>
      <c r="J40"/>
      <c r="K40"/>
    </row>
    <row r="41" spans="1:11" s="10" customFormat="1" ht="24.95" customHeight="1" x14ac:dyDescent="0.25">
      <c r="A41" s="58">
        <v>23</v>
      </c>
      <c r="B41" s="27" t="s">
        <v>877</v>
      </c>
      <c r="C41" s="27">
        <v>1411</v>
      </c>
      <c r="D41" s="27">
        <v>704</v>
      </c>
      <c r="E41" s="27">
        <v>707</v>
      </c>
      <c r="I41"/>
      <c r="J41"/>
      <c r="K41"/>
    </row>
    <row r="42" spans="1:11" s="10" customFormat="1" ht="24.95" customHeight="1" x14ac:dyDescent="0.25">
      <c r="A42" s="58">
        <v>24</v>
      </c>
      <c r="B42" s="27" t="s">
        <v>878</v>
      </c>
      <c r="C42" s="27">
        <v>3186</v>
      </c>
      <c r="D42" s="27">
        <v>1436</v>
      </c>
      <c r="E42" s="27">
        <v>1750</v>
      </c>
      <c r="I42"/>
      <c r="J42"/>
      <c r="K42"/>
    </row>
    <row r="43" spans="1:11" s="10" customFormat="1" ht="24.95" customHeight="1" x14ac:dyDescent="0.25">
      <c r="A43" s="58">
        <v>25</v>
      </c>
      <c r="B43" s="27" t="s">
        <v>879</v>
      </c>
      <c r="C43" s="27">
        <v>2011</v>
      </c>
      <c r="D43" s="27">
        <v>869</v>
      </c>
      <c r="E43" s="27">
        <v>1142</v>
      </c>
      <c r="I43"/>
      <c r="J43"/>
      <c r="K43"/>
    </row>
    <row r="44" spans="1:11" s="10" customFormat="1" ht="24.95" customHeight="1" x14ac:dyDescent="0.25">
      <c r="A44" s="58">
        <v>26</v>
      </c>
      <c r="B44" s="27" t="s">
        <v>424</v>
      </c>
      <c r="C44" s="27">
        <v>1128</v>
      </c>
      <c r="D44" s="27">
        <v>507</v>
      </c>
      <c r="E44" s="27">
        <v>621</v>
      </c>
      <c r="I44"/>
      <c r="J44"/>
      <c r="K44"/>
    </row>
    <row r="45" spans="1:11" s="10" customFormat="1" ht="24.95" customHeight="1" x14ac:dyDescent="0.25">
      <c r="A45" s="58">
        <v>27</v>
      </c>
      <c r="B45" s="27" t="s">
        <v>312</v>
      </c>
      <c r="C45" s="27">
        <v>940</v>
      </c>
      <c r="D45" s="27">
        <v>431</v>
      </c>
      <c r="E45" s="27">
        <v>509</v>
      </c>
      <c r="I45"/>
      <c r="J45"/>
      <c r="K45"/>
    </row>
    <row r="46" spans="1:11" s="10" customFormat="1" ht="24.95" customHeight="1" x14ac:dyDescent="0.25">
      <c r="A46" s="58">
        <v>28</v>
      </c>
      <c r="B46" s="27" t="s">
        <v>880</v>
      </c>
      <c r="C46" s="27">
        <v>2256</v>
      </c>
      <c r="D46" s="27">
        <v>1075</v>
      </c>
      <c r="E46" s="27">
        <v>1181</v>
      </c>
      <c r="I46"/>
      <c r="J46"/>
      <c r="K46"/>
    </row>
    <row r="47" spans="1:11" s="10" customFormat="1" ht="24.95" customHeight="1" x14ac:dyDescent="0.25">
      <c r="A47" s="58">
        <v>29</v>
      </c>
      <c r="B47" s="27" t="s">
        <v>881</v>
      </c>
      <c r="C47" s="27">
        <v>983</v>
      </c>
      <c r="D47" s="27">
        <v>451</v>
      </c>
      <c r="E47" s="27">
        <v>532</v>
      </c>
      <c r="I47"/>
      <c r="J47"/>
      <c r="K47"/>
    </row>
    <row r="48" spans="1:11" s="10" customFormat="1" ht="24.95" customHeight="1" x14ac:dyDescent="0.25">
      <c r="A48" s="58">
        <v>30</v>
      </c>
      <c r="B48" s="27" t="s">
        <v>882</v>
      </c>
      <c r="C48" s="27">
        <v>2345</v>
      </c>
      <c r="D48" s="27">
        <v>1164</v>
      </c>
      <c r="E48" s="27">
        <v>1181</v>
      </c>
      <c r="I48"/>
      <c r="J48"/>
      <c r="K48"/>
    </row>
    <row r="49" spans="1:11" s="10" customFormat="1" ht="24.95" customHeight="1" x14ac:dyDescent="0.25">
      <c r="A49" s="58">
        <v>31</v>
      </c>
      <c r="B49" s="27" t="s">
        <v>883</v>
      </c>
      <c r="C49" s="27">
        <v>1558</v>
      </c>
      <c r="D49" s="27">
        <v>704</v>
      </c>
      <c r="E49" s="27">
        <v>854</v>
      </c>
      <c r="I49"/>
      <c r="J49"/>
      <c r="K49"/>
    </row>
    <row r="50" spans="1:11" s="10" customFormat="1" ht="24.95" customHeight="1" x14ac:dyDescent="0.25">
      <c r="A50" s="58">
        <v>32</v>
      </c>
      <c r="B50" s="27" t="s">
        <v>884</v>
      </c>
      <c r="C50" s="27">
        <v>1644</v>
      </c>
      <c r="D50" s="27">
        <v>764</v>
      </c>
      <c r="E50" s="27">
        <v>880</v>
      </c>
      <c r="I50"/>
      <c r="J50"/>
      <c r="K50"/>
    </row>
    <row r="51" spans="1:11" s="10" customFormat="1" ht="24.95" customHeight="1" x14ac:dyDescent="0.25">
      <c r="A51" s="58">
        <v>33</v>
      </c>
      <c r="B51" s="27" t="s">
        <v>885</v>
      </c>
      <c r="C51" s="27">
        <v>974</v>
      </c>
      <c r="D51" s="27">
        <v>469</v>
      </c>
      <c r="E51" s="27">
        <v>505</v>
      </c>
      <c r="I51"/>
      <c r="J51"/>
      <c r="K51"/>
    </row>
    <row r="52" spans="1:11" s="10" customFormat="1" ht="24.95" customHeight="1" x14ac:dyDescent="0.25">
      <c r="A52" s="58">
        <v>34</v>
      </c>
      <c r="B52" s="27" t="s">
        <v>886</v>
      </c>
      <c r="C52" s="27">
        <v>1784</v>
      </c>
      <c r="D52" s="27">
        <v>858</v>
      </c>
      <c r="E52" s="27">
        <v>926</v>
      </c>
      <c r="I52"/>
      <c r="J52"/>
      <c r="K52"/>
    </row>
    <row r="53" spans="1:11" s="10" customFormat="1" ht="24.95" customHeight="1" x14ac:dyDescent="0.25">
      <c r="A53" s="58">
        <v>35</v>
      </c>
      <c r="B53" s="27" t="s">
        <v>887</v>
      </c>
      <c r="C53" s="27">
        <v>619</v>
      </c>
      <c r="D53" s="27">
        <v>284</v>
      </c>
      <c r="E53" s="27">
        <v>335</v>
      </c>
      <c r="I53"/>
      <c r="J53"/>
      <c r="K53"/>
    </row>
    <row r="54" spans="1:11" s="10" customFormat="1" ht="24.95" customHeight="1" x14ac:dyDescent="0.25">
      <c r="A54" s="58">
        <v>36</v>
      </c>
      <c r="B54" s="27" t="s">
        <v>888</v>
      </c>
      <c r="C54" s="27">
        <v>1009</v>
      </c>
      <c r="D54" s="27">
        <v>474</v>
      </c>
      <c r="E54" s="27">
        <v>535</v>
      </c>
      <c r="I54"/>
      <c r="J54"/>
      <c r="K54"/>
    </row>
    <row r="55" spans="1:11" s="10" customFormat="1" ht="24.95" customHeight="1" x14ac:dyDescent="0.25">
      <c r="A55" s="58">
        <v>37</v>
      </c>
      <c r="B55" s="27" t="s">
        <v>889</v>
      </c>
      <c r="C55" s="27">
        <v>328</v>
      </c>
      <c r="D55" s="27">
        <v>153</v>
      </c>
      <c r="E55" s="27">
        <v>175</v>
      </c>
      <c r="I55"/>
      <c r="J55"/>
      <c r="K55"/>
    </row>
    <row r="56" spans="1:11" s="10" customFormat="1" ht="24.95" customHeight="1" x14ac:dyDescent="0.25">
      <c r="A56" s="58">
        <v>38</v>
      </c>
      <c r="B56" s="27" t="s">
        <v>890</v>
      </c>
      <c r="C56" s="27">
        <v>1429</v>
      </c>
      <c r="D56" s="27">
        <v>674</v>
      </c>
      <c r="E56" s="27">
        <v>755</v>
      </c>
      <c r="I56"/>
      <c r="J56"/>
      <c r="K56"/>
    </row>
    <row r="57" spans="1:11" s="10" customFormat="1" ht="24.95" customHeight="1" x14ac:dyDescent="0.25">
      <c r="A57" s="58">
        <v>39</v>
      </c>
      <c r="B57" s="27" t="s">
        <v>891</v>
      </c>
      <c r="C57" s="27">
        <v>1066</v>
      </c>
      <c r="D57" s="27">
        <v>516</v>
      </c>
      <c r="E57" s="27">
        <v>550</v>
      </c>
      <c r="I57"/>
      <c r="J57"/>
      <c r="K57"/>
    </row>
    <row r="58" spans="1:11" s="10" customFormat="1" ht="24.95" customHeight="1" x14ac:dyDescent="0.25">
      <c r="A58" s="58">
        <v>40</v>
      </c>
      <c r="B58" s="27" t="s">
        <v>892</v>
      </c>
      <c r="C58" s="27">
        <v>2536</v>
      </c>
      <c r="D58" s="27">
        <v>1201</v>
      </c>
      <c r="E58" s="27">
        <v>1335</v>
      </c>
      <c r="I58"/>
      <c r="J58"/>
      <c r="K58"/>
    </row>
    <row r="59" spans="1:11" s="10" customFormat="1" ht="24.95" customHeight="1" x14ac:dyDescent="0.25">
      <c r="A59" s="59">
        <v>41</v>
      </c>
      <c r="B59" s="29" t="s">
        <v>893</v>
      </c>
      <c r="C59" s="29">
        <v>3606</v>
      </c>
      <c r="D59" s="29">
        <v>1901</v>
      </c>
      <c r="E59" s="29">
        <v>1705</v>
      </c>
      <c r="I59"/>
      <c r="J59"/>
      <c r="K59"/>
    </row>
    <row r="60" spans="1:11" s="10" customFormat="1" x14ac:dyDescent="0.25"/>
    <row r="61" spans="1:11" s="10" customFormat="1" x14ac:dyDescent="0.25"/>
  </sheetData>
  <mergeCells count="4">
    <mergeCell ref="A1:E1"/>
    <mergeCell ref="A4:A5"/>
    <mergeCell ref="B4:B5"/>
    <mergeCell ref="C4:E4"/>
  </mergeCells>
  <hyperlinks>
    <hyperlink ref="A1:E1" location="'Link of Township'!A1" display="Shan State, Kyaukme District,  KyaukmeTownship"/>
  </hyperlinks>
  <pageMargins left="0.75" right="0.5" top="0.5" bottom="0.2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workbookViewId="0">
      <selection sqref="A1:XFD5"/>
    </sheetView>
  </sheetViews>
  <sheetFormatPr defaultRowHeight="15" x14ac:dyDescent="0.25"/>
  <cols>
    <col min="2" max="2" width="26.28515625" customWidth="1"/>
    <col min="3" max="5" width="15.7109375" customWidth="1"/>
  </cols>
  <sheetData>
    <row r="1" spans="1:5" ht="18.75" x14ac:dyDescent="0.3">
      <c r="A1" s="180" t="s">
        <v>1381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15.75" x14ac:dyDescent="0.25">
      <c r="A3" s="20"/>
      <c r="B3" s="20"/>
      <c r="C3" s="20"/>
      <c r="D3" s="20"/>
      <c r="E3" s="20"/>
    </row>
    <row r="4" spans="1:5" ht="15.75" x14ac:dyDescent="0.25">
      <c r="A4" s="173" t="s">
        <v>1339</v>
      </c>
      <c r="B4" s="173" t="s">
        <v>1422</v>
      </c>
      <c r="C4" s="174" t="s">
        <v>1340</v>
      </c>
      <c r="D4" s="175"/>
      <c r="E4" s="176"/>
    </row>
    <row r="5" spans="1:5" ht="15.75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5" ht="23.25" customHeight="1" x14ac:dyDescent="0.25">
      <c r="A6" s="48"/>
      <c r="B6" s="26" t="s">
        <v>0</v>
      </c>
      <c r="C6" s="26">
        <v>149842</v>
      </c>
      <c r="D6" s="26">
        <v>75761</v>
      </c>
      <c r="E6" s="26">
        <v>74081</v>
      </c>
    </row>
    <row r="7" spans="1:5" ht="12" customHeight="1" x14ac:dyDescent="0.25">
      <c r="A7" s="23"/>
      <c r="B7" s="24"/>
      <c r="C7" s="24"/>
      <c r="D7" s="24"/>
      <c r="E7" s="24"/>
    </row>
    <row r="8" spans="1:5" ht="24.95" customHeight="1" x14ac:dyDescent="0.25">
      <c r="A8" s="23"/>
      <c r="B8" s="24" t="s">
        <v>1338</v>
      </c>
      <c r="C8" s="24">
        <f>SUM(C9:C14)</f>
        <v>18822</v>
      </c>
      <c r="D8" s="24">
        <f t="shared" ref="D8:E8" si="0">SUM(D9:D14)</f>
        <v>9093</v>
      </c>
      <c r="E8" s="24">
        <f t="shared" si="0"/>
        <v>9729</v>
      </c>
    </row>
    <row r="9" spans="1:5" ht="24.95" customHeight="1" x14ac:dyDescent="0.25">
      <c r="A9" s="23">
        <v>1</v>
      </c>
      <c r="B9" s="27" t="s">
        <v>389</v>
      </c>
      <c r="C9" s="27">
        <v>3737</v>
      </c>
      <c r="D9" s="27">
        <v>1709</v>
      </c>
      <c r="E9" s="27">
        <v>2028</v>
      </c>
    </row>
    <row r="10" spans="1:5" ht="24.95" customHeight="1" x14ac:dyDescent="0.25">
      <c r="A10" s="23">
        <v>2</v>
      </c>
      <c r="B10" s="27" t="s">
        <v>894</v>
      </c>
      <c r="C10" s="27">
        <v>6801</v>
      </c>
      <c r="D10" s="27">
        <v>3280</v>
      </c>
      <c r="E10" s="27">
        <v>3521</v>
      </c>
    </row>
    <row r="11" spans="1:5" ht="24.95" customHeight="1" x14ac:dyDescent="0.25">
      <c r="A11" s="23">
        <v>3</v>
      </c>
      <c r="B11" s="27" t="s">
        <v>110</v>
      </c>
      <c r="C11" s="27">
        <v>5160</v>
      </c>
      <c r="D11" s="27">
        <v>2545</v>
      </c>
      <c r="E11" s="27">
        <v>2615</v>
      </c>
    </row>
    <row r="12" spans="1:5" ht="24.95" customHeight="1" x14ac:dyDescent="0.25">
      <c r="A12" s="23">
        <v>4</v>
      </c>
      <c r="B12" s="27" t="s">
        <v>895</v>
      </c>
      <c r="C12" s="27">
        <v>2315</v>
      </c>
      <c r="D12" s="27">
        <v>1141</v>
      </c>
      <c r="E12" s="27">
        <v>1174</v>
      </c>
    </row>
    <row r="13" spans="1:5" ht="24.95" customHeight="1" x14ac:dyDescent="0.25">
      <c r="A13" s="23">
        <v>5</v>
      </c>
      <c r="B13" s="27" t="s">
        <v>896</v>
      </c>
      <c r="C13" s="27">
        <v>584</v>
      </c>
      <c r="D13" s="27">
        <v>298</v>
      </c>
      <c r="E13" s="27">
        <v>286</v>
      </c>
    </row>
    <row r="14" spans="1:5" ht="24.95" customHeight="1" x14ac:dyDescent="0.25">
      <c r="A14" s="23">
        <v>6</v>
      </c>
      <c r="B14" s="27" t="s">
        <v>897</v>
      </c>
      <c r="C14" s="27">
        <v>225</v>
      </c>
      <c r="D14" s="27">
        <v>120</v>
      </c>
      <c r="E14" s="27">
        <v>105</v>
      </c>
    </row>
    <row r="15" spans="1:5" ht="24.95" customHeight="1" x14ac:dyDescent="0.25">
      <c r="A15" s="23"/>
      <c r="B15" s="24" t="s">
        <v>1410</v>
      </c>
      <c r="C15" s="24">
        <f>SUM(C16:C50)</f>
        <v>131020</v>
      </c>
      <c r="D15" s="24">
        <f t="shared" ref="D15:E15" si="1">SUM(D16:D50)</f>
        <v>66668</v>
      </c>
      <c r="E15" s="24">
        <f t="shared" si="1"/>
        <v>64352</v>
      </c>
    </row>
    <row r="16" spans="1:5" ht="24.95" customHeight="1" x14ac:dyDescent="0.25">
      <c r="A16" s="23">
        <v>1</v>
      </c>
      <c r="B16" s="27" t="s">
        <v>898</v>
      </c>
      <c r="C16" s="27">
        <v>2334</v>
      </c>
      <c r="D16" s="27">
        <v>1132</v>
      </c>
      <c r="E16" s="27">
        <v>1202</v>
      </c>
    </row>
    <row r="17" spans="1:5" ht="24.95" customHeight="1" x14ac:dyDescent="0.25">
      <c r="A17" s="23">
        <v>2</v>
      </c>
      <c r="B17" s="27" t="s">
        <v>899</v>
      </c>
      <c r="C17" s="27">
        <v>7057</v>
      </c>
      <c r="D17" s="27">
        <v>3955</v>
      </c>
      <c r="E17" s="27">
        <v>3102</v>
      </c>
    </row>
    <row r="18" spans="1:5" ht="24.95" customHeight="1" x14ac:dyDescent="0.25">
      <c r="A18" s="23">
        <v>3</v>
      </c>
      <c r="B18" s="27" t="s">
        <v>900</v>
      </c>
      <c r="C18" s="27">
        <v>2595</v>
      </c>
      <c r="D18" s="27">
        <v>1265</v>
      </c>
      <c r="E18" s="27">
        <v>1330</v>
      </c>
    </row>
    <row r="19" spans="1:5" ht="24.95" customHeight="1" x14ac:dyDescent="0.25">
      <c r="A19" s="23">
        <v>4</v>
      </c>
      <c r="B19" s="27" t="s">
        <v>901</v>
      </c>
      <c r="C19" s="27">
        <v>3048</v>
      </c>
      <c r="D19" s="27">
        <v>1485</v>
      </c>
      <c r="E19" s="27">
        <v>1563</v>
      </c>
    </row>
    <row r="20" spans="1:5" ht="24.95" customHeight="1" x14ac:dyDescent="0.25">
      <c r="A20" s="23">
        <v>5</v>
      </c>
      <c r="B20" s="27" t="s">
        <v>554</v>
      </c>
      <c r="C20" s="27">
        <v>4651</v>
      </c>
      <c r="D20" s="27">
        <v>2303</v>
      </c>
      <c r="E20" s="27">
        <v>2348</v>
      </c>
    </row>
    <row r="21" spans="1:5" ht="24.95" customHeight="1" x14ac:dyDescent="0.25">
      <c r="A21" s="23">
        <v>6</v>
      </c>
      <c r="B21" s="27" t="s">
        <v>902</v>
      </c>
      <c r="C21" s="27">
        <v>3840</v>
      </c>
      <c r="D21" s="27">
        <v>1883</v>
      </c>
      <c r="E21" s="27">
        <v>1957</v>
      </c>
    </row>
    <row r="22" spans="1:5" ht="24.95" customHeight="1" x14ac:dyDescent="0.25">
      <c r="A22" s="23">
        <v>7</v>
      </c>
      <c r="B22" s="27" t="s">
        <v>903</v>
      </c>
      <c r="C22" s="27">
        <v>4674</v>
      </c>
      <c r="D22" s="27">
        <v>2224</v>
      </c>
      <c r="E22" s="27">
        <v>2450</v>
      </c>
    </row>
    <row r="23" spans="1:5" ht="24.95" customHeight="1" x14ac:dyDescent="0.25">
      <c r="A23" s="23">
        <v>8</v>
      </c>
      <c r="B23" s="27" t="s">
        <v>904</v>
      </c>
      <c r="C23" s="27">
        <v>2806</v>
      </c>
      <c r="D23" s="27">
        <v>1296</v>
      </c>
      <c r="E23" s="27">
        <v>1510</v>
      </c>
    </row>
    <row r="24" spans="1:5" ht="24.95" customHeight="1" x14ac:dyDescent="0.25">
      <c r="A24" s="23">
        <v>9</v>
      </c>
      <c r="B24" s="27" t="s">
        <v>202</v>
      </c>
      <c r="C24" s="27">
        <v>5300</v>
      </c>
      <c r="D24" s="27">
        <v>2669</v>
      </c>
      <c r="E24" s="27">
        <v>2631</v>
      </c>
    </row>
    <row r="25" spans="1:5" ht="24.95" customHeight="1" x14ac:dyDescent="0.25">
      <c r="A25" s="23">
        <v>10</v>
      </c>
      <c r="B25" s="27" t="s">
        <v>905</v>
      </c>
      <c r="C25" s="27">
        <v>1775</v>
      </c>
      <c r="D25" s="27">
        <v>869</v>
      </c>
      <c r="E25" s="27">
        <v>906</v>
      </c>
    </row>
    <row r="26" spans="1:5" ht="24.95" customHeight="1" x14ac:dyDescent="0.25">
      <c r="A26" s="23">
        <v>11</v>
      </c>
      <c r="B26" s="27" t="s">
        <v>89</v>
      </c>
      <c r="C26" s="27">
        <v>4526</v>
      </c>
      <c r="D26" s="27">
        <v>2159</v>
      </c>
      <c r="E26" s="27">
        <v>2367</v>
      </c>
    </row>
    <row r="27" spans="1:5" ht="24.95" customHeight="1" x14ac:dyDescent="0.25">
      <c r="A27" s="23">
        <v>12</v>
      </c>
      <c r="B27" s="27" t="s">
        <v>906</v>
      </c>
      <c r="C27" s="27">
        <v>3145</v>
      </c>
      <c r="D27" s="27">
        <v>1565</v>
      </c>
      <c r="E27" s="27">
        <v>1580</v>
      </c>
    </row>
    <row r="28" spans="1:5" ht="24.95" customHeight="1" x14ac:dyDescent="0.25">
      <c r="A28" s="23">
        <v>13</v>
      </c>
      <c r="B28" s="27" t="s">
        <v>907</v>
      </c>
      <c r="C28" s="27">
        <v>3053</v>
      </c>
      <c r="D28" s="27">
        <v>1522</v>
      </c>
      <c r="E28" s="27">
        <v>1531</v>
      </c>
    </row>
    <row r="29" spans="1:5" ht="24.95" customHeight="1" x14ac:dyDescent="0.25">
      <c r="A29" s="23">
        <v>14</v>
      </c>
      <c r="B29" s="27" t="s">
        <v>908</v>
      </c>
      <c r="C29" s="27">
        <v>6979</v>
      </c>
      <c r="D29" s="27">
        <v>3533</v>
      </c>
      <c r="E29" s="27">
        <v>3446</v>
      </c>
    </row>
    <row r="30" spans="1:5" ht="24.95" customHeight="1" x14ac:dyDescent="0.25">
      <c r="A30" s="23">
        <v>15</v>
      </c>
      <c r="B30" s="27" t="s">
        <v>909</v>
      </c>
      <c r="C30" s="27">
        <v>7105</v>
      </c>
      <c r="D30" s="27">
        <v>3535</v>
      </c>
      <c r="E30" s="27">
        <v>3570</v>
      </c>
    </row>
    <row r="31" spans="1:5" ht="24.95" customHeight="1" x14ac:dyDescent="0.25">
      <c r="A31" s="23">
        <v>16</v>
      </c>
      <c r="B31" s="27" t="s">
        <v>910</v>
      </c>
      <c r="C31" s="27">
        <v>4093</v>
      </c>
      <c r="D31" s="27">
        <v>2077</v>
      </c>
      <c r="E31" s="27">
        <v>2016</v>
      </c>
    </row>
    <row r="32" spans="1:5" ht="24.95" customHeight="1" x14ac:dyDescent="0.25">
      <c r="A32" s="23">
        <v>17</v>
      </c>
      <c r="B32" s="27" t="s">
        <v>911</v>
      </c>
      <c r="C32" s="27">
        <v>2448</v>
      </c>
      <c r="D32" s="27">
        <v>1168</v>
      </c>
      <c r="E32" s="27">
        <v>1280</v>
      </c>
    </row>
    <row r="33" spans="1:5" ht="24.95" customHeight="1" x14ac:dyDescent="0.25">
      <c r="A33" s="23">
        <v>18</v>
      </c>
      <c r="B33" s="27" t="s">
        <v>912</v>
      </c>
      <c r="C33" s="27">
        <v>7450</v>
      </c>
      <c r="D33" s="27">
        <v>3705</v>
      </c>
      <c r="E33" s="27">
        <v>3745</v>
      </c>
    </row>
    <row r="34" spans="1:5" ht="24.95" customHeight="1" x14ac:dyDescent="0.25">
      <c r="A34" s="23">
        <v>19</v>
      </c>
      <c r="B34" s="27" t="s">
        <v>913</v>
      </c>
      <c r="C34" s="27">
        <v>4547</v>
      </c>
      <c r="D34" s="27">
        <v>2483</v>
      </c>
      <c r="E34" s="27">
        <v>2064</v>
      </c>
    </row>
    <row r="35" spans="1:5" ht="24.95" customHeight="1" x14ac:dyDescent="0.25">
      <c r="A35" s="23">
        <v>20</v>
      </c>
      <c r="B35" s="27" t="s">
        <v>914</v>
      </c>
      <c r="C35" s="27">
        <v>6542</v>
      </c>
      <c r="D35" s="27">
        <v>3275</v>
      </c>
      <c r="E35" s="27">
        <v>3267</v>
      </c>
    </row>
    <row r="36" spans="1:5" ht="24.95" customHeight="1" x14ac:dyDescent="0.25">
      <c r="A36" s="23">
        <v>21</v>
      </c>
      <c r="B36" s="27" t="s">
        <v>915</v>
      </c>
      <c r="C36" s="27">
        <v>2191</v>
      </c>
      <c r="D36" s="27">
        <v>1080</v>
      </c>
      <c r="E36" s="27">
        <v>1111</v>
      </c>
    </row>
    <row r="37" spans="1:5" ht="24.95" customHeight="1" x14ac:dyDescent="0.25">
      <c r="A37" s="23">
        <v>22</v>
      </c>
      <c r="B37" s="27" t="s">
        <v>916</v>
      </c>
      <c r="C37" s="27">
        <v>3131</v>
      </c>
      <c r="D37" s="27">
        <v>1612</v>
      </c>
      <c r="E37" s="27">
        <v>1519</v>
      </c>
    </row>
    <row r="38" spans="1:5" ht="24.95" customHeight="1" x14ac:dyDescent="0.25">
      <c r="A38" s="23">
        <v>23</v>
      </c>
      <c r="B38" s="27" t="s">
        <v>917</v>
      </c>
      <c r="C38" s="27">
        <v>1282</v>
      </c>
      <c r="D38" s="27">
        <v>628</v>
      </c>
      <c r="E38" s="27">
        <v>654</v>
      </c>
    </row>
    <row r="39" spans="1:5" ht="24.95" customHeight="1" x14ac:dyDescent="0.25">
      <c r="A39" s="23">
        <v>24</v>
      </c>
      <c r="B39" s="27" t="s">
        <v>918</v>
      </c>
      <c r="C39" s="27">
        <v>2698</v>
      </c>
      <c r="D39" s="27">
        <v>1362</v>
      </c>
      <c r="E39" s="27">
        <v>1336</v>
      </c>
    </row>
    <row r="40" spans="1:5" ht="24.95" customHeight="1" x14ac:dyDescent="0.25">
      <c r="A40" s="23">
        <v>25</v>
      </c>
      <c r="B40" s="27" t="s">
        <v>919</v>
      </c>
      <c r="C40" s="27">
        <v>1165</v>
      </c>
      <c r="D40" s="27">
        <v>585</v>
      </c>
      <c r="E40" s="27">
        <v>580</v>
      </c>
    </row>
    <row r="41" spans="1:5" ht="24.95" customHeight="1" x14ac:dyDescent="0.25">
      <c r="A41" s="23">
        <v>26</v>
      </c>
      <c r="B41" s="27" t="s">
        <v>920</v>
      </c>
      <c r="C41" s="27">
        <v>2535</v>
      </c>
      <c r="D41" s="27">
        <v>1246</v>
      </c>
      <c r="E41" s="27">
        <v>1289</v>
      </c>
    </row>
    <row r="42" spans="1:5" ht="24.95" customHeight="1" x14ac:dyDescent="0.25">
      <c r="A42" s="23">
        <v>27</v>
      </c>
      <c r="B42" s="27" t="s">
        <v>921</v>
      </c>
      <c r="C42" s="27">
        <v>4431</v>
      </c>
      <c r="D42" s="27">
        <v>2321</v>
      </c>
      <c r="E42" s="27">
        <v>2110</v>
      </c>
    </row>
    <row r="43" spans="1:5" ht="24.95" customHeight="1" x14ac:dyDescent="0.25">
      <c r="A43" s="23">
        <v>28</v>
      </c>
      <c r="B43" s="27" t="s">
        <v>922</v>
      </c>
      <c r="C43" s="27">
        <v>1765</v>
      </c>
      <c r="D43" s="27">
        <v>868</v>
      </c>
      <c r="E43" s="27">
        <v>897</v>
      </c>
    </row>
    <row r="44" spans="1:5" ht="24.95" customHeight="1" x14ac:dyDescent="0.25">
      <c r="A44" s="23">
        <v>29</v>
      </c>
      <c r="B44" s="27" t="s">
        <v>923</v>
      </c>
      <c r="C44" s="27">
        <v>1894</v>
      </c>
      <c r="D44" s="27">
        <v>986</v>
      </c>
      <c r="E44" s="27">
        <v>908</v>
      </c>
    </row>
    <row r="45" spans="1:5" ht="24.95" customHeight="1" x14ac:dyDescent="0.25">
      <c r="A45" s="23">
        <v>30</v>
      </c>
      <c r="B45" s="27" t="s">
        <v>924</v>
      </c>
      <c r="C45" s="27">
        <v>5262</v>
      </c>
      <c r="D45" s="27">
        <v>3454</v>
      </c>
      <c r="E45" s="27">
        <v>1808</v>
      </c>
    </row>
    <row r="46" spans="1:5" ht="24.95" customHeight="1" x14ac:dyDescent="0.25">
      <c r="A46" s="23">
        <v>31</v>
      </c>
      <c r="B46" s="27" t="s">
        <v>925</v>
      </c>
      <c r="C46" s="27">
        <v>3669</v>
      </c>
      <c r="D46" s="27">
        <v>1861</v>
      </c>
      <c r="E46" s="27">
        <v>1808</v>
      </c>
    </row>
    <row r="47" spans="1:5" ht="24.95" customHeight="1" x14ac:dyDescent="0.25">
      <c r="A47" s="23">
        <v>32</v>
      </c>
      <c r="B47" s="27" t="s">
        <v>926</v>
      </c>
      <c r="C47" s="27">
        <v>2528</v>
      </c>
      <c r="D47" s="27">
        <v>1283</v>
      </c>
      <c r="E47" s="27">
        <v>1245</v>
      </c>
    </row>
    <row r="48" spans="1:5" ht="24.95" customHeight="1" x14ac:dyDescent="0.25">
      <c r="A48" s="23">
        <v>33</v>
      </c>
      <c r="B48" s="27" t="s">
        <v>927</v>
      </c>
      <c r="C48" s="27">
        <v>2813</v>
      </c>
      <c r="D48" s="27">
        <v>1472</v>
      </c>
      <c r="E48" s="27">
        <v>1341</v>
      </c>
    </row>
    <row r="49" spans="1:5" ht="24.95" customHeight="1" x14ac:dyDescent="0.25">
      <c r="A49" s="23">
        <v>34</v>
      </c>
      <c r="B49" s="27" t="s">
        <v>208</v>
      </c>
      <c r="C49" s="27">
        <v>4634</v>
      </c>
      <c r="D49" s="27">
        <v>2285</v>
      </c>
      <c r="E49" s="27">
        <v>2349</v>
      </c>
    </row>
    <row r="50" spans="1:5" ht="24.95" customHeight="1" x14ac:dyDescent="0.25">
      <c r="A50" s="28">
        <v>35</v>
      </c>
      <c r="B50" s="29" t="s">
        <v>928</v>
      </c>
      <c r="C50" s="29">
        <v>3054</v>
      </c>
      <c r="D50" s="29">
        <v>1522</v>
      </c>
      <c r="E50" s="29">
        <v>1532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Kyaukme District,  Naungkhio Township"/>
  </hyperlinks>
  <pageMargins left="0.75" right="0.5" top="0.5" bottom="0.2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workbookViewId="0">
      <selection sqref="A1:XFD1"/>
    </sheetView>
  </sheetViews>
  <sheetFormatPr defaultRowHeight="15" x14ac:dyDescent="0.25"/>
  <cols>
    <col min="2" max="2" width="29.85546875" customWidth="1"/>
    <col min="3" max="5" width="15.7109375" customWidth="1"/>
  </cols>
  <sheetData>
    <row r="1" spans="1:5" ht="18.75" x14ac:dyDescent="0.3">
      <c r="A1" s="180" t="s">
        <v>1421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15.75" x14ac:dyDescent="0.25">
      <c r="A3" s="20"/>
      <c r="B3" s="20"/>
      <c r="C3" s="20"/>
      <c r="D3" s="20"/>
      <c r="E3" s="20"/>
    </row>
    <row r="4" spans="1:5" ht="15.75" x14ac:dyDescent="0.25">
      <c r="A4" s="173" t="s">
        <v>1339</v>
      </c>
      <c r="B4" s="181" t="s">
        <v>1422</v>
      </c>
      <c r="C4" s="174" t="s">
        <v>1340</v>
      </c>
      <c r="D4" s="175"/>
      <c r="E4" s="176"/>
    </row>
    <row r="5" spans="1:5" ht="15.75" x14ac:dyDescent="0.25">
      <c r="A5" s="181"/>
      <c r="B5" s="182"/>
      <c r="C5" s="65" t="s">
        <v>0</v>
      </c>
      <c r="D5" s="65" t="s">
        <v>1</v>
      </c>
      <c r="E5" s="65" t="s">
        <v>2</v>
      </c>
    </row>
    <row r="6" spans="1:5" ht="22.5" customHeight="1" x14ac:dyDescent="0.25">
      <c r="A6" s="48"/>
      <c r="B6" s="26" t="s">
        <v>0</v>
      </c>
      <c r="C6" s="26">
        <v>176158</v>
      </c>
      <c r="D6" s="26">
        <v>85836</v>
      </c>
      <c r="E6" s="26">
        <v>90322</v>
      </c>
    </row>
    <row r="7" spans="1:5" ht="8.25" customHeight="1" x14ac:dyDescent="0.25">
      <c r="A7" s="23"/>
      <c r="B7" s="24"/>
      <c r="C7" s="24"/>
      <c r="D7" s="24"/>
      <c r="E7" s="24"/>
    </row>
    <row r="8" spans="1:5" ht="21.95" customHeight="1" x14ac:dyDescent="0.25">
      <c r="A8" s="23"/>
      <c r="B8" s="24" t="s">
        <v>1338</v>
      </c>
      <c r="C8" s="24">
        <f>SUM(C9:C19)</f>
        <v>20897</v>
      </c>
      <c r="D8" s="24">
        <f t="shared" ref="D8:E8" si="0">SUM(D9:D19)</f>
        <v>10202</v>
      </c>
      <c r="E8" s="24">
        <f t="shared" si="0"/>
        <v>10695</v>
      </c>
    </row>
    <row r="9" spans="1:5" ht="21.95" customHeight="1" x14ac:dyDescent="0.25">
      <c r="A9" s="23">
        <v>1</v>
      </c>
      <c r="B9" s="27" t="s">
        <v>929</v>
      </c>
      <c r="C9" s="27">
        <v>2257</v>
      </c>
      <c r="D9" s="27">
        <v>1058</v>
      </c>
      <c r="E9" s="27">
        <v>1199</v>
      </c>
    </row>
    <row r="10" spans="1:5" ht="21.95" customHeight="1" x14ac:dyDescent="0.25">
      <c r="A10" s="23">
        <v>2</v>
      </c>
      <c r="B10" s="27" t="s">
        <v>67</v>
      </c>
      <c r="C10" s="27">
        <v>2227</v>
      </c>
      <c r="D10" s="27">
        <v>1067</v>
      </c>
      <c r="E10" s="27">
        <v>1160</v>
      </c>
    </row>
    <row r="11" spans="1:5" ht="21.95" customHeight="1" x14ac:dyDescent="0.25">
      <c r="A11" s="23">
        <v>3</v>
      </c>
      <c r="B11" s="27" t="s">
        <v>109</v>
      </c>
      <c r="C11" s="27">
        <v>1571</v>
      </c>
      <c r="D11" s="27">
        <v>717</v>
      </c>
      <c r="E11" s="27">
        <v>854</v>
      </c>
    </row>
    <row r="12" spans="1:5" ht="21.95" customHeight="1" x14ac:dyDescent="0.25">
      <c r="A12" s="23">
        <v>4</v>
      </c>
      <c r="B12" s="27" t="s">
        <v>389</v>
      </c>
      <c r="C12" s="27">
        <v>1203</v>
      </c>
      <c r="D12" s="27">
        <v>606</v>
      </c>
      <c r="E12" s="27">
        <v>597</v>
      </c>
    </row>
    <row r="13" spans="1:5" ht="21.95" customHeight="1" x14ac:dyDescent="0.25">
      <c r="A13" s="23">
        <v>5</v>
      </c>
      <c r="B13" s="27" t="s">
        <v>930</v>
      </c>
      <c r="C13" s="27">
        <v>1168</v>
      </c>
      <c r="D13" s="27">
        <v>563</v>
      </c>
      <c r="E13" s="27">
        <v>605</v>
      </c>
    </row>
    <row r="14" spans="1:5" ht="21.95" customHeight="1" x14ac:dyDescent="0.25">
      <c r="A14" s="23">
        <v>6</v>
      </c>
      <c r="B14" s="27" t="s">
        <v>931</v>
      </c>
      <c r="C14" s="27">
        <v>3426</v>
      </c>
      <c r="D14" s="27">
        <v>1671</v>
      </c>
      <c r="E14" s="27">
        <v>1755</v>
      </c>
    </row>
    <row r="15" spans="1:5" ht="21.95" customHeight="1" x14ac:dyDescent="0.25">
      <c r="A15" s="23">
        <v>7</v>
      </c>
      <c r="B15" s="27" t="s">
        <v>932</v>
      </c>
      <c r="C15" s="27">
        <v>3857</v>
      </c>
      <c r="D15" s="27">
        <v>2048</v>
      </c>
      <c r="E15" s="27">
        <v>1809</v>
      </c>
    </row>
    <row r="16" spans="1:5" ht="21.95" customHeight="1" x14ac:dyDescent="0.25">
      <c r="A16" s="23">
        <v>8</v>
      </c>
      <c r="B16" s="27" t="s">
        <v>933</v>
      </c>
      <c r="C16" s="27">
        <v>1046</v>
      </c>
      <c r="D16" s="27">
        <v>451</v>
      </c>
      <c r="E16" s="27">
        <v>595</v>
      </c>
    </row>
    <row r="17" spans="1:5" ht="21.95" customHeight="1" x14ac:dyDescent="0.25">
      <c r="A17" s="23">
        <v>9</v>
      </c>
      <c r="B17" s="27" t="s">
        <v>934</v>
      </c>
      <c r="C17" s="27">
        <v>978</v>
      </c>
      <c r="D17" s="27">
        <v>487</v>
      </c>
      <c r="E17" s="27">
        <v>491</v>
      </c>
    </row>
    <row r="18" spans="1:5" ht="21.95" customHeight="1" x14ac:dyDescent="0.25">
      <c r="A18" s="23">
        <v>10</v>
      </c>
      <c r="B18" s="27" t="s">
        <v>935</v>
      </c>
      <c r="C18" s="27">
        <v>2545</v>
      </c>
      <c r="D18" s="27">
        <v>1223</v>
      </c>
      <c r="E18" s="27">
        <v>1322</v>
      </c>
    </row>
    <row r="19" spans="1:5" ht="21.95" customHeight="1" x14ac:dyDescent="0.25">
      <c r="A19" s="23">
        <v>11</v>
      </c>
      <c r="B19" s="27" t="s">
        <v>936</v>
      </c>
      <c r="C19" s="27">
        <v>619</v>
      </c>
      <c r="D19" s="27">
        <v>311</v>
      </c>
      <c r="E19" s="27">
        <v>308</v>
      </c>
    </row>
    <row r="20" spans="1:5" ht="21.95" customHeight="1" x14ac:dyDescent="0.25">
      <c r="A20" s="23"/>
      <c r="B20" s="24" t="s">
        <v>1410</v>
      </c>
      <c r="C20" s="24">
        <f>SUM(C21:C87)</f>
        <v>155261</v>
      </c>
      <c r="D20" s="24">
        <f t="shared" ref="D20:E20" si="1">SUM(D21:D87)</f>
        <v>75634</v>
      </c>
      <c r="E20" s="24">
        <f t="shared" si="1"/>
        <v>79627</v>
      </c>
    </row>
    <row r="21" spans="1:5" ht="21.95" customHeight="1" x14ac:dyDescent="0.25">
      <c r="A21" s="23">
        <v>1</v>
      </c>
      <c r="B21" s="27" t="s">
        <v>937</v>
      </c>
      <c r="C21" s="27">
        <v>973</v>
      </c>
      <c r="D21" s="27">
        <v>438</v>
      </c>
      <c r="E21" s="27">
        <v>535</v>
      </c>
    </row>
    <row r="22" spans="1:5" ht="21.95" customHeight="1" x14ac:dyDescent="0.25">
      <c r="A22" s="23">
        <v>2</v>
      </c>
      <c r="B22" s="27" t="s">
        <v>938</v>
      </c>
      <c r="C22" s="27">
        <v>2044</v>
      </c>
      <c r="D22" s="27">
        <v>1013</v>
      </c>
      <c r="E22" s="27">
        <v>1031</v>
      </c>
    </row>
    <row r="23" spans="1:5" ht="21.95" customHeight="1" x14ac:dyDescent="0.25">
      <c r="A23" s="23">
        <v>3</v>
      </c>
      <c r="B23" s="27" t="s">
        <v>939</v>
      </c>
      <c r="C23" s="27">
        <v>2422</v>
      </c>
      <c r="D23" s="27">
        <v>1217</v>
      </c>
      <c r="E23" s="27">
        <v>1205</v>
      </c>
    </row>
    <row r="24" spans="1:5" ht="21.95" customHeight="1" x14ac:dyDescent="0.25">
      <c r="A24" s="23">
        <v>4</v>
      </c>
      <c r="B24" s="27" t="s">
        <v>940</v>
      </c>
      <c r="C24" s="27">
        <v>2858</v>
      </c>
      <c r="D24" s="27">
        <v>1410</v>
      </c>
      <c r="E24" s="27">
        <v>1448</v>
      </c>
    </row>
    <row r="25" spans="1:5" ht="21.95" customHeight="1" x14ac:dyDescent="0.25">
      <c r="A25" s="23">
        <v>5</v>
      </c>
      <c r="B25" s="27" t="s">
        <v>941</v>
      </c>
      <c r="C25" s="27">
        <v>2859</v>
      </c>
      <c r="D25" s="27">
        <v>1401</v>
      </c>
      <c r="E25" s="27">
        <v>1458</v>
      </c>
    </row>
    <row r="26" spans="1:5" ht="21.95" customHeight="1" x14ac:dyDescent="0.25">
      <c r="A26" s="23">
        <v>6</v>
      </c>
      <c r="B26" s="27" t="s">
        <v>942</v>
      </c>
      <c r="C26" s="27">
        <v>1544</v>
      </c>
      <c r="D26" s="27">
        <v>753</v>
      </c>
      <c r="E26" s="27">
        <v>791</v>
      </c>
    </row>
    <row r="27" spans="1:5" ht="21.95" customHeight="1" x14ac:dyDescent="0.25">
      <c r="A27" s="23">
        <v>7</v>
      </c>
      <c r="B27" s="27" t="s">
        <v>943</v>
      </c>
      <c r="C27" s="27">
        <v>1944</v>
      </c>
      <c r="D27" s="27">
        <v>1006</v>
      </c>
      <c r="E27" s="27">
        <v>938</v>
      </c>
    </row>
    <row r="28" spans="1:5" ht="21.95" customHeight="1" x14ac:dyDescent="0.25">
      <c r="A28" s="23">
        <v>8</v>
      </c>
      <c r="B28" s="27" t="s">
        <v>132</v>
      </c>
      <c r="C28" s="27">
        <v>3839</v>
      </c>
      <c r="D28" s="27">
        <v>1904</v>
      </c>
      <c r="E28" s="27">
        <v>1935</v>
      </c>
    </row>
    <row r="29" spans="1:5" ht="21.95" customHeight="1" x14ac:dyDescent="0.25">
      <c r="A29" s="23">
        <v>9</v>
      </c>
      <c r="B29" s="27" t="s">
        <v>918</v>
      </c>
      <c r="C29" s="27">
        <v>2360</v>
      </c>
      <c r="D29" s="27">
        <v>1146</v>
      </c>
      <c r="E29" s="27">
        <v>1214</v>
      </c>
    </row>
    <row r="30" spans="1:5" ht="21.95" customHeight="1" x14ac:dyDescent="0.25">
      <c r="A30" s="23">
        <v>10</v>
      </c>
      <c r="B30" s="27" t="s">
        <v>944</v>
      </c>
      <c r="C30" s="27">
        <v>2742</v>
      </c>
      <c r="D30" s="27">
        <v>1418</v>
      </c>
      <c r="E30" s="27">
        <v>1324</v>
      </c>
    </row>
    <row r="31" spans="1:5" ht="21.95" customHeight="1" x14ac:dyDescent="0.25">
      <c r="A31" s="23">
        <v>11</v>
      </c>
      <c r="B31" s="27" t="s">
        <v>945</v>
      </c>
      <c r="C31" s="27">
        <v>4933</v>
      </c>
      <c r="D31" s="27">
        <v>2447</v>
      </c>
      <c r="E31" s="27">
        <v>2486</v>
      </c>
    </row>
    <row r="32" spans="1:5" ht="21.95" customHeight="1" x14ac:dyDescent="0.25">
      <c r="A32" s="23">
        <v>12</v>
      </c>
      <c r="B32" s="27" t="s">
        <v>946</v>
      </c>
      <c r="C32" s="27">
        <v>3574</v>
      </c>
      <c r="D32" s="27">
        <v>1768</v>
      </c>
      <c r="E32" s="27">
        <v>1806</v>
      </c>
    </row>
    <row r="33" spans="1:5" ht="21.95" customHeight="1" x14ac:dyDescent="0.25">
      <c r="A33" s="23">
        <v>13</v>
      </c>
      <c r="B33" s="27" t="s">
        <v>947</v>
      </c>
      <c r="C33" s="27">
        <v>1738</v>
      </c>
      <c r="D33" s="27">
        <v>872</v>
      </c>
      <c r="E33" s="27">
        <v>866</v>
      </c>
    </row>
    <row r="34" spans="1:5" ht="21.95" customHeight="1" x14ac:dyDescent="0.25">
      <c r="A34" s="23">
        <v>14</v>
      </c>
      <c r="B34" s="27" t="s">
        <v>948</v>
      </c>
      <c r="C34" s="27">
        <v>2863</v>
      </c>
      <c r="D34" s="27">
        <v>1425</v>
      </c>
      <c r="E34" s="27">
        <v>1438</v>
      </c>
    </row>
    <row r="35" spans="1:5" ht="21.95" customHeight="1" x14ac:dyDescent="0.25">
      <c r="A35" s="23">
        <v>15</v>
      </c>
      <c r="B35" s="27" t="s">
        <v>949</v>
      </c>
      <c r="C35" s="27">
        <v>2096</v>
      </c>
      <c r="D35" s="27">
        <v>1023</v>
      </c>
      <c r="E35" s="27">
        <v>1073</v>
      </c>
    </row>
    <row r="36" spans="1:5" ht="21.95" customHeight="1" x14ac:dyDescent="0.25">
      <c r="A36" s="23">
        <v>16</v>
      </c>
      <c r="B36" s="27" t="s">
        <v>693</v>
      </c>
      <c r="C36" s="27">
        <v>942</v>
      </c>
      <c r="D36" s="27">
        <v>477</v>
      </c>
      <c r="E36" s="27">
        <v>465</v>
      </c>
    </row>
    <row r="37" spans="1:5" ht="21.95" customHeight="1" x14ac:dyDescent="0.25">
      <c r="A37" s="23">
        <v>17</v>
      </c>
      <c r="B37" s="27" t="s">
        <v>950</v>
      </c>
      <c r="C37" s="27">
        <v>4961</v>
      </c>
      <c r="D37" s="27">
        <v>2393</v>
      </c>
      <c r="E37" s="27">
        <v>2568</v>
      </c>
    </row>
    <row r="38" spans="1:5" ht="21.95" customHeight="1" x14ac:dyDescent="0.25">
      <c r="A38" s="23">
        <v>18</v>
      </c>
      <c r="B38" s="27" t="s">
        <v>951</v>
      </c>
      <c r="C38" s="27">
        <v>1409</v>
      </c>
      <c r="D38" s="27">
        <v>674</v>
      </c>
      <c r="E38" s="27">
        <v>735</v>
      </c>
    </row>
    <row r="39" spans="1:5" ht="21.95" customHeight="1" x14ac:dyDescent="0.25">
      <c r="A39" s="23">
        <v>19</v>
      </c>
      <c r="B39" s="27" t="s">
        <v>952</v>
      </c>
      <c r="C39" s="27">
        <v>2075</v>
      </c>
      <c r="D39" s="27">
        <v>1022</v>
      </c>
      <c r="E39" s="27">
        <v>1053</v>
      </c>
    </row>
    <row r="40" spans="1:5" ht="21.95" customHeight="1" x14ac:dyDescent="0.25">
      <c r="A40" s="23">
        <v>20</v>
      </c>
      <c r="B40" s="27" t="s">
        <v>397</v>
      </c>
      <c r="C40" s="27">
        <v>814</v>
      </c>
      <c r="D40" s="27">
        <v>404</v>
      </c>
      <c r="E40" s="27">
        <v>410</v>
      </c>
    </row>
    <row r="41" spans="1:5" ht="21.95" customHeight="1" x14ac:dyDescent="0.25">
      <c r="A41" s="23">
        <v>21</v>
      </c>
      <c r="B41" s="27" t="s">
        <v>953</v>
      </c>
      <c r="C41" s="27">
        <v>2120</v>
      </c>
      <c r="D41" s="27">
        <v>1076</v>
      </c>
      <c r="E41" s="27">
        <v>1044</v>
      </c>
    </row>
    <row r="42" spans="1:5" ht="21.95" customHeight="1" x14ac:dyDescent="0.25">
      <c r="A42" s="23">
        <v>22</v>
      </c>
      <c r="B42" s="27" t="s">
        <v>954</v>
      </c>
      <c r="C42" s="27">
        <v>297</v>
      </c>
      <c r="D42" s="27">
        <v>141</v>
      </c>
      <c r="E42" s="27">
        <v>156</v>
      </c>
    </row>
    <row r="43" spans="1:5" ht="21.95" customHeight="1" x14ac:dyDescent="0.25">
      <c r="A43" s="23">
        <v>23</v>
      </c>
      <c r="B43" s="27" t="s">
        <v>955</v>
      </c>
      <c r="C43" s="27">
        <v>1324</v>
      </c>
      <c r="D43" s="27">
        <v>583</v>
      </c>
      <c r="E43" s="27">
        <v>741</v>
      </c>
    </row>
    <row r="44" spans="1:5" ht="21.95" customHeight="1" x14ac:dyDescent="0.25">
      <c r="A44" s="23">
        <v>24</v>
      </c>
      <c r="B44" s="27" t="s">
        <v>956</v>
      </c>
      <c r="C44" s="27">
        <v>4126</v>
      </c>
      <c r="D44" s="27">
        <v>2166</v>
      </c>
      <c r="E44" s="27">
        <v>1960</v>
      </c>
    </row>
    <row r="45" spans="1:5" ht="21.95" customHeight="1" x14ac:dyDescent="0.25">
      <c r="A45" s="23">
        <v>25</v>
      </c>
      <c r="B45" s="27" t="s">
        <v>957</v>
      </c>
      <c r="C45" s="27">
        <v>3370</v>
      </c>
      <c r="D45" s="27">
        <v>1664</v>
      </c>
      <c r="E45" s="27">
        <v>1706</v>
      </c>
    </row>
    <row r="46" spans="1:5" ht="21.95" customHeight="1" x14ac:dyDescent="0.25">
      <c r="A46" s="23">
        <v>26</v>
      </c>
      <c r="B46" s="27" t="s">
        <v>958</v>
      </c>
      <c r="C46" s="27">
        <v>2569</v>
      </c>
      <c r="D46" s="27">
        <v>1285</v>
      </c>
      <c r="E46" s="27">
        <v>1284</v>
      </c>
    </row>
    <row r="47" spans="1:5" ht="21.95" customHeight="1" x14ac:dyDescent="0.25">
      <c r="A47" s="23">
        <v>27</v>
      </c>
      <c r="B47" s="27" t="s">
        <v>959</v>
      </c>
      <c r="C47" s="27">
        <v>1251</v>
      </c>
      <c r="D47" s="27">
        <v>564</v>
      </c>
      <c r="E47" s="27">
        <v>687</v>
      </c>
    </row>
    <row r="48" spans="1:5" ht="21.95" customHeight="1" x14ac:dyDescent="0.25">
      <c r="A48" s="23">
        <v>28</v>
      </c>
      <c r="B48" s="27" t="s">
        <v>960</v>
      </c>
      <c r="C48" s="27">
        <v>1521</v>
      </c>
      <c r="D48" s="27">
        <v>731</v>
      </c>
      <c r="E48" s="27">
        <v>790</v>
      </c>
    </row>
    <row r="49" spans="1:5" ht="21.95" customHeight="1" x14ac:dyDescent="0.25">
      <c r="A49" s="23">
        <v>29</v>
      </c>
      <c r="B49" s="27" t="s">
        <v>347</v>
      </c>
      <c r="C49" s="27">
        <v>3058</v>
      </c>
      <c r="D49" s="27">
        <v>1477</v>
      </c>
      <c r="E49" s="27">
        <v>1581</v>
      </c>
    </row>
    <row r="50" spans="1:5" ht="21.95" customHeight="1" x14ac:dyDescent="0.25">
      <c r="A50" s="23">
        <v>30</v>
      </c>
      <c r="B50" s="27" t="s">
        <v>961</v>
      </c>
      <c r="C50" s="27">
        <v>1808</v>
      </c>
      <c r="D50" s="27">
        <v>903</v>
      </c>
      <c r="E50" s="27">
        <v>905</v>
      </c>
    </row>
    <row r="51" spans="1:5" ht="21.95" customHeight="1" x14ac:dyDescent="0.25">
      <c r="A51" s="23">
        <v>31</v>
      </c>
      <c r="B51" s="27" t="s">
        <v>962</v>
      </c>
      <c r="C51" s="27">
        <v>1117</v>
      </c>
      <c r="D51" s="27">
        <v>506</v>
      </c>
      <c r="E51" s="27">
        <v>611</v>
      </c>
    </row>
    <row r="52" spans="1:5" ht="21.95" customHeight="1" x14ac:dyDescent="0.25">
      <c r="A52" s="23">
        <v>32</v>
      </c>
      <c r="B52" s="27" t="s">
        <v>963</v>
      </c>
      <c r="C52" s="27">
        <v>2573</v>
      </c>
      <c r="D52" s="27">
        <v>1181</v>
      </c>
      <c r="E52" s="27">
        <v>1392</v>
      </c>
    </row>
    <row r="53" spans="1:5" ht="21.95" customHeight="1" x14ac:dyDescent="0.25">
      <c r="A53" s="23">
        <v>33</v>
      </c>
      <c r="B53" s="27" t="s">
        <v>698</v>
      </c>
      <c r="C53" s="27">
        <v>19910</v>
      </c>
      <c r="D53" s="27">
        <v>9955</v>
      </c>
      <c r="E53" s="27">
        <v>9955</v>
      </c>
    </row>
    <row r="54" spans="1:5" ht="21.95" customHeight="1" x14ac:dyDescent="0.25">
      <c r="A54" s="23">
        <v>34</v>
      </c>
      <c r="B54" s="27" t="s">
        <v>550</v>
      </c>
      <c r="C54" s="27">
        <v>1221</v>
      </c>
      <c r="D54" s="27">
        <v>602</v>
      </c>
      <c r="E54" s="27">
        <v>619</v>
      </c>
    </row>
    <row r="55" spans="1:5" ht="21.95" customHeight="1" x14ac:dyDescent="0.25">
      <c r="A55" s="23">
        <v>35</v>
      </c>
      <c r="B55" s="27" t="s">
        <v>964</v>
      </c>
      <c r="C55" s="27">
        <v>2208</v>
      </c>
      <c r="D55" s="27">
        <v>1031</v>
      </c>
      <c r="E55" s="27">
        <v>1177</v>
      </c>
    </row>
    <row r="56" spans="1:5" ht="21.95" customHeight="1" x14ac:dyDescent="0.25">
      <c r="A56" s="23">
        <v>36</v>
      </c>
      <c r="B56" s="27" t="s">
        <v>965</v>
      </c>
      <c r="C56" s="27">
        <v>1868</v>
      </c>
      <c r="D56" s="27">
        <v>931</v>
      </c>
      <c r="E56" s="27">
        <v>937</v>
      </c>
    </row>
    <row r="57" spans="1:5" ht="21.95" customHeight="1" x14ac:dyDescent="0.25">
      <c r="A57" s="23">
        <v>37</v>
      </c>
      <c r="B57" s="27" t="s">
        <v>649</v>
      </c>
      <c r="C57" s="27">
        <v>1549</v>
      </c>
      <c r="D57" s="27">
        <v>734</v>
      </c>
      <c r="E57" s="27">
        <v>815</v>
      </c>
    </row>
    <row r="58" spans="1:5" ht="21.95" customHeight="1" x14ac:dyDescent="0.25">
      <c r="A58" s="23">
        <v>38</v>
      </c>
      <c r="B58" s="27" t="s">
        <v>427</v>
      </c>
      <c r="C58" s="27">
        <v>2482</v>
      </c>
      <c r="D58" s="27">
        <v>1181</v>
      </c>
      <c r="E58" s="27">
        <v>1301</v>
      </c>
    </row>
    <row r="59" spans="1:5" ht="21.95" customHeight="1" x14ac:dyDescent="0.25">
      <c r="A59" s="23">
        <v>39</v>
      </c>
      <c r="B59" s="27" t="s">
        <v>966</v>
      </c>
      <c r="C59" s="27">
        <v>1311</v>
      </c>
      <c r="D59" s="27">
        <v>623</v>
      </c>
      <c r="E59" s="27">
        <v>688</v>
      </c>
    </row>
    <row r="60" spans="1:5" ht="21.95" customHeight="1" x14ac:dyDescent="0.25">
      <c r="A60" s="23">
        <v>40</v>
      </c>
      <c r="B60" s="27" t="s">
        <v>967</v>
      </c>
      <c r="C60" s="27">
        <v>3141</v>
      </c>
      <c r="D60" s="27">
        <v>1591</v>
      </c>
      <c r="E60" s="27">
        <v>1550</v>
      </c>
    </row>
    <row r="61" spans="1:5" ht="21.95" customHeight="1" x14ac:dyDescent="0.25">
      <c r="A61" s="23">
        <v>41</v>
      </c>
      <c r="B61" s="27" t="s">
        <v>968</v>
      </c>
      <c r="C61" s="27">
        <v>2051</v>
      </c>
      <c r="D61" s="27">
        <v>996</v>
      </c>
      <c r="E61" s="27">
        <v>1055</v>
      </c>
    </row>
    <row r="62" spans="1:5" ht="21.95" customHeight="1" x14ac:dyDescent="0.25">
      <c r="A62" s="23">
        <v>42</v>
      </c>
      <c r="B62" s="27" t="s">
        <v>658</v>
      </c>
      <c r="C62" s="27">
        <v>1231</v>
      </c>
      <c r="D62" s="27">
        <v>570</v>
      </c>
      <c r="E62" s="27">
        <v>661</v>
      </c>
    </row>
    <row r="63" spans="1:5" ht="21.95" customHeight="1" x14ac:dyDescent="0.25">
      <c r="A63" s="23">
        <v>43</v>
      </c>
      <c r="B63" s="27" t="s">
        <v>969</v>
      </c>
      <c r="C63" s="27">
        <v>1469</v>
      </c>
      <c r="D63" s="27">
        <v>709</v>
      </c>
      <c r="E63" s="27">
        <v>760</v>
      </c>
    </row>
    <row r="64" spans="1:5" ht="21.95" customHeight="1" x14ac:dyDescent="0.25">
      <c r="A64" s="23">
        <v>44</v>
      </c>
      <c r="B64" s="27" t="s">
        <v>970</v>
      </c>
      <c r="C64" s="27">
        <v>2196</v>
      </c>
      <c r="D64" s="27">
        <v>1002</v>
      </c>
      <c r="E64" s="27">
        <v>1194</v>
      </c>
    </row>
    <row r="65" spans="1:5" ht="21.95" customHeight="1" x14ac:dyDescent="0.25">
      <c r="A65" s="23">
        <v>45</v>
      </c>
      <c r="B65" s="27" t="s">
        <v>971</v>
      </c>
      <c r="C65" s="27">
        <v>4666</v>
      </c>
      <c r="D65" s="27">
        <v>2274</v>
      </c>
      <c r="E65" s="27">
        <v>2392</v>
      </c>
    </row>
    <row r="66" spans="1:5" ht="21.95" customHeight="1" x14ac:dyDescent="0.25">
      <c r="A66" s="23">
        <v>46</v>
      </c>
      <c r="B66" s="27" t="s">
        <v>972</v>
      </c>
      <c r="C66" s="27">
        <v>1903</v>
      </c>
      <c r="D66" s="27">
        <v>896</v>
      </c>
      <c r="E66" s="27">
        <v>1007</v>
      </c>
    </row>
    <row r="67" spans="1:5" ht="21.95" customHeight="1" x14ac:dyDescent="0.25">
      <c r="A67" s="23">
        <v>47</v>
      </c>
      <c r="B67" s="27" t="s">
        <v>973</v>
      </c>
      <c r="C67" s="27">
        <v>2331</v>
      </c>
      <c r="D67" s="27">
        <v>1140</v>
      </c>
      <c r="E67" s="27">
        <v>1191</v>
      </c>
    </row>
    <row r="68" spans="1:5" ht="21.95" customHeight="1" x14ac:dyDescent="0.25">
      <c r="A68" s="23">
        <v>48</v>
      </c>
      <c r="B68" s="27" t="s">
        <v>974</v>
      </c>
      <c r="C68" s="27">
        <v>4182</v>
      </c>
      <c r="D68" s="27">
        <v>2136</v>
      </c>
      <c r="E68" s="27">
        <v>2046</v>
      </c>
    </row>
    <row r="69" spans="1:5" ht="21.95" customHeight="1" x14ac:dyDescent="0.25">
      <c r="A69" s="23">
        <v>49</v>
      </c>
      <c r="B69" s="27" t="s">
        <v>975</v>
      </c>
      <c r="C69" s="27">
        <v>3716</v>
      </c>
      <c r="D69" s="27">
        <v>1821</v>
      </c>
      <c r="E69" s="27">
        <v>1895</v>
      </c>
    </row>
    <row r="70" spans="1:5" ht="21.95" customHeight="1" x14ac:dyDescent="0.25">
      <c r="A70" s="23">
        <v>50</v>
      </c>
      <c r="B70" s="27" t="s">
        <v>976</v>
      </c>
      <c r="C70" s="27">
        <v>1841</v>
      </c>
      <c r="D70" s="27">
        <v>848</v>
      </c>
      <c r="E70" s="27">
        <v>993</v>
      </c>
    </row>
    <row r="71" spans="1:5" ht="21.95" customHeight="1" x14ac:dyDescent="0.25">
      <c r="A71" s="23">
        <v>51</v>
      </c>
      <c r="B71" s="27" t="s">
        <v>977</v>
      </c>
      <c r="C71" s="27">
        <v>947</v>
      </c>
      <c r="D71" s="27">
        <v>451</v>
      </c>
      <c r="E71" s="27">
        <v>496</v>
      </c>
    </row>
    <row r="72" spans="1:5" ht="21.95" customHeight="1" x14ac:dyDescent="0.25">
      <c r="A72" s="23">
        <v>52</v>
      </c>
      <c r="B72" s="27" t="s">
        <v>609</v>
      </c>
      <c r="C72" s="27">
        <v>1737</v>
      </c>
      <c r="D72" s="27">
        <v>825</v>
      </c>
      <c r="E72" s="27">
        <v>912</v>
      </c>
    </row>
    <row r="73" spans="1:5" ht="21.95" customHeight="1" x14ac:dyDescent="0.25">
      <c r="A73" s="23">
        <v>53</v>
      </c>
      <c r="B73" s="27" t="s">
        <v>978</v>
      </c>
      <c r="C73" s="27">
        <v>1143</v>
      </c>
      <c r="D73" s="27">
        <v>533</v>
      </c>
      <c r="E73" s="27">
        <v>610</v>
      </c>
    </row>
    <row r="74" spans="1:5" ht="21.95" customHeight="1" x14ac:dyDescent="0.25">
      <c r="A74" s="23">
        <v>54</v>
      </c>
      <c r="B74" s="27" t="s">
        <v>979</v>
      </c>
      <c r="C74" s="27">
        <v>2034</v>
      </c>
      <c r="D74" s="27">
        <v>969</v>
      </c>
      <c r="E74" s="27">
        <v>1065</v>
      </c>
    </row>
    <row r="75" spans="1:5" ht="21.95" customHeight="1" x14ac:dyDescent="0.25">
      <c r="A75" s="23">
        <v>55</v>
      </c>
      <c r="B75" s="27" t="s">
        <v>980</v>
      </c>
      <c r="C75" s="27">
        <v>1650</v>
      </c>
      <c r="D75" s="27">
        <v>740</v>
      </c>
      <c r="E75" s="27">
        <v>910</v>
      </c>
    </row>
    <row r="76" spans="1:5" ht="21.95" customHeight="1" x14ac:dyDescent="0.25">
      <c r="A76" s="23">
        <v>56</v>
      </c>
      <c r="B76" s="27" t="s">
        <v>981</v>
      </c>
      <c r="C76" s="27">
        <v>873</v>
      </c>
      <c r="D76" s="27">
        <v>397</v>
      </c>
      <c r="E76" s="27">
        <v>476</v>
      </c>
    </row>
    <row r="77" spans="1:5" ht="21.95" customHeight="1" x14ac:dyDescent="0.25">
      <c r="A77" s="23">
        <v>57</v>
      </c>
      <c r="B77" s="27" t="s">
        <v>982</v>
      </c>
      <c r="C77" s="27">
        <v>768</v>
      </c>
      <c r="D77" s="27">
        <v>345</v>
      </c>
      <c r="E77" s="27">
        <v>423</v>
      </c>
    </row>
    <row r="78" spans="1:5" ht="21.95" customHeight="1" x14ac:dyDescent="0.25">
      <c r="A78" s="23">
        <v>58</v>
      </c>
      <c r="B78" s="27" t="s">
        <v>983</v>
      </c>
      <c r="C78" s="27">
        <v>1464</v>
      </c>
      <c r="D78" s="27">
        <v>604</v>
      </c>
      <c r="E78" s="27">
        <v>860</v>
      </c>
    </row>
    <row r="79" spans="1:5" ht="21.95" customHeight="1" x14ac:dyDescent="0.25">
      <c r="A79" s="23">
        <v>59</v>
      </c>
      <c r="B79" s="27" t="s">
        <v>595</v>
      </c>
      <c r="C79" s="27">
        <v>674</v>
      </c>
      <c r="D79" s="27">
        <v>312</v>
      </c>
      <c r="E79" s="27">
        <v>362</v>
      </c>
    </row>
    <row r="80" spans="1:5" ht="21.95" customHeight="1" x14ac:dyDescent="0.25">
      <c r="A80" s="23">
        <v>60</v>
      </c>
      <c r="B80" s="27" t="s">
        <v>571</v>
      </c>
      <c r="C80" s="27">
        <v>2436</v>
      </c>
      <c r="D80" s="27">
        <v>1159</v>
      </c>
      <c r="E80" s="27">
        <v>1277</v>
      </c>
    </row>
    <row r="81" spans="1:5" ht="21.95" customHeight="1" x14ac:dyDescent="0.25">
      <c r="A81" s="23">
        <v>61</v>
      </c>
      <c r="B81" s="27" t="s">
        <v>984</v>
      </c>
      <c r="C81" s="27">
        <v>416</v>
      </c>
      <c r="D81" s="27">
        <v>193</v>
      </c>
      <c r="E81" s="27">
        <v>223</v>
      </c>
    </row>
    <row r="82" spans="1:5" ht="21.95" customHeight="1" x14ac:dyDescent="0.25">
      <c r="A82" s="23">
        <v>62</v>
      </c>
      <c r="B82" s="27" t="s">
        <v>658</v>
      </c>
      <c r="C82" s="27">
        <v>823</v>
      </c>
      <c r="D82" s="27">
        <v>359</v>
      </c>
      <c r="E82" s="27">
        <v>464</v>
      </c>
    </row>
    <row r="83" spans="1:5" ht="21.95" customHeight="1" x14ac:dyDescent="0.25">
      <c r="A83" s="23">
        <v>63</v>
      </c>
      <c r="B83" s="27" t="s">
        <v>985</v>
      </c>
      <c r="C83" s="27">
        <v>2338</v>
      </c>
      <c r="D83" s="27">
        <v>1090</v>
      </c>
      <c r="E83" s="27">
        <v>1248</v>
      </c>
    </row>
    <row r="84" spans="1:5" ht="21.95" customHeight="1" x14ac:dyDescent="0.25">
      <c r="A84" s="23">
        <v>64</v>
      </c>
      <c r="B84" s="27" t="s">
        <v>986</v>
      </c>
      <c r="C84" s="27">
        <v>637</v>
      </c>
      <c r="D84" s="27">
        <v>298</v>
      </c>
      <c r="E84" s="27">
        <v>339</v>
      </c>
    </row>
    <row r="85" spans="1:5" ht="21.95" customHeight="1" x14ac:dyDescent="0.25">
      <c r="A85" s="23">
        <v>65</v>
      </c>
      <c r="B85" s="27" t="s">
        <v>966</v>
      </c>
      <c r="C85" s="27">
        <v>840</v>
      </c>
      <c r="D85" s="27">
        <v>358</v>
      </c>
      <c r="E85" s="27">
        <v>482</v>
      </c>
    </row>
    <row r="86" spans="1:5" ht="21.95" customHeight="1" x14ac:dyDescent="0.25">
      <c r="A86" s="23">
        <v>66</v>
      </c>
      <c r="B86" s="27" t="s">
        <v>987</v>
      </c>
      <c r="C86" s="27">
        <v>2384</v>
      </c>
      <c r="D86" s="27">
        <v>1137</v>
      </c>
      <c r="E86" s="27">
        <v>1247</v>
      </c>
    </row>
    <row r="87" spans="1:5" ht="21.95" customHeight="1" x14ac:dyDescent="0.25">
      <c r="A87" s="28">
        <v>67</v>
      </c>
      <c r="B87" s="29" t="s">
        <v>988</v>
      </c>
      <c r="C87" s="29">
        <v>697</v>
      </c>
      <c r="D87" s="29">
        <v>336</v>
      </c>
      <c r="E87" s="29">
        <v>361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Kyaukme District,Hsipaw Township"/>
  </hyperlinks>
  <pageMargins left="0.75" right="0.5" top="0.5" bottom="0.2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selection sqref="A1:XFD1"/>
    </sheetView>
  </sheetViews>
  <sheetFormatPr defaultRowHeight="15" x14ac:dyDescent="0.25"/>
  <cols>
    <col min="2" max="2" width="31.7109375" customWidth="1"/>
    <col min="3" max="5" width="15.7109375" customWidth="1"/>
  </cols>
  <sheetData>
    <row r="1" spans="1:5" ht="18.75" x14ac:dyDescent="0.3">
      <c r="A1" s="180" t="s">
        <v>1420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15.75" x14ac:dyDescent="0.25">
      <c r="A3" s="20"/>
      <c r="B3" s="20"/>
      <c r="C3" s="20"/>
      <c r="D3" s="20"/>
      <c r="E3" s="20"/>
    </row>
    <row r="4" spans="1:5" ht="15.75" x14ac:dyDescent="0.25">
      <c r="A4" s="173" t="s">
        <v>1339</v>
      </c>
      <c r="B4" s="181" t="s">
        <v>1422</v>
      </c>
      <c r="C4" s="174" t="s">
        <v>1340</v>
      </c>
      <c r="D4" s="175"/>
      <c r="E4" s="176"/>
    </row>
    <row r="5" spans="1:5" ht="15.75" x14ac:dyDescent="0.25">
      <c r="A5" s="181"/>
      <c r="B5" s="182"/>
      <c r="C5" s="65" t="s">
        <v>0</v>
      </c>
      <c r="D5" s="65" t="s">
        <v>1</v>
      </c>
      <c r="E5" s="65" t="s">
        <v>2</v>
      </c>
    </row>
    <row r="6" spans="1:5" ht="22.5" customHeight="1" x14ac:dyDescent="0.25">
      <c r="A6" s="48"/>
      <c r="B6" s="26" t="s">
        <v>0</v>
      </c>
      <c r="C6" s="26">
        <v>50423</v>
      </c>
      <c r="D6" s="26">
        <v>24448</v>
      </c>
      <c r="E6" s="26">
        <v>25975</v>
      </c>
    </row>
    <row r="7" spans="1:5" ht="12.75" customHeight="1" x14ac:dyDescent="0.25">
      <c r="A7" s="23"/>
      <c r="B7" s="24"/>
      <c r="C7" s="24"/>
      <c r="D7" s="24"/>
      <c r="E7" s="24"/>
    </row>
    <row r="8" spans="1:5" ht="23.1" customHeight="1" x14ac:dyDescent="0.25">
      <c r="A8" s="23"/>
      <c r="B8" s="68" t="s">
        <v>1338</v>
      </c>
      <c r="C8" s="68">
        <f>SUM(C9:C10)</f>
        <v>13298</v>
      </c>
      <c r="D8" s="68">
        <f t="shared" ref="D8:E8" si="0">SUM(D9:D10)</f>
        <v>6171</v>
      </c>
      <c r="E8" s="68">
        <f t="shared" si="0"/>
        <v>7127</v>
      </c>
    </row>
    <row r="9" spans="1:5" ht="23.1" customHeight="1" x14ac:dyDescent="0.25">
      <c r="A9" s="23">
        <v>1</v>
      </c>
      <c r="B9" s="27" t="s">
        <v>989</v>
      </c>
      <c r="C9" s="27">
        <v>5664</v>
      </c>
      <c r="D9" s="27">
        <v>2618</v>
      </c>
      <c r="E9" s="27">
        <v>3046</v>
      </c>
    </row>
    <row r="10" spans="1:5" ht="23.1" customHeight="1" x14ac:dyDescent="0.25">
      <c r="A10" s="23">
        <v>2</v>
      </c>
      <c r="B10" s="27" t="s">
        <v>990</v>
      </c>
      <c r="C10" s="27">
        <v>7634</v>
      </c>
      <c r="D10" s="27">
        <v>3553</v>
      </c>
      <c r="E10" s="27">
        <v>4081</v>
      </c>
    </row>
    <row r="11" spans="1:5" ht="23.1" customHeight="1" x14ac:dyDescent="0.25">
      <c r="A11" s="23"/>
      <c r="B11" s="75" t="s">
        <v>1410</v>
      </c>
      <c r="C11" s="75">
        <f>SUM(C12:C32)</f>
        <v>37125</v>
      </c>
      <c r="D11" s="75">
        <f t="shared" ref="D11:E11" si="1">SUM(D12:D32)</f>
        <v>18277</v>
      </c>
      <c r="E11" s="75">
        <f t="shared" si="1"/>
        <v>18848</v>
      </c>
    </row>
    <row r="12" spans="1:5" ht="23.1" customHeight="1" x14ac:dyDescent="0.25">
      <c r="A12" s="23">
        <v>1</v>
      </c>
      <c r="B12" s="27" t="s">
        <v>991</v>
      </c>
      <c r="C12" s="27">
        <v>926</v>
      </c>
      <c r="D12" s="27">
        <v>446</v>
      </c>
      <c r="E12" s="27">
        <v>480</v>
      </c>
    </row>
    <row r="13" spans="1:5" ht="23.1" customHeight="1" x14ac:dyDescent="0.25">
      <c r="A13" s="23">
        <v>2</v>
      </c>
      <c r="B13" s="27" t="s">
        <v>992</v>
      </c>
      <c r="C13" s="27">
        <v>1767</v>
      </c>
      <c r="D13" s="27">
        <v>849</v>
      </c>
      <c r="E13" s="27">
        <v>918</v>
      </c>
    </row>
    <row r="14" spans="1:5" ht="23.1" customHeight="1" x14ac:dyDescent="0.25">
      <c r="A14" s="23">
        <v>3</v>
      </c>
      <c r="B14" s="27" t="s">
        <v>993</v>
      </c>
      <c r="C14" s="27">
        <v>940</v>
      </c>
      <c r="D14" s="27">
        <v>452</v>
      </c>
      <c r="E14" s="27">
        <v>488</v>
      </c>
    </row>
    <row r="15" spans="1:5" ht="23.1" customHeight="1" x14ac:dyDescent="0.25">
      <c r="A15" s="23">
        <v>4</v>
      </c>
      <c r="B15" s="27" t="s">
        <v>994</v>
      </c>
      <c r="C15" s="27">
        <v>2856</v>
      </c>
      <c r="D15" s="27">
        <v>1326</v>
      </c>
      <c r="E15" s="27">
        <v>1530</v>
      </c>
    </row>
    <row r="16" spans="1:5" ht="23.1" customHeight="1" x14ac:dyDescent="0.25">
      <c r="A16" s="23">
        <v>5</v>
      </c>
      <c r="B16" s="27" t="s">
        <v>995</v>
      </c>
      <c r="C16" s="27">
        <v>914</v>
      </c>
      <c r="D16" s="27">
        <v>448</v>
      </c>
      <c r="E16" s="27">
        <v>466</v>
      </c>
    </row>
    <row r="17" spans="1:5" ht="23.1" customHeight="1" x14ac:dyDescent="0.25">
      <c r="A17" s="23">
        <v>6</v>
      </c>
      <c r="B17" s="27" t="s">
        <v>996</v>
      </c>
      <c r="C17" s="27">
        <v>1086</v>
      </c>
      <c r="D17" s="27">
        <v>546</v>
      </c>
      <c r="E17" s="27">
        <v>540</v>
      </c>
    </row>
    <row r="18" spans="1:5" ht="23.1" customHeight="1" x14ac:dyDescent="0.25">
      <c r="A18" s="23">
        <v>7</v>
      </c>
      <c r="B18" s="27" t="s">
        <v>997</v>
      </c>
      <c r="C18" s="27">
        <v>3937</v>
      </c>
      <c r="D18" s="27">
        <v>1924</v>
      </c>
      <c r="E18" s="27">
        <v>2013</v>
      </c>
    </row>
    <row r="19" spans="1:5" ht="23.1" customHeight="1" x14ac:dyDescent="0.25">
      <c r="A19" s="23">
        <v>8</v>
      </c>
      <c r="B19" s="27" t="s">
        <v>998</v>
      </c>
      <c r="C19" s="27">
        <v>1359</v>
      </c>
      <c r="D19" s="27">
        <v>678</v>
      </c>
      <c r="E19" s="27">
        <v>681</v>
      </c>
    </row>
    <row r="20" spans="1:5" ht="23.1" customHeight="1" x14ac:dyDescent="0.25">
      <c r="A20" s="23">
        <v>9</v>
      </c>
      <c r="B20" s="27" t="s">
        <v>999</v>
      </c>
      <c r="C20" s="27">
        <v>608</v>
      </c>
      <c r="D20" s="27">
        <v>308</v>
      </c>
      <c r="E20" s="27">
        <v>300</v>
      </c>
    </row>
    <row r="21" spans="1:5" ht="23.1" customHeight="1" x14ac:dyDescent="0.25">
      <c r="A21" s="23">
        <v>10</v>
      </c>
      <c r="B21" s="27" t="s">
        <v>1000</v>
      </c>
      <c r="C21" s="27">
        <v>2039</v>
      </c>
      <c r="D21" s="27">
        <v>961</v>
      </c>
      <c r="E21" s="27">
        <v>1078</v>
      </c>
    </row>
    <row r="22" spans="1:5" ht="23.1" customHeight="1" x14ac:dyDescent="0.25">
      <c r="A22" s="23">
        <v>11</v>
      </c>
      <c r="B22" s="27" t="s">
        <v>1001</v>
      </c>
      <c r="C22" s="27">
        <v>3299</v>
      </c>
      <c r="D22" s="27">
        <v>1637</v>
      </c>
      <c r="E22" s="27">
        <v>1662</v>
      </c>
    </row>
    <row r="23" spans="1:5" ht="23.1" customHeight="1" x14ac:dyDescent="0.25">
      <c r="A23" s="23">
        <v>12</v>
      </c>
      <c r="B23" s="27" t="s">
        <v>1002</v>
      </c>
      <c r="C23" s="27">
        <v>1816</v>
      </c>
      <c r="D23" s="27">
        <v>930</v>
      </c>
      <c r="E23" s="27">
        <v>886</v>
      </c>
    </row>
    <row r="24" spans="1:5" ht="23.1" customHeight="1" x14ac:dyDescent="0.25">
      <c r="A24" s="23">
        <v>13</v>
      </c>
      <c r="B24" s="27" t="s">
        <v>1003</v>
      </c>
      <c r="C24" s="27">
        <v>761</v>
      </c>
      <c r="D24" s="27">
        <v>369</v>
      </c>
      <c r="E24" s="27">
        <v>392</v>
      </c>
    </row>
    <row r="25" spans="1:5" ht="23.1" customHeight="1" x14ac:dyDescent="0.25">
      <c r="A25" s="23">
        <v>14</v>
      </c>
      <c r="B25" s="27" t="s">
        <v>1004</v>
      </c>
      <c r="C25" s="27">
        <v>943</v>
      </c>
      <c r="D25" s="27">
        <v>466</v>
      </c>
      <c r="E25" s="27">
        <v>477</v>
      </c>
    </row>
    <row r="26" spans="1:5" ht="23.1" customHeight="1" x14ac:dyDescent="0.25">
      <c r="A26" s="23">
        <v>15</v>
      </c>
      <c r="B26" s="27" t="s">
        <v>1005</v>
      </c>
      <c r="C26" s="27">
        <v>712</v>
      </c>
      <c r="D26" s="27">
        <v>361</v>
      </c>
      <c r="E26" s="27">
        <v>351</v>
      </c>
    </row>
    <row r="27" spans="1:5" ht="23.1" customHeight="1" x14ac:dyDescent="0.25">
      <c r="A27" s="23">
        <v>16</v>
      </c>
      <c r="B27" s="27" t="s">
        <v>1006</v>
      </c>
      <c r="C27" s="27">
        <v>2645</v>
      </c>
      <c r="D27" s="27">
        <v>1372</v>
      </c>
      <c r="E27" s="27">
        <v>1273</v>
      </c>
    </row>
    <row r="28" spans="1:5" ht="23.1" customHeight="1" x14ac:dyDescent="0.25">
      <c r="A28" s="23">
        <v>17</v>
      </c>
      <c r="B28" s="27" t="s">
        <v>1007</v>
      </c>
      <c r="C28" s="27">
        <v>2036</v>
      </c>
      <c r="D28" s="27">
        <v>1023</v>
      </c>
      <c r="E28" s="27">
        <v>1013</v>
      </c>
    </row>
    <row r="29" spans="1:5" ht="23.1" customHeight="1" x14ac:dyDescent="0.25">
      <c r="A29" s="23">
        <v>18</v>
      </c>
      <c r="B29" s="27" t="s">
        <v>1008</v>
      </c>
      <c r="C29" s="27">
        <v>3672</v>
      </c>
      <c r="D29" s="27">
        <v>1825</v>
      </c>
      <c r="E29" s="27">
        <v>1847</v>
      </c>
    </row>
    <row r="30" spans="1:5" ht="23.1" customHeight="1" x14ac:dyDescent="0.25">
      <c r="A30" s="23">
        <v>19</v>
      </c>
      <c r="B30" s="27" t="s">
        <v>1009</v>
      </c>
      <c r="C30" s="27">
        <v>1758</v>
      </c>
      <c r="D30" s="27">
        <v>888</v>
      </c>
      <c r="E30" s="27">
        <v>870</v>
      </c>
    </row>
    <row r="31" spans="1:5" ht="23.1" customHeight="1" x14ac:dyDescent="0.25">
      <c r="A31" s="23">
        <v>20</v>
      </c>
      <c r="B31" s="27" t="s">
        <v>1010</v>
      </c>
      <c r="C31" s="27">
        <v>2046</v>
      </c>
      <c r="D31" s="27">
        <v>978</v>
      </c>
      <c r="E31" s="27">
        <v>1068</v>
      </c>
    </row>
    <row r="32" spans="1:5" ht="23.1" customHeight="1" x14ac:dyDescent="0.25">
      <c r="A32" s="28">
        <v>21</v>
      </c>
      <c r="B32" s="29" t="s">
        <v>1011</v>
      </c>
      <c r="C32" s="29">
        <v>1005</v>
      </c>
      <c r="D32" s="29">
        <v>490</v>
      </c>
      <c r="E32" s="29">
        <v>515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Kyaukme District,Namtu Township"/>
  </hyperlinks>
  <pageMargins left="0.75" right="0.5" top="0.5" bottom="0.2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selection sqref="A1:XFD1"/>
    </sheetView>
  </sheetViews>
  <sheetFormatPr defaultRowHeight="15" x14ac:dyDescent="0.25"/>
  <cols>
    <col min="2" max="2" width="25.42578125" customWidth="1"/>
    <col min="3" max="5" width="15.7109375" customWidth="1"/>
  </cols>
  <sheetData>
    <row r="1" spans="1:5" ht="18.75" x14ac:dyDescent="0.3">
      <c r="A1" s="180" t="s">
        <v>1419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15.75" x14ac:dyDescent="0.25">
      <c r="A3" s="20"/>
      <c r="B3" s="20"/>
      <c r="C3" s="20"/>
      <c r="D3" s="20"/>
      <c r="E3" s="20"/>
    </row>
    <row r="4" spans="1:5" ht="24.95" customHeight="1" x14ac:dyDescent="0.25">
      <c r="A4" s="173" t="s">
        <v>1339</v>
      </c>
      <c r="B4" s="181" t="s">
        <v>1422</v>
      </c>
      <c r="C4" s="174" t="s">
        <v>1340</v>
      </c>
      <c r="D4" s="175"/>
      <c r="E4" s="176"/>
    </row>
    <row r="5" spans="1:5" ht="24.95" customHeight="1" x14ac:dyDescent="0.25">
      <c r="A5" s="181"/>
      <c r="B5" s="182"/>
      <c r="C5" s="65" t="s">
        <v>0</v>
      </c>
      <c r="D5" s="65" t="s">
        <v>1</v>
      </c>
      <c r="E5" s="65" t="s">
        <v>2</v>
      </c>
    </row>
    <row r="6" spans="1:5" ht="24.95" customHeight="1" x14ac:dyDescent="0.25">
      <c r="A6" s="48"/>
      <c r="B6" s="26" t="s">
        <v>0</v>
      </c>
      <c r="C6" s="26">
        <v>72204</v>
      </c>
      <c r="D6" s="26">
        <v>32708</v>
      </c>
      <c r="E6" s="26">
        <v>39496</v>
      </c>
    </row>
    <row r="7" spans="1:5" ht="10.5" customHeight="1" x14ac:dyDescent="0.25">
      <c r="A7" s="23"/>
      <c r="B7" s="24"/>
      <c r="C7" s="24"/>
      <c r="D7" s="24"/>
      <c r="E7" s="24"/>
    </row>
    <row r="8" spans="1:5" ht="24.95" customHeight="1" x14ac:dyDescent="0.25">
      <c r="A8" s="23"/>
      <c r="B8" s="24" t="s">
        <v>1338</v>
      </c>
      <c r="C8" s="24">
        <f>SUM(C9:C14)</f>
        <v>4138</v>
      </c>
      <c r="D8" s="24">
        <f t="shared" ref="D8:E8" si="0">SUM(D9:D14)</f>
        <v>1982</v>
      </c>
      <c r="E8" s="24">
        <f t="shared" si="0"/>
        <v>2156</v>
      </c>
    </row>
    <row r="9" spans="1:5" ht="24.95" customHeight="1" x14ac:dyDescent="0.25">
      <c r="A9" s="23">
        <v>1</v>
      </c>
      <c r="B9" s="27" t="s">
        <v>1012</v>
      </c>
      <c r="C9" s="27">
        <v>826</v>
      </c>
      <c r="D9" s="27">
        <v>352</v>
      </c>
      <c r="E9" s="27">
        <v>474</v>
      </c>
    </row>
    <row r="10" spans="1:5" ht="24.95" customHeight="1" x14ac:dyDescent="0.25">
      <c r="A10" s="23">
        <v>2</v>
      </c>
      <c r="B10" s="27" t="s">
        <v>67</v>
      </c>
      <c r="C10" s="27">
        <v>826</v>
      </c>
      <c r="D10" s="27">
        <v>405</v>
      </c>
      <c r="E10" s="27">
        <v>421</v>
      </c>
    </row>
    <row r="11" spans="1:5" ht="24.95" customHeight="1" x14ac:dyDescent="0.25">
      <c r="A11" s="23">
        <v>3</v>
      </c>
      <c r="B11" s="27" t="s">
        <v>47</v>
      </c>
      <c r="C11" s="27">
        <v>904</v>
      </c>
      <c r="D11" s="27">
        <v>426</v>
      </c>
      <c r="E11" s="27">
        <v>478</v>
      </c>
    </row>
    <row r="12" spans="1:5" ht="24.95" customHeight="1" x14ac:dyDescent="0.25">
      <c r="A12" s="23">
        <v>4</v>
      </c>
      <c r="B12" s="27" t="s">
        <v>1013</v>
      </c>
      <c r="C12" s="27">
        <v>902</v>
      </c>
      <c r="D12" s="27">
        <v>432</v>
      </c>
      <c r="E12" s="27">
        <v>470</v>
      </c>
    </row>
    <row r="13" spans="1:5" ht="24.95" customHeight="1" x14ac:dyDescent="0.25">
      <c r="A13" s="23">
        <v>5</v>
      </c>
      <c r="B13" s="27" t="s">
        <v>1014</v>
      </c>
      <c r="C13" s="27">
        <v>363</v>
      </c>
      <c r="D13" s="27">
        <v>209</v>
      </c>
      <c r="E13" s="27">
        <v>154</v>
      </c>
    </row>
    <row r="14" spans="1:5" ht="24.95" customHeight="1" x14ac:dyDescent="0.25">
      <c r="A14" s="23">
        <v>6</v>
      </c>
      <c r="B14" s="27" t="s">
        <v>1015</v>
      </c>
      <c r="C14" s="27">
        <v>317</v>
      </c>
      <c r="D14" s="27">
        <v>158</v>
      </c>
      <c r="E14" s="27">
        <v>159</v>
      </c>
    </row>
    <row r="15" spans="1:5" ht="24.95" customHeight="1" x14ac:dyDescent="0.25">
      <c r="A15" s="23"/>
      <c r="B15" s="24" t="s">
        <v>1410</v>
      </c>
      <c r="C15" s="24">
        <f>SUM(C16:C41)</f>
        <v>68066</v>
      </c>
      <c r="D15" s="24">
        <f t="shared" ref="D15:E15" si="1">SUM(D16:D41)</f>
        <v>30726</v>
      </c>
      <c r="E15" s="24">
        <f t="shared" si="1"/>
        <v>37340</v>
      </c>
    </row>
    <row r="16" spans="1:5" ht="24.95" customHeight="1" x14ac:dyDescent="0.25">
      <c r="A16" s="23">
        <v>1</v>
      </c>
      <c r="B16" s="27" t="s">
        <v>1016</v>
      </c>
      <c r="C16" s="27">
        <v>1438</v>
      </c>
      <c r="D16" s="27">
        <v>674</v>
      </c>
      <c r="E16" s="27">
        <v>764</v>
      </c>
    </row>
    <row r="17" spans="1:8" ht="24.95" customHeight="1" x14ac:dyDescent="0.25">
      <c r="A17" s="23">
        <v>2</v>
      </c>
      <c r="B17" s="27" t="s">
        <v>1017</v>
      </c>
      <c r="C17" s="27">
        <v>3092</v>
      </c>
      <c r="D17" s="27">
        <v>1459</v>
      </c>
      <c r="E17" s="27">
        <v>1633</v>
      </c>
    </row>
    <row r="18" spans="1:8" ht="24.95" customHeight="1" x14ac:dyDescent="0.25">
      <c r="A18" s="23">
        <v>3</v>
      </c>
      <c r="B18" s="27" t="s">
        <v>1018</v>
      </c>
      <c r="C18" s="27">
        <v>3798</v>
      </c>
      <c r="D18" s="27">
        <v>1800</v>
      </c>
      <c r="E18" s="27">
        <v>1998</v>
      </c>
    </row>
    <row r="19" spans="1:8" ht="24.95" customHeight="1" x14ac:dyDescent="0.25">
      <c r="A19" s="23">
        <v>4</v>
      </c>
      <c r="B19" s="27" t="s">
        <v>1019</v>
      </c>
      <c r="C19" s="27">
        <v>1946</v>
      </c>
      <c r="D19" s="27">
        <v>894</v>
      </c>
      <c r="E19" s="27">
        <v>1052</v>
      </c>
    </row>
    <row r="20" spans="1:8" ht="24.95" customHeight="1" x14ac:dyDescent="0.25">
      <c r="A20" s="23">
        <v>5</v>
      </c>
      <c r="B20" s="27" t="s">
        <v>1020</v>
      </c>
      <c r="C20" s="27">
        <v>2040</v>
      </c>
      <c r="D20" s="27">
        <v>959</v>
      </c>
      <c r="E20" s="27">
        <v>1081</v>
      </c>
    </row>
    <row r="21" spans="1:8" ht="24.95" customHeight="1" x14ac:dyDescent="0.25">
      <c r="A21" s="23">
        <v>6</v>
      </c>
      <c r="B21" s="27" t="s">
        <v>1021</v>
      </c>
      <c r="C21" s="27">
        <v>2861</v>
      </c>
      <c r="D21" s="27">
        <v>1245</v>
      </c>
      <c r="E21" s="27">
        <v>1616</v>
      </c>
    </row>
    <row r="22" spans="1:8" ht="24.95" customHeight="1" x14ac:dyDescent="0.25">
      <c r="A22" s="23">
        <v>7</v>
      </c>
      <c r="B22" s="27" t="s">
        <v>1022</v>
      </c>
      <c r="C22" s="27">
        <v>3721</v>
      </c>
      <c r="D22" s="27">
        <v>1701</v>
      </c>
      <c r="E22" s="27">
        <v>2020</v>
      </c>
    </row>
    <row r="23" spans="1:8" ht="24.95" customHeight="1" x14ac:dyDescent="0.25">
      <c r="A23" s="23">
        <v>8</v>
      </c>
      <c r="B23" s="27" t="s">
        <v>597</v>
      </c>
      <c r="C23" s="27">
        <v>2472</v>
      </c>
      <c r="D23" s="27">
        <v>1143</v>
      </c>
      <c r="E23" s="27">
        <v>1329</v>
      </c>
    </row>
    <row r="24" spans="1:8" ht="24.95" customHeight="1" x14ac:dyDescent="0.25">
      <c r="A24" s="23">
        <v>9</v>
      </c>
      <c r="B24" s="27" t="s">
        <v>1023</v>
      </c>
      <c r="C24" s="27">
        <v>1776</v>
      </c>
      <c r="D24" s="27">
        <v>755</v>
      </c>
      <c r="E24" s="27">
        <v>1021</v>
      </c>
    </row>
    <row r="25" spans="1:8" ht="24.95" customHeight="1" x14ac:dyDescent="0.25">
      <c r="A25" s="23">
        <v>10</v>
      </c>
      <c r="B25" s="27" t="s">
        <v>1024</v>
      </c>
      <c r="C25" s="27">
        <v>3387</v>
      </c>
      <c r="D25" s="27">
        <v>1500</v>
      </c>
      <c r="E25" s="27">
        <v>1887</v>
      </c>
    </row>
    <row r="26" spans="1:8" ht="24.95" customHeight="1" x14ac:dyDescent="0.25">
      <c r="A26" s="23">
        <v>11</v>
      </c>
      <c r="B26" s="27" t="s">
        <v>1025</v>
      </c>
      <c r="C26" s="27">
        <v>2544</v>
      </c>
      <c r="D26" s="27">
        <v>1082</v>
      </c>
      <c r="E26" s="27">
        <v>1462</v>
      </c>
    </row>
    <row r="27" spans="1:8" ht="24.95" customHeight="1" x14ac:dyDescent="0.25">
      <c r="A27" s="23">
        <v>12</v>
      </c>
      <c r="B27" s="27" t="s">
        <v>1026</v>
      </c>
      <c r="C27" s="27">
        <v>1969</v>
      </c>
      <c r="D27" s="27">
        <v>835</v>
      </c>
      <c r="E27" s="27">
        <v>1134</v>
      </c>
    </row>
    <row r="28" spans="1:8" ht="24.95" customHeight="1" x14ac:dyDescent="0.25">
      <c r="A28" s="23">
        <v>13</v>
      </c>
      <c r="B28" s="27" t="s">
        <v>1027</v>
      </c>
      <c r="C28" s="27">
        <v>2342</v>
      </c>
      <c r="D28" s="27">
        <v>1133</v>
      </c>
      <c r="E28" s="27">
        <v>1209</v>
      </c>
    </row>
    <row r="29" spans="1:8" ht="24.95" customHeight="1" x14ac:dyDescent="0.25">
      <c r="A29" s="23">
        <v>14</v>
      </c>
      <c r="B29" s="27" t="s">
        <v>1028</v>
      </c>
      <c r="C29" s="27">
        <v>3349</v>
      </c>
      <c r="D29" s="27">
        <v>1605</v>
      </c>
      <c r="E29" s="27">
        <v>1744</v>
      </c>
    </row>
    <row r="30" spans="1:8" s="13" customFormat="1" ht="24.95" customHeight="1" x14ac:dyDescent="0.25">
      <c r="A30" s="23">
        <v>15</v>
      </c>
      <c r="B30" s="27" t="s">
        <v>1029</v>
      </c>
      <c r="C30" s="27">
        <v>1721</v>
      </c>
      <c r="D30" s="27">
        <v>722</v>
      </c>
      <c r="E30" s="27">
        <v>999</v>
      </c>
      <c r="F30"/>
      <c r="G30"/>
      <c r="H30"/>
    </row>
    <row r="31" spans="1:8" ht="24.95" customHeight="1" x14ac:dyDescent="0.25">
      <c r="A31" s="23">
        <v>16</v>
      </c>
      <c r="B31" s="27" t="s">
        <v>638</v>
      </c>
      <c r="C31" s="27">
        <v>1247</v>
      </c>
      <c r="D31" s="27">
        <v>597</v>
      </c>
      <c r="E31" s="27">
        <v>650</v>
      </c>
    </row>
    <row r="32" spans="1:8" ht="24.95" customHeight="1" x14ac:dyDescent="0.25">
      <c r="A32" s="23">
        <v>17</v>
      </c>
      <c r="B32" s="27" t="s">
        <v>1030</v>
      </c>
      <c r="C32" s="27">
        <v>1759</v>
      </c>
      <c r="D32" s="27">
        <v>782</v>
      </c>
      <c r="E32" s="27">
        <v>977</v>
      </c>
    </row>
    <row r="33" spans="1:5" ht="24.95" customHeight="1" x14ac:dyDescent="0.25">
      <c r="A33" s="23">
        <v>18</v>
      </c>
      <c r="B33" s="27" t="s">
        <v>1031</v>
      </c>
      <c r="C33" s="27">
        <v>532</v>
      </c>
      <c r="D33" s="27">
        <v>264</v>
      </c>
      <c r="E33" s="27">
        <v>268</v>
      </c>
    </row>
    <row r="34" spans="1:5" ht="24.95" customHeight="1" x14ac:dyDescent="0.25">
      <c r="A34" s="23">
        <v>19</v>
      </c>
      <c r="B34" s="27" t="s">
        <v>1032</v>
      </c>
      <c r="C34" s="27">
        <v>4758</v>
      </c>
      <c r="D34" s="27">
        <v>2143</v>
      </c>
      <c r="E34" s="27">
        <v>2615</v>
      </c>
    </row>
    <row r="35" spans="1:5" ht="24.95" customHeight="1" x14ac:dyDescent="0.25">
      <c r="A35" s="23">
        <v>20</v>
      </c>
      <c r="B35" s="27" t="s">
        <v>1033</v>
      </c>
      <c r="C35" s="27">
        <v>3744</v>
      </c>
      <c r="D35" s="27">
        <v>1780</v>
      </c>
      <c r="E35" s="27">
        <v>1964</v>
      </c>
    </row>
    <row r="36" spans="1:5" ht="24.95" customHeight="1" x14ac:dyDescent="0.25">
      <c r="A36" s="23">
        <v>21</v>
      </c>
      <c r="B36" s="27" t="s">
        <v>1034</v>
      </c>
      <c r="C36" s="27">
        <v>2209</v>
      </c>
      <c r="D36" s="27">
        <v>1011</v>
      </c>
      <c r="E36" s="27">
        <v>1198</v>
      </c>
    </row>
    <row r="37" spans="1:5" ht="24.95" customHeight="1" x14ac:dyDescent="0.25">
      <c r="A37" s="23">
        <v>22</v>
      </c>
      <c r="B37" s="27" t="s">
        <v>1035</v>
      </c>
      <c r="C37" s="27">
        <v>4850</v>
      </c>
      <c r="D37" s="27">
        <v>2060</v>
      </c>
      <c r="E37" s="27">
        <v>2790</v>
      </c>
    </row>
    <row r="38" spans="1:5" ht="24.95" customHeight="1" x14ac:dyDescent="0.25">
      <c r="A38" s="23">
        <v>23</v>
      </c>
      <c r="B38" s="27" t="s">
        <v>1036</v>
      </c>
      <c r="C38" s="27">
        <v>2281</v>
      </c>
      <c r="D38" s="27">
        <v>1008</v>
      </c>
      <c r="E38" s="27">
        <v>1273</v>
      </c>
    </row>
    <row r="39" spans="1:5" ht="24.95" customHeight="1" x14ac:dyDescent="0.25">
      <c r="A39" s="23">
        <v>24</v>
      </c>
      <c r="B39" s="27" t="s">
        <v>1037</v>
      </c>
      <c r="C39" s="27">
        <v>3486</v>
      </c>
      <c r="D39" s="27">
        <v>1608</v>
      </c>
      <c r="E39" s="27">
        <v>1878</v>
      </c>
    </row>
    <row r="40" spans="1:5" ht="24.95" customHeight="1" x14ac:dyDescent="0.25">
      <c r="A40" s="23">
        <v>25</v>
      </c>
      <c r="B40" s="27" t="s">
        <v>1038</v>
      </c>
      <c r="C40" s="27">
        <v>1985</v>
      </c>
      <c r="D40" s="27">
        <v>905</v>
      </c>
      <c r="E40" s="27">
        <v>1080</v>
      </c>
    </row>
    <row r="41" spans="1:5" ht="24.95" customHeight="1" x14ac:dyDescent="0.25">
      <c r="A41" s="28">
        <v>26</v>
      </c>
      <c r="B41" s="29" t="s">
        <v>1039</v>
      </c>
      <c r="C41" s="29">
        <v>2759</v>
      </c>
      <c r="D41" s="29">
        <v>1061</v>
      </c>
      <c r="E41" s="29">
        <v>1698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Kyaukme District, Namsan(North) Township"/>
  </hyperlinks>
  <pageMargins left="0.75" right="0.5" top="0.5" bottom="0.2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workbookViewId="0">
      <selection sqref="A1:XFD1"/>
    </sheetView>
  </sheetViews>
  <sheetFormatPr defaultRowHeight="15" x14ac:dyDescent="0.25"/>
  <cols>
    <col min="2" max="2" width="32.5703125" customWidth="1"/>
    <col min="3" max="5" width="15.7109375" customWidth="1"/>
  </cols>
  <sheetData>
    <row r="1" spans="1:5" ht="18.75" x14ac:dyDescent="0.3">
      <c r="A1" s="180" t="s">
        <v>1418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15.75" x14ac:dyDescent="0.25">
      <c r="A3" s="20"/>
      <c r="B3" s="20"/>
      <c r="C3" s="20"/>
      <c r="D3" s="20"/>
      <c r="E3" s="20"/>
    </row>
    <row r="4" spans="1:5" ht="15.75" x14ac:dyDescent="0.25">
      <c r="A4" s="173" t="s">
        <v>1339</v>
      </c>
      <c r="B4" s="181" t="s">
        <v>1422</v>
      </c>
      <c r="C4" s="174" t="s">
        <v>1340</v>
      </c>
      <c r="D4" s="175"/>
      <c r="E4" s="176"/>
    </row>
    <row r="5" spans="1:5" ht="15.75" x14ac:dyDescent="0.25">
      <c r="A5" s="181"/>
      <c r="B5" s="182"/>
      <c r="C5" s="65" t="s">
        <v>0</v>
      </c>
      <c r="D5" s="65" t="s">
        <v>1</v>
      </c>
      <c r="E5" s="65" t="s">
        <v>2</v>
      </c>
    </row>
    <row r="6" spans="1:5" s="13" customFormat="1" ht="24" customHeight="1" x14ac:dyDescent="0.25">
      <c r="A6" s="61"/>
      <c r="B6" s="26" t="s">
        <v>0</v>
      </c>
      <c r="C6" s="26">
        <v>63330</v>
      </c>
      <c r="D6" s="26">
        <v>31545</v>
      </c>
      <c r="E6" s="26">
        <v>31785</v>
      </c>
    </row>
    <row r="7" spans="1:5" s="13" customFormat="1" ht="12.75" customHeight="1" x14ac:dyDescent="0.25">
      <c r="A7" s="62"/>
      <c r="B7" s="63"/>
      <c r="C7" s="63"/>
      <c r="D7" s="63"/>
      <c r="E7" s="63"/>
    </row>
    <row r="8" spans="1:5" s="13" customFormat="1" ht="15.75" x14ac:dyDescent="0.25">
      <c r="A8" s="62"/>
      <c r="B8" s="63" t="s">
        <v>1338</v>
      </c>
      <c r="C8" s="63">
        <f>SUM(C9:C12)</f>
        <v>10260</v>
      </c>
      <c r="D8" s="63">
        <f t="shared" ref="D8:E8" si="0">SUM(D9:D12)</f>
        <v>4778</v>
      </c>
      <c r="E8" s="63">
        <f t="shared" si="0"/>
        <v>5482</v>
      </c>
    </row>
    <row r="9" spans="1:5" s="13" customFormat="1" ht="24.95" customHeight="1" x14ac:dyDescent="0.25">
      <c r="A9" s="62">
        <v>1</v>
      </c>
      <c r="B9" s="27" t="s">
        <v>1040</v>
      </c>
      <c r="C9" s="27">
        <v>3049</v>
      </c>
      <c r="D9" s="27">
        <v>1426</v>
      </c>
      <c r="E9" s="27">
        <v>1623</v>
      </c>
    </row>
    <row r="10" spans="1:5" s="13" customFormat="1" ht="24.95" customHeight="1" x14ac:dyDescent="0.25">
      <c r="A10" s="62">
        <v>2</v>
      </c>
      <c r="B10" s="27" t="s">
        <v>1041</v>
      </c>
      <c r="C10" s="27">
        <v>2836</v>
      </c>
      <c r="D10" s="27">
        <v>1389</v>
      </c>
      <c r="E10" s="27">
        <v>1447</v>
      </c>
    </row>
    <row r="11" spans="1:5" s="13" customFormat="1" ht="24.95" customHeight="1" x14ac:dyDescent="0.25">
      <c r="A11" s="62">
        <v>3</v>
      </c>
      <c r="B11" s="27" t="s">
        <v>1042</v>
      </c>
      <c r="C11" s="27">
        <v>2889</v>
      </c>
      <c r="D11" s="27">
        <v>1239</v>
      </c>
      <c r="E11" s="27">
        <v>1650</v>
      </c>
    </row>
    <row r="12" spans="1:5" s="13" customFormat="1" ht="24.95" customHeight="1" x14ac:dyDescent="0.25">
      <c r="A12" s="62">
        <v>4</v>
      </c>
      <c r="B12" s="27" t="s">
        <v>1043</v>
      </c>
      <c r="C12" s="27">
        <v>1486</v>
      </c>
      <c r="D12" s="27">
        <v>724</v>
      </c>
      <c r="E12" s="27">
        <v>762</v>
      </c>
    </row>
    <row r="13" spans="1:5" s="13" customFormat="1" ht="24.95" customHeight="1" x14ac:dyDescent="0.25">
      <c r="A13" s="62"/>
      <c r="B13" s="63" t="s">
        <v>1410</v>
      </c>
      <c r="C13" s="66">
        <f>SUM(C14:C41)</f>
        <v>53070</v>
      </c>
      <c r="D13" s="66">
        <f t="shared" ref="D13:E13" si="1">SUM(D14:D41)</f>
        <v>26767</v>
      </c>
      <c r="E13" s="66">
        <f t="shared" si="1"/>
        <v>26303</v>
      </c>
    </row>
    <row r="14" spans="1:5" s="13" customFormat="1" ht="24.95" customHeight="1" x14ac:dyDescent="0.25">
      <c r="A14" s="62">
        <v>1</v>
      </c>
      <c r="B14" s="27" t="s">
        <v>1044</v>
      </c>
      <c r="C14" s="27">
        <v>3809</v>
      </c>
      <c r="D14" s="27">
        <v>2032</v>
      </c>
      <c r="E14" s="27">
        <v>1777</v>
      </c>
    </row>
    <row r="15" spans="1:5" s="13" customFormat="1" ht="24.95" customHeight="1" x14ac:dyDescent="0.25">
      <c r="A15" s="62">
        <v>2</v>
      </c>
      <c r="B15" s="27" t="s">
        <v>1045</v>
      </c>
      <c r="C15" s="27">
        <v>1863</v>
      </c>
      <c r="D15" s="27">
        <v>857</v>
      </c>
      <c r="E15" s="27">
        <v>1006</v>
      </c>
    </row>
    <row r="16" spans="1:5" s="13" customFormat="1" ht="24.95" customHeight="1" x14ac:dyDescent="0.25">
      <c r="A16" s="62">
        <v>3</v>
      </c>
      <c r="B16" s="27" t="s">
        <v>1046</v>
      </c>
      <c r="C16" s="27">
        <v>1574</v>
      </c>
      <c r="D16" s="27">
        <v>807</v>
      </c>
      <c r="E16" s="27">
        <v>767</v>
      </c>
    </row>
    <row r="17" spans="1:5" s="13" customFormat="1" ht="24.95" customHeight="1" x14ac:dyDescent="0.25">
      <c r="A17" s="62">
        <v>4</v>
      </c>
      <c r="B17" s="27" t="s">
        <v>1047</v>
      </c>
      <c r="C17" s="27">
        <v>5646</v>
      </c>
      <c r="D17" s="27">
        <v>2985</v>
      </c>
      <c r="E17" s="27">
        <v>2661</v>
      </c>
    </row>
    <row r="18" spans="1:5" s="13" customFormat="1" ht="24.95" customHeight="1" x14ac:dyDescent="0.25">
      <c r="A18" s="62">
        <v>5</v>
      </c>
      <c r="B18" s="27" t="s">
        <v>1048</v>
      </c>
      <c r="C18" s="27">
        <v>1592</v>
      </c>
      <c r="D18" s="27">
        <v>794</v>
      </c>
      <c r="E18" s="27">
        <v>798</v>
      </c>
    </row>
    <row r="19" spans="1:5" s="13" customFormat="1" ht="24.95" customHeight="1" x14ac:dyDescent="0.25">
      <c r="A19" s="62">
        <v>6</v>
      </c>
      <c r="B19" s="27" t="s">
        <v>1049</v>
      </c>
      <c r="C19" s="27">
        <v>3216</v>
      </c>
      <c r="D19" s="27">
        <v>1576</v>
      </c>
      <c r="E19" s="27">
        <v>1640</v>
      </c>
    </row>
    <row r="20" spans="1:5" s="13" customFormat="1" ht="24.95" customHeight="1" x14ac:dyDescent="0.25">
      <c r="A20" s="62">
        <v>7</v>
      </c>
      <c r="B20" s="27" t="s">
        <v>1050</v>
      </c>
      <c r="C20" s="27">
        <v>2898</v>
      </c>
      <c r="D20" s="27">
        <v>1400</v>
      </c>
      <c r="E20" s="27">
        <v>1498</v>
      </c>
    </row>
    <row r="21" spans="1:5" s="13" customFormat="1" ht="24.95" customHeight="1" x14ac:dyDescent="0.25">
      <c r="A21" s="62">
        <v>8</v>
      </c>
      <c r="B21" s="27" t="s">
        <v>1051</v>
      </c>
      <c r="C21" s="27">
        <v>2658</v>
      </c>
      <c r="D21" s="27">
        <v>1344</v>
      </c>
      <c r="E21" s="27">
        <v>1314</v>
      </c>
    </row>
    <row r="22" spans="1:5" s="13" customFormat="1" ht="24.95" customHeight="1" x14ac:dyDescent="0.25">
      <c r="A22" s="62">
        <v>9</v>
      </c>
      <c r="B22" s="27" t="s">
        <v>1052</v>
      </c>
      <c r="C22" s="27">
        <v>4297</v>
      </c>
      <c r="D22" s="27">
        <v>2123</v>
      </c>
      <c r="E22" s="27">
        <v>2174</v>
      </c>
    </row>
    <row r="23" spans="1:5" s="13" customFormat="1" ht="24.95" customHeight="1" x14ac:dyDescent="0.25">
      <c r="A23" s="62">
        <v>10</v>
      </c>
      <c r="B23" s="27" t="s">
        <v>1053</v>
      </c>
      <c r="C23" s="27">
        <v>1785</v>
      </c>
      <c r="D23" s="27">
        <v>961</v>
      </c>
      <c r="E23" s="27">
        <v>824</v>
      </c>
    </row>
    <row r="24" spans="1:5" s="13" customFormat="1" ht="24.95" customHeight="1" x14ac:dyDescent="0.25">
      <c r="A24" s="62">
        <v>11</v>
      </c>
      <c r="B24" s="27" t="s">
        <v>1054</v>
      </c>
      <c r="C24" s="27">
        <v>7616</v>
      </c>
      <c r="D24" s="27">
        <v>3895</v>
      </c>
      <c r="E24" s="27">
        <v>3721</v>
      </c>
    </row>
    <row r="25" spans="1:5" s="13" customFormat="1" ht="24.95" customHeight="1" x14ac:dyDescent="0.25">
      <c r="A25" s="62">
        <v>12</v>
      </c>
      <c r="B25" s="27" t="s">
        <v>1055</v>
      </c>
      <c r="C25" s="27">
        <v>2889</v>
      </c>
      <c r="D25" s="27">
        <v>1432</v>
      </c>
      <c r="E25" s="27">
        <v>1457</v>
      </c>
    </row>
    <row r="26" spans="1:5" s="13" customFormat="1" ht="24.95" customHeight="1" x14ac:dyDescent="0.25">
      <c r="A26" s="62">
        <v>13</v>
      </c>
      <c r="B26" s="27" t="s">
        <v>1056</v>
      </c>
      <c r="C26" s="27">
        <v>2723</v>
      </c>
      <c r="D26" s="27">
        <v>1290</v>
      </c>
      <c r="E26" s="27">
        <v>1433</v>
      </c>
    </row>
    <row r="27" spans="1:5" s="13" customFormat="1" ht="24.95" customHeight="1" x14ac:dyDescent="0.25">
      <c r="A27" s="62">
        <v>14</v>
      </c>
      <c r="B27" s="27" t="s">
        <v>1057</v>
      </c>
      <c r="C27" s="27">
        <v>1083</v>
      </c>
      <c r="D27" s="27">
        <v>554</v>
      </c>
      <c r="E27" s="27">
        <v>529</v>
      </c>
    </row>
    <row r="28" spans="1:5" s="13" customFormat="1" ht="24.95" customHeight="1" x14ac:dyDescent="0.25">
      <c r="A28" s="62">
        <v>15</v>
      </c>
      <c r="B28" s="27" t="s">
        <v>984</v>
      </c>
      <c r="C28" s="27">
        <v>1104</v>
      </c>
      <c r="D28" s="27">
        <v>540</v>
      </c>
      <c r="E28" s="27">
        <v>564</v>
      </c>
    </row>
    <row r="29" spans="1:5" s="13" customFormat="1" ht="24.95" customHeight="1" x14ac:dyDescent="0.25">
      <c r="A29" s="62">
        <v>16</v>
      </c>
      <c r="B29" s="27" t="s">
        <v>1058</v>
      </c>
      <c r="C29" s="27">
        <v>724</v>
      </c>
      <c r="D29" s="27">
        <v>362</v>
      </c>
      <c r="E29" s="27">
        <v>362</v>
      </c>
    </row>
    <row r="30" spans="1:5" s="13" customFormat="1" ht="24.95" customHeight="1" x14ac:dyDescent="0.25">
      <c r="A30" s="62">
        <v>17</v>
      </c>
      <c r="B30" s="27" t="s">
        <v>1059</v>
      </c>
      <c r="C30" s="27">
        <v>569</v>
      </c>
      <c r="D30" s="27">
        <v>268</v>
      </c>
      <c r="E30" s="27">
        <v>301</v>
      </c>
    </row>
    <row r="31" spans="1:5" s="13" customFormat="1" ht="24.95" customHeight="1" x14ac:dyDescent="0.25">
      <c r="A31" s="62">
        <v>18</v>
      </c>
      <c r="B31" s="27" t="s">
        <v>1060</v>
      </c>
      <c r="C31" s="27">
        <v>242</v>
      </c>
      <c r="D31" s="27">
        <v>113</v>
      </c>
      <c r="E31" s="27">
        <v>129</v>
      </c>
    </row>
    <row r="32" spans="1:5" s="13" customFormat="1" ht="24.95" customHeight="1" x14ac:dyDescent="0.25">
      <c r="A32" s="62">
        <v>19</v>
      </c>
      <c r="B32" s="27" t="s">
        <v>1061</v>
      </c>
      <c r="C32" s="27">
        <v>149</v>
      </c>
      <c r="D32" s="27">
        <v>77</v>
      </c>
      <c r="E32" s="27">
        <v>72</v>
      </c>
    </row>
    <row r="33" spans="1:8" s="13" customFormat="1" ht="24.95" customHeight="1" x14ac:dyDescent="0.25">
      <c r="A33" s="62">
        <v>20</v>
      </c>
      <c r="B33" s="27" t="s">
        <v>593</v>
      </c>
      <c r="C33" s="27">
        <v>547</v>
      </c>
      <c r="D33" s="27">
        <v>270</v>
      </c>
      <c r="E33" s="27">
        <v>277</v>
      </c>
    </row>
    <row r="34" spans="1:8" s="13" customFormat="1" ht="24.95" customHeight="1" x14ac:dyDescent="0.25">
      <c r="A34" s="62">
        <v>21</v>
      </c>
      <c r="B34" s="27" t="s">
        <v>399</v>
      </c>
      <c r="C34" s="27">
        <v>465</v>
      </c>
      <c r="D34" s="27">
        <v>236</v>
      </c>
      <c r="E34" s="27">
        <v>229</v>
      </c>
    </row>
    <row r="35" spans="1:8" s="13" customFormat="1" ht="24.95" customHeight="1" x14ac:dyDescent="0.25">
      <c r="A35" s="62">
        <v>22</v>
      </c>
      <c r="B35" s="27" t="s">
        <v>1062</v>
      </c>
      <c r="C35" s="27">
        <v>1909</v>
      </c>
      <c r="D35" s="27">
        <v>1055</v>
      </c>
      <c r="E35" s="27">
        <v>854</v>
      </c>
    </row>
    <row r="36" spans="1:8" s="13" customFormat="1" ht="24.95" customHeight="1" x14ac:dyDescent="0.25">
      <c r="A36" s="62">
        <v>23</v>
      </c>
      <c r="B36" s="27" t="s">
        <v>1063</v>
      </c>
      <c r="C36" s="27">
        <v>832</v>
      </c>
      <c r="D36" s="27">
        <v>386</v>
      </c>
      <c r="E36" s="27">
        <v>446</v>
      </c>
    </row>
    <row r="37" spans="1:8" s="13" customFormat="1" ht="24.95" customHeight="1" x14ac:dyDescent="0.25">
      <c r="A37" s="62">
        <v>24</v>
      </c>
      <c r="B37" s="27" t="s">
        <v>1064</v>
      </c>
      <c r="C37" s="27">
        <v>34</v>
      </c>
      <c r="D37" s="27">
        <v>19</v>
      </c>
      <c r="E37" s="27">
        <v>15</v>
      </c>
    </row>
    <row r="38" spans="1:8" s="13" customFormat="1" ht="24.95" customHeight="1" x14ac:dyDescent="0.25">
      <c r="A38" s="62">
        <v>25</v>
      </c>
      <c r="B38" s="27" t="s">
        <v>1065</v>
      </c>
      <c r="C38" s="27">
        <v>660</v>
      </c>
      <c r="D38" s="27">
        <v>311</v>
      </c>
      <c r="E38" s="27">
        <v>349</v>
      </c>
    </row>
    <row r="39" spans="1:8" s="13" customFormat="1" ht="24.95" customHeight="1" x14ac:dyDescent="0.25">
      <c r="A39" s="62">
        <v>26</v>
      </c>
      <c r="B39" s="27" t="s">
        <v>1066</v>
      </c>
      <c r="C39" s="27">
        <v>1021</v>
      </c>
      <c r="D39" s="27">
        <v>511</v>
      </c>
      <c r="E39" s="27">
        <v>510</v>
      </c>
    </row>
    <row r="40" spans="1:8" s="13" customFormat="1" ht="24.95" customHeight="1" x14ac:dyDescent="0.25">
      <c r="A40" s="62">
        <v>27</v>
      </c>
      <c r="B40" s="27" t="s">
        <v>1067</v>
      </c>
      <c r="C40" s="27">
        <v>562</v>
      </c>
      <c r="D40" s="27">
        <v>282</v>
      </c>
      <c r="E40" s="27">
        <v>280</v>
      </c>
    </row>
    <row r="41" spans="1:8" s="13" customFormat="1" ht="24.95" customHeight="1" x14ac:dyDescent="0.25">
      <c r="A41" s="64">
        <v>28</v>
      </c>
      <c r="B41" s="29" t="s">
        <v>1068</v>
      </c>
      <c r="C41" s="29">
        <v>603</v>
      </c>
      <c r="D41" s="29">
        <v>287</v>
      </c>
      <c r="E41" s="29">
        <v>316</v>
      </c>
    </row>
    <row r="42" spans="1:8" x14ac:dyDescent="0.25">
      <c r="F42" s="13"/>
      <c r="G42" s="13"/>
      <c r="H42" s="13"/>
    </row>
    <row r="43" spans="1:8" x14ac:dyDescent="0.25">
      <c r="F43" s="13"/>
      <c r="G43" s="13"/>
      <c r="H43" s="13"/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Kyaukme District,Momeik Township"/>
  </hyperlinks>
  <pageMargins left="0.75" right="0.5" top="0.5" bottom="0.25" header="0.3" footer="0.3"/>
  <pageSetup paperSize="9" orientation="portrait" horizontalDpi="1200" verticalDpi="12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selection sqref="A1:XFD1"/>
    </sheetView>
  </sheetViews>
  <sheetFormatPr defaultRowHeight="15" x14ac:dyDescent="0.25"/>
  <cols>
    <col min="2" max="2" width="28.7109375" customWidth="1"/>
    <col min="3" max="5" width="15.7109375" customWidth="1"/>
  </cols>
  <sheetData>
    <row r="1" spans="1:8" ht="18.75" x14ac:dyDescent="0.3">
      <c r="A1" s="180" t="s">
        <v>1417</v>
      </c>
      <c r="B1" s="180"/>
      <c r="C1" s="180"/>
      <c r="D1" s="180"/>
      <c r="E1" s="180"/>
    </row>
    <row r="2" spans="1:8" ht="15.75" x14ac:dyDescent="0.25">
      <c r="A2" s="20"/>
      <c r="B2" s="20"/>
      <c r="C2" s="20"/>
      <c r="D2" s="20"/>
      <c r="E2" s="74" t="s">
        <v>1341</v>
      </c>
    </row>
    <row r="3" spans="1:8" ht="15.75" x14ac:dyDescent="0.25">
      <c r="A3" s="20"/>
      <c r="B3" s="20"/>
      <c r="C3" s="20"/>
      <c r="D3" s="20"/>
      <c r="E3" s="20"/>
    </row>
    <row r="4" spans="1:8" ht="15.75" x14ac:dyDescent="0.25">
      <c r="A4" s="173" t="s">
        <v>1339</v>
      </c>
      <c r="B4" s="181" t="s">
        <v>1422</v>
      </c>
      <c r="C4" s="174" t="s">
        <v>1340</v>
      </c>
      <c r="D4" s="175"/>
      <c r="E4" s="176"/>
    </row>
    <row r="5" spans="1:8" ht="15.75" x14ac:dyDescent="0.25">
      <c r="A5" s="181"/>
      <c r="B5" s="182"/>
      <c r="C5" s="65" t="s">
        <v>0</v>
      </c>
      <c r="D5" s="65" t="s">
        <v>1</v>
      </c>
      <c r="E5" s="65" t="s">
        <v>2</v>
      </c>
    </row>
    <row r="6" spans="1:8" ht="27.75" customHeight="1" x14ac:dyDescent="0.25">
      <c r="A6" s="48"/>
      <c r="B6" s="26" t="s">
        <v>0</v>
      </c>
      <c r="C6" s="26">
        <v>47398</v>
      </c>
      <c r="D6" s="26">
        <v>24494</v>
      </c>
      <c r="E6" s="26">
        <v>22904</v>
      </c>
    </row>
    <row r="7" spans="1:8" ht="12.75" customHeight="1" x14ac:dyDescent="0.25">
      <c r="A7" s="23"/>
      <c r="B7" s="24"/>
      <c r="C7" s="24"/>
      <c r="D7" s="24"/>
      <c r="E7" s="24"/>
    </row>
    <row r="8" spans="1:8" ht="23.1" customHeight="1" x14ac:dyDescent="0.25">
      <c r="A8" s="23"/>
      <c r="B8" s="24" t="s">
        <v>1338</v>
      </c>
      <c r="C8" s="24">
        <f>SUM(C9:C11)</f>
        <v>3241</v>
      </c>
      <c r="D8" s="24">
        <f>SUM(D9:D11)</f>
        <v>1619</v>
      </c>
      <c r="E8" s="24">
        <f>SUM(E9:E11)</f>
        <v>1622</v>
      </c>
    </row>
    <row r="9" spans="1:8" s="10" customFormat="1" ht="23.1" customHeight="1" x14ac:dyDescent="0.25">
      <c r="A9" s="58">
        <v>1</v>
      </c>
      <c r="B9" s="27" t="s">
        <v>18</v>
      </c>
      <c r="C9" s="27">
        <v>717</v>
      </c>
      <c r="D9" s="27">
        <v>365</v>
      </c>
      <c r="E9" s="27">
        <v>352</v>
      </c>
      <c r="F9"/>
      <c r="G9"/>
      <c r="H9"/>
    </row>
    <row r="10" spans="1:8" s="10" customFormat="1" ht="23.1" customHeight="1" x14ac:dyDescent="0.25">
      <c r="A10" s="58">
        <v>2</v>
      </c>
      <c r="B10" s="27" t="s">
        <v>1069</v>
      </c>
      <c r="C10" s="27">
        <v>950</v>
      </c>
      <c r="D10" s="27">
        <v>441</v>
      </c>
      <c r="E10" s="27">
        <v>509</v>
      </c>
      <c r="F10"/>
      <c r="G10"/>
      <c r="H10"/>
    </row>
    <row r="11" spans="1:8" s="10" customFormat="1" ht="23.1" customHeight="1" x14ac:dyDescent="0.25">
      <c r="A11" s="58">
        <v>3</v>
      </c>
      <c r="B11" s="27" t="s">
        <v>1070</v>
      </c>
      <c r="C11" s="27">
        <v>1574</v>
      </c>
      <c r="D11" s="27">
        <v>813</v>
      </c>
      <c r="E11" s="27">
        <v>761</v>
      </c>
      <c r="F11"/>
      <c r="G11"/>
      <c r="H11"/>
    </row>
    <row r="12" spans="1:8" s="10" customFormat="1" ht="23.1" customHeight="1" x14ac:dyDescent="0.25">
      <c r="A12" s="58"/>
      <c r="B12" s="60" t="s">
        <v>1410</v>
      </c>
      <c r="C12" s="60">
        <f>SUM(C13:C28)</f>
        <v>44157</v>
      </c>
      <c r="D12" s="60">
        <f>SUM(D13:D28)</f>
        <v>22875</v>
      </c>
      <c r="E12" s="60">
        <f>SUM(E13:E28)</f>
        <v>21282</v>
      </c>
      <c r="F12"/>
      <c r="G12"/>
      <c r="H12"/>
    </row>
    <row r="13" spans="1:8" s="10" customFormat="1" ht="23.1" customHeight="1" x14ac:dyDescent="0.25">
      <c r="A13" s="58">
        <v>1</v>
      </c>
      <c r="B13" s="27" t="s">
        <v>1071</v>
      </c>
      <c r="C13" s="27">
        <v>2653</v>
      </c>
      <c r="D13" s="27">
        <v>1304</v>
      </c>
      <c r="E13" s="27">
        <v>1349</v>
      </c>
      <c r="F13"/>
      <c r="G13"/>
      <c r="H13"/>
    </row>
    <row r="14" spans="1:8" s="10" customFormat="1" ht="23.1" customHeight="1" x14ac:dyDescent="0.25">
      <c r="A14" s="58">
        <v>2</v>
      </c>
      <c r="B14" s="27" t="s">
        <v>1072</v>
      </c>
      <c r="C14" s="27">
        <v>1436</v>
      </c>
      <c r="D14" s="27">
        <v>748</v>
      </c>
      <c r="E14" s="27">
        <v>688</v>
      </c>
      <c r="F14"/>
      <c r="G14"/>
      <c r="H14"/>
    </row>
    <row r="15" spans="1:8" s="10" customFormat="1" ht="23.1" customHeight="1" x14ac:dyDescent="0.25">
      <c r="A15" s="58">
        <v>3</v>
      </c>
      <c r="B15" s="27" t="s">
        <v>1073</v>
      </c>
      <c r="C15" s="27">
        <v>2763</v>
      </c>
      <c r="D15" s="27">
        <v>1416</v>
      </c>
      <c r="E15" s="27">
        <v>1347</v>
      </c>
      <c r="F15"/>
      <c r="G15"/>
      <c r="H15"/>
    </row>
    <row r="16" spans="1:8" s="10" customFormat="1" ht="23.1" customHeight="1" x14ac:dyDescent="0.25">
      <c r="A16" s="58">
        <v>4</v>
      </c>
      <c r="B16" s="27" t="s">
        <v>1074</v>
      </c>
      <c r="C16" s="27">
        <v>2230</v>
      </c>
      <c r="D16" s="27">
        <v>1143</v>
      </c>
      <c r="E16" s="27">
        <v>1087</v>
      </c>
      <c r="F16"/>
      <c r="G16"/>
      <c r="H16"/>
    </row>
    <row r="17" spans="1:8" s="10" customFormat="1" ht="23.1" customHeight="1" x14ac:dyDescent="0.25">
      <c r="A17" s="58">
        <v>5</v>
      </c>
      <c r="B17" s="27" t="s">
        <v>1075</v>
      </c>
      <c r="C17" s="27">
        <v>1386</v>
      </c>
      <c r="D17" s="27">
        <v>726</v>
      </c>
      <c r="E17" s="27">
        <v>660</v>
      </c>
      <c r="F17"/>
      <c r="G17"/>
      <c r="H17"/>
    </row>
    <row r="18" spans="1:8" s="10" customFormat="1" ht="23.1" customHeight="1" x14ac:dyDescent="0.25">
      <c r="A18" s="58">
        <v>6</v>
      </c>
      <c r="B18" s="27" t="s">
        <v>1076</v>
      </c>
      <c r="C18" s="27">
        <v>1839</v>
      </c>
      <c r="D18" s="27">
        <v>965</v>
      </c>
      <c r="E18" s="27">
        <v>874</v>
      </c>
      <c r="F18"/>
      <c r="G18"/>
      <c r="H18"/>
    </row>
    <row r="19" spans="1:8" s="10" customFormat="1" ht="23.1" customHeight="1" x14ac:dyDescent="0.25">
      <c r="A19" s="58">
        <v>7</v>
      </c>
      <c r="B19" s="27" t="s">
        <v>1077</v>
      </c>
      <c r="C19" s="27">
        <v>1493</v>
      </c>
      <c r="D19" s="27">
        <v>772</v>
      </c>
      <c r="E19" s="27">
        <v>721</v>
      </c>
      <c r="F19"/>
      <c r="G19"/>
      <c r="H19"/>
    </row>
    <row r="20" spans="1:8" s="10" customFormat="1" ht="23.1" customHeight="1" x14ac:dyDescent="0.25">
      <c r="A20" s="58">
        <v>8</v>
      </c>
      <c r="B20" s="27" t="s">
        <v>1078</v>
      </c>
      <c r="C20" s="27">
        <v>2308</v>
      </c>
      <c r="D20" s="27">
        <v>1326</v>
      </c>
      <c r="E20" s="27">
        <v>982</v>
      </c>
      <c r="F20"/>
      <c r="G20"/>
      <c r="H20"/>
    </row>
    <row r="21" spans="1:8" s="10" customFormat="1" ht="23.1" customHeight="1" x14ac:dyDescent="0.25">
      <c r="A21" s="58">
        <v>9</v>
      </c>
      <c r="B21" s="27" t="s">
        <v>1079</v>
      </c>
      <c r="C21" s="27">
        <v>1479</v>
      </c>
      <c r="D21" s="27">
        <v>836</v>
      </c>
      <c r="E21" s="27">
        <v>643</v>
      </c>
      <c r="F21"/>
      <c r="G21"/>
      <c r="H21"/>
    </row>
    <row r="22" spans="1:8" s="10" customFormat="1" ht="23.1" customHeight="1" x14ac:dyDescent="0.25">
      <c r="A22" s="58">
        <v>10</v>
      </c>
      <c r="B22" s="27" t="s">
        <v>1080</v>
      </c>
      <c r="C22" s="27">
        <v>1984</v>
      </c>
      <c r="D22" s="27">
        <v>1019</v>
      </c>
      <c r="E22" s="27">
        <v>965</v>
      </c>
      <c r="F22"/>
      <c r="G22"/>
      <c r="H22"/>
    </row>
    <row r="23" spans="1:8" s="10" customFormat="1" ht="23.1" customHeight="1" x14ac:dyDescent="0.25">
      <c r="A23" s="58">
        <v>11</v>
      </c>
      <c r="B23" s="27" t="s">
        <v>1081</v>
      </c>
      <c r="C23" s="27">
        <v>2300</v>
      </c>
      <c r="D23" s="27">
        <v>1191</v>
      </c>
      <c r="E23" s="27">
        <v>1109</v>
      </c>
      <c r="F23"/>
      <c r="G23"/>
      <c r="H23"/>
    </row>
    <row r="24" spans="1:8" s="10" customFormat="1" ht="23.1" customHeight="1" x14ac:dyDescent="0.25">
      <c r="A24" s="58">
        <v>12</v>
      </c>
      <c r="B24" s="27" t="s">
        <v>1082</v>
      </c>
      <c r="C24" s="27">
        <v>1480</v>
      </c>
      <c r="D24" s="27">
        <v>822</v>
      </c>
      <c r="E24" s="27">
        <v>658</v>
      </c>
      <c r="F24"/>
      <c r="G24"/>
      <c r="H24"/>
    </row>
    <row r="25" spans="1:8" s="10" customFormat="1" ht="23.1" customHeight="1" x14ac:dyDescent="0.25">
      <c r="A25" s="58">
        <v>13</v>
      </c>
      <c r="B25" s="27" t="s">
        <v>1083</v>
      </c>
      <c r="C25" s="27">
        <v>2662</v>
      </c>
      <c r="D25" s="27">
        <v>1436</v>
      </c>
      <c r="E25" s="27">
        <v>1226</v>
      </c>
      <c r="F25"/>
      <c r="G25"/>
      <c r="H25"/>
    </row>
    <row r="26" spans="1:8" s="10" customFormat="1" ht="23.1" customHeight="1" x14ac:dyDescent="0.25">
      <c r="A26" s="58">
        <v>14</v>
      </c>
      <c r="B26" s="27" t="s">
        <v>1084</v>
      </c>
      <c r="C26" s="27">
        <v>11498</v>
      </c>
      <c r="D26" s="27">
        <v>5849</v>
      </c>
      <c r="E26" s="27">
        <v>5649</v>
      </c>
      <c r="F26"/>
      <c r="G26"/>
      <c r="H26"/>
    </row>
    <row r="27" spans="1:8" s="10" customFormat="1" ht="23.1" customHeight="1" x14ac:dyDescent="0.25">
      <c r="A27" s="58">
        <v>15</v>
      </c>
      <c r="B27" s="27" t="s">
        <v>1085</v>
      </c>
      <c r="C27" s="27">
        <v>3725</v>
      </c>
      <c r="D27" s="27">
        <v>1903</v>
      </c>
      <c r="E27" s="27">
        <v>1822</v>
      </c>
      <c r="F27"/>
      <c r="G27"/>
      <c r="H27"/>
    </row>
    <row r="28" spans="1:8" s="10" customFormat="1" ht="23.1" customHeight="1" x14ac:dyDescent="0.25">
      <c r="A28" s="59">
        <v>16</v>
      </c>
      <c r="B28" s="29" t="s">
        <v>1086</v>
      </c>
      <c r="C28" s="29">
        <v>2921</v>
      </c>
      <c r="D28" s="29">
        <v>1419</v>
      </c>
      <c r="E28" s="29">
        <v>1502</v>
      </c>
      <c r="F28"/>
      <c r="G28"/>
      <c r="H28"/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Kyaukme District,Mabane  Township"/>
  </hyperlinks>
  <pageMargins left="0.75" right="0.5" top="0.5" bottom="0.25" header="0.3" footer="0.3"/>
  <pageSetup paperSize="9" orientation="portrait" horizontalDpi="1200" verticalDpi="12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selection sqref="A1:E1"/>
    </sheetView>
  </sheetViews>
  <sheetFormatPr defaultRowHeight="15" x14ac:dyDescent="0.25"/>
  <cols>
    <col min="2" max="2" width="45.7109375" customWidth="1"/>
    <col min="3" max="5" width="13.7109375" customWidth="1"/>
  </cols>
  <sheetData>
    <row r="1" spans="1:8" ht="18.75" x14ac:dyDescent="0.3">
      <c r="A1" s="180" t="s">
        <v>1382</v>
      </c>
      <c r="B1" s="180"/>
      <c r="C1" s="180"/>
      <c r="D1" s="180"/>
      <c r="E1" s="180"/>
    </row>
    <row r="2" spans="1:8" ht="15.75" x14ac:dyDescent="0.25">
      <c r="A2" s="20"/>
      <c r="B2" s="20"/>
      <c r="C2" s="20"/>
      <c r="D2" s="20"/>
      <c r="E2" s="74" t="s">
        <v>1341</v>
      </c>
    </row>
    <row r="3" spans="1:8" ht="15.75" x14ac:dyDescent="0.25">
      <c r="A3" s="20"/>
      <c r="B3" s="20"/>
      <c r="C3" s="20"/>
      <c r="D3" s="20"/>
      <c r="E3" s="20"/>
    </row>
    <row r="4" spans="1:8" ht="15.75" x14ac:dyDescent="0.25">
      <c r="A4" s="173" t="s">
        <v>1339</v>
      </c>
      <c r="B4" s="181" t="s">
        <v>1422</v>
      </c>
      <c r="C4" s="174" t="s">
        <v>1340</v>
      </c>
      <c r="D4" s="175"/>
      <c r="E4" s="176"/>
    </row>
    <row r="5" spans="1:8" ht="15.75" x14ac:dyDescent="0.25">
      <c r="A5" s="181"/>
      <c r="B5" s="182"/>
      <c r="C5" s="65" t="s">
        <v>0</v>
      </c>
      <c r="D5" s="65" t="s">
        <v>1</v>
      </c>
      <c r="E5" s="65" t="s">
        <v>2</v>
      </c>
    </row>
    <row r="6" spans="1:8" ht="23.25" customHeight="1" x14ac:dyDescent="0.25">
      <c r="A6" s="51"/>
      <c r="B6" s="26" t="s">
        <v>0</v>
      </c>
      <c r="C6" s="26">
        <v>38601</v>
      </c>
      <c r="D6" s="26">
        <v>18562</v>
      </c>
      <c r="E6" s="26">
        <v>20039</v>
      </c>
    </row>
    <row r="7" spans="1:8" ht="9" customHeight="1" x14ac:dyDescent="0.25">
      <c r="A7" s="24"/>
      <c r="B7" s="24"/>
      <c r="C7" s="24"/>
      <c r="D7" s="24"/>
      <c r="E7" s="24"/>
    </row>
    <row r="8" spans="1:8" ht="24" customHeight="1" x14ac:dyDescent="0.25">
      <c r="A8" s="24"/>
      <c r="B8" s="24" t="s">
        <v>1338</v>
      </c>
      <c r="C8" s="24">
        <f>SUM(C9:C11)</f>
        <v>4102</v>
      </c>
      <c r="D8" s="24">
        <f t="shared" ref="D8:E8" si="0">SUM(D9:D11)</f>
        <v>2090</v>
      </c>
      <c r="E8" s="24">
        <f t="shared" si="0"/>
        <v>2012</v>
      </c>
    </row>
    <row r="9" spans="1:8" s="10" customFormat="1" ht="24" customHeight="1" x14ac:dyDescent="0.25">
      <c r="A9" s="58">
        <v>1</v>
      </c>
      <c r="B9" s="27" t="s">
        <v>18</v>
      </c>
      <c r="C9" s="27">
        <v>2494</v>
      </c>
      <c r="D9" s="27">
        <v>1306</v>
      </c>
      <c r="E9" s="27">
        <v>1188</v>
      </c>
      <c r="F9"/>
      <c r="G9"/>
      <c r="H9"/>
    </row>
    <row r="10" spans="1:8" s="10" customFormat="1" ht="24" customHeight="1" x14ac:dyDescent="0.25">
      <c r="A10" s="58">
        <v>2</v>
      </c>
      <c r="B10" s="27" t="s">
        <v>25</v>
      </c>
      <c r="C10" s="27">
        <v>948</v>
      </c>
      <c r="D10" s="27">
        <v>448</v>
      </c>
      <c r="E10" s="27">
        <v>500</v>
      </c>
      <c r="F10"/>
      <c r="G10"/>
      <c r="H10"/>
    </row>
    <row r="11" spans="1:8" s="10" customFormat="1" ht="24" customHeight="1" x14ac:dyDescent="0.25">
      <c r="A11" s="58">
        <v>3</v>
      </c>
      <c r="B11" s="27" t="s">
        <v>26</v>
      </c>
      <c r="C11" s="27">
        <v>660</v>
      </c>
      <c r="D11" s="27">
        <v>336</v>
      </c>
      <c r="E11" s="27">
        <v>324</v>
      </c>
      <c r="F11"/>
      <c r="G11"/>
      <c r="H11"/>
    </row>
    <row r="12" spans="1:8" s="10" customFormat="1" ht="24" customHeight="1" x14ac:dyDescent="0.25">
      <c r="A12" s="58"/>
      <c r="B12" s="60" t="s">
        <v>1410</v>
      </c>
      <c r="C12" s="60">
        <f>SUM(C13:C40)</f>
        <v>34499</v>
      </c>
      <c r="D12" s="60">
        <f t="shared" ref="D12:E12" si="1">SUM(D13:D40)</f>
        <v>16472</v>
      </c>
      <c r="E12" s="60">
        <f t="shared" si="1"/>
        <v>18027</v>
      </c>
      <c r="F12"/>
      <c r="G12"/>
      <c r="H12"/>
    </row>
    <row r="13" spans="1:8" s="10" customFormat="1" ht="24" customHeight="1" x14ac:dyDescent="0.25">
      <c r="A13" s="58">
        <v>1</v>
      </c>
      <c r="B13" s="27" t="s">
        <v>1087</v>
      </c>
      <c r="C13" s="27">
        <v>1766</v>
      </c>
      <c r="D13" s="27">
        <v>886</v>
      </c>
      <c r="E13" s="27">
        <v>880</v>
      </c>
      <c r="F13"/>
      <c r="G13"/>
      <c r="H13"/>
    </row>
    <row r="14" spans="1:8" s="10" customFormat="1" ht="24" customHeight="1" x14ac:dyDescent="0.25">
      <c r="A14" s="58">
        <v>2</v>
      </c>
      <c r="B14" s="27" t="s">
        <v>1088</v>
      </c>
      <c r="C14" s="27">
        <v>504</v>
      </c>
      <c r="D14" s="27">
        <v>268</v>
      </c>
      <c r="E14" s="27">
        <v>236</v>
      </c>
      <c r="F14"/>
      <c r="G14"/>
      <c r="H14"/>
    </row>
    <row r="15" spans="1:8" s="10" customFormat="1" ht="24" customHeight="1" x14ac:dyDescent="0.25">
      <c r="A15" s="58">
        <v>3</v>
      </c>
      <c r="B15" s="27" t="s">
        <v>627</v>
      </c>
      <c r="C15" s="27">
        <v>1170</v>
      </c>
      <c r="D15" s="27">
        <v>546</v>
      </c>
      <c r="E15" s="27">
        <v>624</v>
      </c>
      <c r="F15"/>
      <c r="G15"/>
      <c r="H15"/>
    </row>
    <row r="16" spans="1:8" s="10" customFormat="1" ht="24" customHeight="1" x14ac:dyDescent="0.25">
      <c r="A16" s="58">
        <v>4</v>
      </c>
      <c r="B16" s="27" t="s">
        <v>1089</v>
      </c>
      <c r="C16" s="27">
        <v>1175</v>
      </c>
      <c r="D16" s="27">
        <v>603</v>
      </c>
      <c r="E16" s="27">
        <v>572</v>
      </c>
      <c r="F16"/>
      <c r="G16"/>
      <c r="H16"/>
    </row>
    <row r="17" spans="1:8" s="10" customFormat="1" ht="24" customHeight="1" x14ac:dyDescent="0.25">
      <c r="A17" s="58">
        <v>5</v>
      </c>
      <c r="B17" s="27" t="s">
        <v>1090</v>
      </c>
      <c r="C17" s="27">
        <v>337</v>
      </c>
      <c r="D17" s="27">
        <v>182</v>
      </c>
      <c r="E17" s="27">
        <v>155</v>
      </c>
      <c r="F17"/>
      <c r="G17"/>
      <c r="H17"/>
    </row>
    <row r="18" spans="1:8" s="10" customFormat="1" ht="24" customHeight="1" x14ac:dyDescent="0.25">
      <c r="A18" s="58">
        <v>6</v>
      </c>
      <c r="B18" s="27" t="s">
        <v>1091</v>
      </c>
      <c r="C18" s="27">
        <v>107</v>
      </c>
      <c r="D18" s="27">
        <v>51</v>
      </c>
      <c r="E18" s="27">
        <v>56</v>
      </c>
      <c r="F18"/>
      <c r="G18"/>
      <c r="H18"/>
    </row>
    <row r="19" spans="1:8" s="10" customFormat="1" ht="24" customHeight="1" x14ac:dyDescent="0.25">
      <c r="A19" s="58">
        <v>7</v>
      </c>
      <c r="B19" s="27" t="s">
        <v>1092</v>
      </c>
      <c r="C19" s="27">
        <v>1641</v>
      </c>
      <c r="D19" s="27">
        <v>784</v>
      </c>
      <c r="E19" s="27">
        <v>857</v>
      </c>
      <c r="F19"/>
      <c r="G19"/>
      <c r="H19"/>
    </row>
    <row r="20" spans="1:8" s="10" customFormat="1" ht="24" customHeight="1" x14ac:dyDescent="0.25">
      <c r="A20" s="58">
        <v>8</v>
      </c>
      <c r="B20" s="27" t="s">
        <v>1093</v>
      </c>
      <c r="C20" s="27">
        <v>786</v>
      </c>
      <c r="D20" s="27">
        <v>359</v>
      </c>
      <c r="E20" s="27">
        <v>427</v>
      </c>
      <c r="F20"/>
      <c r="G20"/>
      <c r="H20"/>
    </row>
    <row r="21" spans="1:8" s="10" customFormat="1" ht="24" customHeight="1" x14ac:dyDescent="0.25">
      <c r="A21" s="58">
        <v>9</v>
      </c>
      <c r="B21" s="27" t="s">
        <v>1094</v>
      </c>
      <c r="C21" s="27">
        <v>902</v>
      </c>
      <c r="D21" s="27">
        <v>445</v>
      </c>
      <c r="E21" s="27">
        <v>457</v>
      </c>
      <c r="F21"/>
      <c r="G21"/>
      <c r="H21"/>
    </row>
    <row r="22" spans="1:8" s="10" customFormat="1" ht="24" customHeight="1" x14ac:dyDescent="0.25">
      <c r="A22" s="58">
        <v>10</v>
      </c>
      <c r="B22" s="27" t="s">
        <v>1095</v>
      </c>
      <c r="C22" s="27">
        <v>313</v>
      </c>
      <c r="D22" s="27">
        <v>160</v>
      </c>
      <c r="E22" s="27">
        <v>153</v>
      </c>
      <c r="F22"/>
      <c r="G22"/>
      <c r="H22"/>
    </row>
    <row r="23" spans="1:8" s="10" customFormat="1" ht="24" customHeight="1" x14ac:dyDescent="0.25">
      <c r="A23" s="58">
        <v>11</v>
      </c>
      <c r="B23" s="27" t="s">
        <v>386</v>
      </c>
      <c r="C23" s="27">
        <v>169</v>
      </c>
      <c r="D23" s="27">
        <v>94</v>
      </c>
      <c r="E23" s="27">
        <v>75</v>
      </c>
      <c r="F23"/>
      <c r="G23"/>
      <c r="H23"/>
    </row>
    <row r="24" spans="1:8" s="10" customFormat="1" ht="24" customHeight="1" x14ac:dyDescent="0.25">
      <c r="A24" s="58">
        <v>12</v>
      </c>
      <c r="B24" s="27" t="s">
        <v>1096</v>
      </c>
      <c r="C24" s="27">
        <v>254</v>
      </c>
      <c r="D24" s="27">
        <v>135</v>
      </c>
      <c r="E24" s="27">
        <v>119</v>
      </c>
      <c r="F24"/>
      <c r="G24"/>
      <c r="H24"/>
    </row>
    <row r="25" spans="1:8" s="10" customFormat="1" ht="24" customHeight="1" x14ac:dyDescent="0.25">
      <c r="A25" s="58">
        <v>13</v>
      </c>
      <c r="B25" s="27" t="s">
        <v>1097</v>
      </c>
      <c r="C25" s="27">
        <v>4037</v>
      </c>
      <c r="D25" s="27">
        <v>1916</v>
      </c>
      <c r="E25" s="27">
        <v>2121</v>
      </c>
      <c r="F25"/>
      <c r="G25"/>
      <c r="H25"/>
    </row>
    <row r="26" spans="1:8" s="10" customFormat="1" ht="24" customHeight="1" x14ac:dyDescent="0.25">
      <c r="A26" s="58">
        <v>14</v>
      </c>
      <c r="B26" s="27" t="s">
        <v>1098</v>
      </c>
      <c r="C26" s="27">
        <v>747</v>
      </c>
      <c r="D26" s="27">
        <v>362</v>
      </c>
      <c r="E26" s="27">
        <v>385</v>
      </c>
      <c r="F26"/>
      <c r="G26"/>
      <c r="H26"/>
    </row>
    <row r="27" spans="1:8" s="10" customFormat="1" ht="24" customHeight="1" x14ac:dyDescent="0.25">
      <c r="A27" s="58">
        <v>15</v>
      </c>
      <c r="B27" s="27" t="s">
        <v>1099</v>
      </c>
      <c r="C27" s="27">
        <v>1339</v>
      </c>
      <c r="D27" s="27">
        <v>638</v>
      </c>
      <c r="E27" s="27">
        <v>701</v>
      </c>
      <c r="F27"/>
      <c r="G27"/>
      <c r="H27"/>
    </row>
    <row r="28" spans="1:8" s="10" customFormat="1" ht="24" customHeight="1" x14ac:dyDescent="0.25">
      <c r="A28" s="58">
        <v>16</v>
      </c>
      <c r="B28" s="27" t="s">
        <v>984</v>
      </c>
      <c r="C28" s="27">
        <v>1447</v>
      </c>
      <c r="D28" s="27">
        <v>692</v>
      </c>
      <c r="E28" s="27">
        <v>755</v>
      </c>
      <c r="F28"/>
      <c r="G28"/>
      <c r="H28"/>
    </row>
    <row r="29" spans="1:8" s="10" customFormat="1" ht="24" customHeight="1" x14ac:dyDescent="0.25">
      <c r="A29" s="58">
        <v>17</v>
      </c>
      <c r="B29" s="27" t="s">
        <v>1100</v>
      </c>
      <c r="C29" s="27">
        <v>1317</v>
      </c>
      <c r="D29" s="27">
        <v>651</v>
      </c>
      <c r="E29" s="27">
        <v>666</v>
      </c>
      <c r="F29"/>
      <c r="G29"/>
      <c r="H29"/>
    </row>
    <row r="30" spans="1:8" s="10" customFormat="1" ht="24" customHeight="1" x14ac:dyDescent="0.25">
      <c r="A30" s="58">
        <v>18</v>
      </c>
      <c r="B30" s="27" t="s">
        <v>1101</v>
      </c>
      <c r="C30" s="27">
        <v>1793</v>
      </c>
      <c r="D30" s="27">
        <v>811</v>
      </c>
      <c r="E30" s="27">
        <v>982</v>
      </c>
      <c r="F30"/>
      <c r="G30"/>
      <c r="H30"/>
    </row>
    <row r="31" spans="1:8" s="10" customFormat="1" ht="24" customHeight="1" x14ac:dyDescent="0.25">
      <c r="A31" s="58">
        <v>19</v>
      </c>
      <c r="B31" s="27" t="s">
        <v>1102</v>
      </c>
      <c r="C31" s="27">
        <v>493</v>
      </c>
      <c r="D31" s="27">
        <v>216</v>
      </c>
      <c r="E31" s="27">
        <v>277</v>
      </c>
      <c r="F31"/>
      <c r="G31"/>
      <c r="H31"/>
    </row>
    <row r="32" spans="1:8" s="10" customFormat="1" ht="24" customHeight="1" x14ac:dyDescent="0.25">
      <c r="A32" s="58">
        <v>20</v>
      </c>
      <c r="B32" s="27" t="s">
        <v>1103</v>
      </c>
      <c r="C32" s="27">
        <v>632</v>
      </c>
      <c r="D32" s="27">
        <v>319</v>
      </c>
      <c r="E32" s="27">
        <v>313</v>
      </c>
      <c r="F32"/>
      <c r="G32"/>
      <c r="H32"/>
    </row>
    <row r="33" spans="1:8" s="10" customFormat="1" ht="24" customHeight="1" x14ac:dyDescent="0.25">
      <c r="A33" s="58">
        <v>21</v>
      </c>
      <c r="B33" s="27" t="s">
        <v>1104</v>
      </c>
      <c r="C33" s="27">
        <v>1383</v>
      </c>
      <c r="D33" s="27">
        <v>696</v>
      </c>
      <c r="E33" s="27">
        <v>687</v>
      </c>
      <c r="F33"/>
      <c r="G33"/>
      <c r="H33"/>
    </row>
    <row r="34" spans="1:8" s="10" customFormat="1" ht="24" customHeight="1" x14ac:dyDescent="0.25">
      <c r="A34" s="58">
        <v>22</v>
      </c>
      <c r="B34" s="27" t="s">
        <v>1105</v>
      </c>
      <c r="C34" s="27">
        <v>859</v>
      </c>
      <c r="D34" s="27">
        <v>391</v>
      </c>
      <c r="E34" s="27">
        <v>468</v>
      </c>
      <c r="F34"/>
      <c r="G34"/>
      <c r="H34"/>
    </row>
    <row r="35" spans="1:8" s="10" customFormat="1" ht="24" customHeight="1" x14ac:dyDescent="0.25">
      <c r="A35" s="58">
        <v>23</v>
      </c>
      <c r="B35" s="27" t="s">
        <v>1106</v>
      </c>
      <c r="C35" s="27">
        <v>1024</v>
      </c>
      <c r="D35" s="27">
        <v>485</v>
      </c>
      <c r="E35" s="27">
        <v>539</v>
      </c>
      <c r="F35"/>
      <c r="G35"/>
      <c r="H35"/>
    </row>
    <row r="36" spans="1:8" s="10" customFormat="1" ht="24" customHeight="1" x14ac:dyDescent="0.25">
      <c r="A36" s="58">
        <v>24</v>
      </c>
      <c r="B36" s="27" t="s">
        <v>1107</v>
      </c>
      <c r="C36" s="27">
        <v>2657</v>
      </c>
      <c r="D36" s="27">
        <v>1273</v>
      </c>
      <c r="E36" s="27">
        <v>1384</v>
      </c>
      <c r="F36"/>
      <c r="G36"/>
      <c r="H36"/>
    </row>
    <row r="37" spans="1:8" s="10" customFormat="1" ht="24" customHeight="1" x14ac:dyDescent="0.25">
      <c r="A37" s="58">
        <v>25</v>
      </c>
      <c r="B37" s="27" t="s">
        <v>1108</v>
      </c>
      <c r="C37" s="27">
        <v>1554</v>
      </c>
      <c r="D37" s="27">
        <v>715</v>
      </c>
      <c r="E37" s="27">
        <v>839</v>
      </c>
      <c r="F37"/>
      <c r="G37"/>
      <c r="H37"/>
    </row>
    <row r="38" spans="1:8" s="10" customFormat="1" ht="24" customHeight="1" x14ac:dyDescent="0.25">
      <c r="A38" s="58">
        <v>26</v>
      </c>
      <c r="B38" s="27" t="s">
        <v>1109</v>
      </c>
      <c r="C38" s="27">
        <v>646</v>
      </c>
      <c r="D38" s="27">
        <v>316</v>
      </c>
      <c r="E38" s="27">
        <v>330</v>
      </c>
      <c r="F38"/>
      <c r="G38"/>
      <c r="H38"/>
    </row>
    <row r="39" spans="1:8" s="10" customFormat="1" ht="24" customHeight="1" x14ac:dyDescent="0.25">
      <c r="A39" s="58">
        <v>27</v>
      </c>
      <c r="B39" s="27" t="s">
        <v>889</v>
      </c>
      <c r="C39" s="27">
        <v>3860</v>
      </c>
      <c r="D39" s="27">
        <v>1743</v>
      </c>
      <c r="E39" s="27">
        <v>2117</v>
      </c>
      <c r="F39"/>
      <c r="G39"/>
      <c r="H39"/>
    </row>
    <row r="40" spans="1:8" s="10" customFormat="1" ht="24" customHeight="1" x14ac:dyDescent="0.25">
      <c r="A40" s="59">
        <v>28</v>
      </c>
      <c r="B40" s="29" t="s">
        <v>1110</v>
      </c>
      <c r="C40" s="29">
        <v>1587</v>
      </c>
      <c r="D40" s="29">
        <v>735</v>
      </c>
      <c r="E40" s="29">
        <v>852</v>
      </c>
      <c r="F40"/>
      <c r="G40"/>
      <c r="H40"/>
    </row>
    <row r="41" spans="1:8" ht="12.75" customHeight="1" x14ac:dyDescent="0.25"/>
  </sheetData>
  <mergeCells count="4">
    <mergeCell ref="A1:E1"/>
    <mergeCell ref="A4:A5"/>
    <mergeCell ref="B4:B5"/>
    <mergeCell ref="C4:E4"/>
  </mergeCells>
  <hyperlinks>
    <hyperlink ref="A1:E1" location="'Link of Township'!A1" display="Shan State, Kyaukme District, Manton  Township"/>
  </hyperlinks>
  <pageMargins left="0.75" right="0.5" top="0.5" bottom="0.25" header="0.3" footer="0.3"/>
  <pageSetup paperSize="9" scale="90" orientation="portrait" horizontalDpi="1200" verticalDpi="12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sqref="A1:E1"/>
    </sheetView>
  </sheetViews>
  <sheetFormatPr defaultRowHeight="15" x14ac:dyDescent="0.25"/>
  <cols>
    <col min="2" max="2" width="27.42578125" customWidth="1"/>
    <col min="3" max="5" width="15.7109375" customWidth="1"/>
  </cols>
  <sheetData>
    <row r="1" spans="1:5" ht="18.75" x14ac:dyDescent="0.3">
      <c r="A1" s="180" t="s">
        <v>1383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15.75" x14ac:dyDescent="0.25">
      <c r="A3" s="20"/>
      <c r="B3" s="20"/>
      <c r="C3" s="20"/>
      <c r="D3" s="20"/>
      <c r="E3" s="20"/>
    </row>
    <row r="4" spans="1:5" ht="26.25" customHeight="1" x14ac:dyDescent="0.25">
      <c r="A4" s="173" t="s">
        <v>1339</v>
      </c>
      <c r="B4" s="181" t="s">
        <v>1422</v>
      </c>
      <c r="C4" s="174" t="s">
        <v>1340</v>
      </c>
      <c r="D4" s="175"/>
      <c r="E4" s="176"/>
    </row>
    <row r="5" spans="1:5" ht="44.25" customHeight="1" x14ac:dyDescent="0.25">
      <c r="A5" s="181"/>
      <c r="B5" s="182"/>
      <c r="C5" s="67" t="s">
        <v>0</v>
      </c>
      <c r="D5" s="67" t="s">
        <v>1</v>
      </c>
      <c r="E5" s="67" t="s">
        <v>2</v>
      </c>
    </row>
    <row r="6" spans="1:5" ht="24" customHeight="1" x14ac:dyDescent="0.25">
      <c r="A6" s="51"/>
      <c r="B6" s="26" t="s">
        <v>0</v>
      </c>
      <c r="C6" s="26">
        <v>18901</v>
      </c>
      <c r="D6" s="26">
        <v>8833</v>
      </c>
      <c r="E6" s="26">
        <v>10068</v>
      </c>
    </row>
    <row r="7" spans="1:5" ht="11.25" customHeight="1" x14ac:dyDescent="0.25">
      <c r="A7" s="24"/>
      <c r="B7" s="24"/>
      <c r="C7" s="24"/>
      <c r="D7" s="24"/>
      <c r="E7" s="24"/>
    </row>
    <row r="8" spans="1:5" ht="21.95" customHeight="1" x14ac:dyDescent="0.25">
      <c r="A8" s="24"/>
      <c r="B8" s="24" t="s">
        <v>1338</v>
      </c>
      <c r="C8" s="24">
        <f>SUM(C9:C13)</f>
        <v>2433</v>
      </c>
      <c r="D8" s="24">
        <f t="shared" ref="D8:E8" si="0">SUM(D9:D13)</f>
        <v>1220</v>
      </c>
      <c r="E8" s="24">
        <f t="shared" si="0"/>
        <v>1213</v>
      </c>
    </row>
    <row r="9" spans="1:5" ht="21.95" customHeight="1" x14ac:dyDescent="0.25">
      <c r="A9" s="23">
        <v>1</v>
      </c>
      <c r="B9" s="27" t="s">
        <v>1111</v>
      </c>
      <c r="C9" s="27">
        <v>674</v>
      </c>
      <c r="D9" s="27">
        <v>328</v>
      </c>
      <c r="E9" s="27">
        <v>346</v>
      </c>
    </row>
    <row r="10" spans="1:5" ht="21.95" customHeight="1" x14ac:dyDescent="0.25">
      <c r="A10" s="23">
        <v>2</v>
      </c>
      <c r="B10" s="27" t="s">
        <v>1112</v>
      </c>
      <c r="C10" s="27">
        <v>911</v>
      </c>
      <c r="D10" s="27">
        <v>460</v>
      </c>
      <c r="E10" s="27">
        <v>451</v>
      </c>
    </row>
    <row r="11" spans="1:5" ht="21.95" customHeight="1" x14ac:dyDescent="0.25">
      <c r="A11" s="23">
        <v>3</v>
      </c>
      <c r="B11" s="27" t="s">
        <v>1113</v>
      </c>
      <c r="C11" s="27">
        <v>422</v>
      </c>
      <c r="D11" s="27">
        <v>207</v>
      </c>
      <c r="E11" s="27">
        <v>215</v>
      </c>
    </row>
    <row r="12" spans="1:5" ht="21.95" customHeight="1" x14ac:dyDescent="0.25">
      <c r="A12" s="23">
        <v>4</v>
      </c>
      <c r="B12" s="27" t="s">
        <v>1114</v>
      </c>
      <c r="C12" s="27">
        <v>107</v>
      </c>
      <c r="D12" s="27">
        <v>52</v>
      </c>
      <c r="E12" s="27">
        <v>55</v>
      </c>
    </row>
    <row r="13" spans="1:5" ht="21.95" customHeight="1" x14ac:dyDescent="0.25">
      <c r="A13" s="23">
        <v>5</v>
      </c>
      <c r="B13" s="27" t="s">
        <v>1115</v>
      </c>
      <c r="C13" s="27">
        <v>319</v>
      </c>
      <c r="D13" s="27">
        <v>173</v>
      </c>
      <c r="E13" s="27">
        <v>146</v>
      </c>
    </row>
    <row r="14" spans="1:5" ht="21.95" customHeight="1" x14ac:dyDescent="0.25">
      <c r="A14" s="23"/>
      <c r="B14" s="24" t="s">
        <v>1410</v>
      </c>
      <c r="C14" s="24">
        <f>SUM(C15:C25)</f>
        <v>16468</v>
      </c>
      <c r="D14" s="24">
        <f t="shared" ref="D14:E14" si="1">SUM(D15:D25)</f>
        <v>7613</v>
      </c>
      <c r="E14" s="24">
        <f t="shared" si="1"/>
        <v>8855</v>
      </c>
    </row>
    <row r="15" spans="1:5" ht="21.95" customHeight="1" x14ac:dyDescent="0.25">
      <c r="A15" s="23">
        <v>1</v>
      </c>
      <c r="B15" s="27" t="s">
        <v>1092</v>
      </c>
      <c r="C15" s="27">
        <v>637</v>
      </c>
      <c r="D15" s="27">
        <v>326</v>
      </c>
      <c r="E15" s="27">
        <v>311</v>
      </c>
    </row>
    <row r="16" spans="1:5" ht="21.95" customHeight="1" x14ac:dyDescent="0.25">
      <c r="A16" s="23">
        <v>2</v>
      </c>
      <c r="B16" s="27" t="s">
        <v>628</v>
      </c>
      <c r="C16" s="27">
        <v>1049</v>
      </c>
      <c r="D16" s="27">
        <v>518</v>
      </c>
      <c r="E16" s="27">
        <v>531</v>
      </c>
    </row>
    <row r="17" spans="1:5" ht="21.95" customHeight="1" x14ac:dyDescent="0.25">
      <c r="A17" s="23">
        <v>3</v>
      </c>
      <c r="B17" s="27" t="s">
        <v>1116</v>
      </c>
      <c r="C17" s="27">
        <v>3538</v>
      </c>
      <c r="D17" s="27">
        <v>1673</v>
      </c>
      <c r="E17" s="27">
        <v>1865</v>
      </c>
    </row>
    <row r="18" spans="1:5" ht="21.95" customHeight="1" x14ac:dyDescent="0.25">
      <c r="A18" s="23">
        <v>4</v>
      </c>
      <c r="B18" s="27" t="s">
        <v>1117</v>
      </c>
      <c r="C18" s="27">
        <v>2257</v>
      </c>
      <c r="D18" s="27">
        <v>1039</v>
      </c>
      <c r="E18" s="27">
        <v>1218</v>
      </c>
    </row>
    <row r="19" spans="1:5" ht="21.95" customHeight="1" x14ac:dyDescent="0.25">
      <c r="A19" s="23">
        <v>5</v>
      </c>
      <c r="B19" s="27" t="s">
        <v>1118</v>
      </c>
      <c r="C19" s="27">
        <v>621</v>
      </c>
      <c r="D19" s="27">
        <v>304</v>
      </c>
      <c r="E19" s="27">
        <v>317</v>
      </c>
    </row>
    <row r="20" spans="1:5" ht="21.95" customHeight="1" x14ac:dyDescent="0.25">
      <c r="A20" s="23">
        <v>6</v>
      </c>
      <c r="B20" s="27" t="s">
        <v>1119</v>
      </c>
      <c r="C20" s="27">
        <v>2187</v>
      </c>
      <c r="D20" s="27">
        <v>1032</v>
      </c>
      <c r="E20" s="27">
        <v>1155</v>
      </c>
    </row>
    <row r="21" spans="1:5" ht="21.95" customHeight="1" x14ac:dyDescent="0.25">
      <c r="A21" s="23">
        <v>7</v>
      </c>
      <c r="B21" s="27" t="s">
        <v>1120</v>
      </c>
      <c r="C21" s="27">
        <v>1957</v>
      </c>
      <c r="D21" s="27">
        <v>898</v>
      </c>
      <c r="E21" s="27">
        <v>1059</v>
      </c>
    </row>
    <row r="22" spans="1:5" ht="21.95" customHeight="1" x14ac:dyDescent="0.25">
      <c r="A22" s="23">
        <v>8</v>
      </c>
      <c r="B22" s="27" t="s">
        <v>1121</v>
      </c>
      <c r="C22" s="27">
        <v>1947</v>
      </c>
      <c r="D22" s="27">
        <v>781</v>
      </c>
      <c r="E22" s="27">
        <v>1166</v>
      </c>
    </row>
    <row r="23" spans="1:5" ht="21.95" customHeight="1" x14ac:dyDescent="0.25">
      <c r="A23" s="23">
        <v>9</v>
      </c>
      <c r="B23" s="27" t="s">
        <v>1122</v>
      </c>
      <c r="C23" s="27">
        <v>1009</v>
      </c>
      <c r="D23" s="27">
        <v>462</v>
      </c>
      <c r="E23" s="27">
        <v>547</v>
      </c>
    </row>
    <row r="24" spans="1:5" ht="21.95" customHeight="1" x14ac:dyDescent="0.25">
      <c r="A24" s="23">
        <v>10</v>
      </c>
      <c r="B24" s="27" t="s">
        <v>1123</v>
      </c>
      <c r="C24" s="27">
        <v>965</v>
      </c>
      <c r="D24" s="27">
        <v>430</v>
      </c>
      <c r="E24" s="27">
        <v>535</v>
      </c>
    </row>
    <row r="25" spans="1:5" ht="21.95" customHeight="1" x14ac:dyDescent="0.25">
      <c r="A25" s="28">
        <v>11</v>
      </c>
      <c r="B25" s="29" t="s">
        <v>1124</v>
      </c>
      <c r="C25" s="29">
        <v>301</v>
      </c>
      <c r="D25" s="29">
        <v>150</v>
      </c>
      <c r="E25" s="29">
        <v>151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Kyaukme District,   Minengaw(Sub-Township)"/>
  </hyperlinks>
  <pageMargins left="0.75" right="0.5" top="0.5" bottom="0.25" header="0.3" footer="0.3"/>
  <pageSetup paperSize="9" orientation="portrait" horizontalDpi="1200" verticalDpi="12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selection sqref="A1:E1"/>
    </sheetView>
  </sheetViews>
  <sheetFormatPr defaultRowHeight="15" x14ac:dyDescent="0.25"/>
  <cols>
    <col min="1" max="1" width="6.140625" customWidth="1"/>
    <col min="2" max="2" width="45.28515625" customWidth="1"/>
    <col min="3" max="5" width="13.7109375" customWidth="1"/>
  </cols>
  <sheetData>
    <row r="1" spans="1:5" ht="18.75" x14ac:dyDescent="0.3">
      <c r="A1" s="180" t="s">
        <v>1384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15.75" x14ac:dyDescent="0.25">
      <c r="A3" s="20"/>
      <c r="B3" s="20"/>
      <c r="C3" s="20"/>
      <c r="D3" s="20"/>
      <c r="E3" s="20"/>
    </row>
    <row r="4" spans="1:5" ht="15.75" x14ac:dyDescent="0.25">
      <c r="A4" s="173" t="s">
        <v>1339</v>
      </c>
      <c r="B4" s="181" t="s">
        <v>1422</v>
      </c>
      <c r="C4" s="174" t="s">
        <v>1340</v>
      </c>
      <c r="D4" s="175"/>
      <c r="E4" s="176"/>
    </row>
    <row r="5" spans="1:5" ht="15.75" x14ac:dyDescent="0.25">
      <c r="A5" s="181"/>
      <c r="B5" s="182"/>
      <c r="C5" s="65" t="s">
        <v>0</v>
      </c>
      <c r="D5" s="65" t="s">
        <v>1</v>
      </c>
      <c r="E5" s="65" t="s">
        <v>2</v>
      </c>
    </row>
    <row r="6" spans="1:5" ht="24.95" customHeight="1" x14ac:dyDescent="0.25">
      <c r="A6" s="51"/>
      <c r="B6" s="26" t="s">
        <v>0</v>
      </c>
      <c r="C6" s="26">
        <v>25648</v>
      </c>
      <c r="D6" s="26">
        <v>12272</v>
      </c>
      <c r="E6" s="26">
        <v>13376</v>
      </c>
    </row>
    <row r="7" spans="1:5" ht="24.95" customHeight="1" x14ac:dyDescent="0.25">
      <c r="A7" s="24"/>
      <c r="B7" s="24"/>
      <c r="C7" s="24"/>
      <c r="D7" s="24"/>
      <c r="E7" s="24"/>
    </row>
    <row r="8" spans="1:5" ht="24.95" customHeight="1" x14ac:dyDescent="0.25">
      <c r="A8" s="24"/>
      <c r="B8" s="24" t="s">
        <v>1338</v>
      </c>
      <c r="C8" s="24">
        <f>SUM(C9:C14)</f>
        <v>2348</v>
      </c>
      <c r="D8" s="24">
        <f t="shared" ref="D8:E8" si="0">SUM(D9:D14)</f>
        <v>1170</v>
      </c>
      <c r="E8" s="24">
        <f t="shared" si="0"/>
        <v>1178</v>
      </c>
    </row>
    <row r="9" spans="1:5" ht="24.95" customHeight="1" x14ac:dyDescent="0.25">
      <c r="A9" s="23">
        <v>1</v>
      </c>
      <c r="B9" s="27" t="s">
        <v>1125</v>
      </c>
      <c r="C9" s="27">
        <v>493</v>
      </c>
      <c r="D9" s="27">
        <v>249</v>
      </c>
      <c r="E9" s="27">
        <v>244</v>
      </c>
    </row>
    <row r="10" spans="1:5" ht="24.95" customHeight="1" x14ac:dyDescent="0.25">
      <c r="A10" s="23">
        <v>2</v>
      </c>
      <c r="B10" s="27" t="s">
        <v>1126</v>
      </c>
      <c r="C10" s="27">
        <v>223</v>
      </c>
      <c r="D10" s="27">
        <v>112</v>
      </c>
      <c r="E10" s="27">
        <v>111</v>
      </c>
    </row>
    <row r="11" spans="1:5" ht="24.95" customHeight="1" x14ac:dyDescent="0.25">
      <c r="A11" s="23">
        <v>3</v>
      </c>
      <c r="B11" s="27" t="s">
        <v>1127</v>
      </c>
      <c r="C11" s="27">
        <v>413</v>
      </c>
      <c r="D11" s="27">
        <v>214</v>
      </c>
      <c r="E11" s="27">
        <v>199</v>
      </c>
    </row>
    <row r="12" spans="1:5" ht="24.95" customHeight="1" x14ac:dyDescent="0.25">
      <c r="A12" s="23">
        <v>4</v>
      </c>
      <c r="B12" s="27" t="s">
        <v>1128</v>
      </c>
      <c r="C12" s="27">
        <v>382</v>
      </c>
      <c r="D12" s="27">
        <v>180</v>
      </c>
      <c r="E12" s="27">
        <v>202</v>
      </c>
    </row>
    <row r="13" spans="1:5" ht="24.95" customHeight="1" x14ac:dyDescent="0.25">
      <c r="A13" s="23">
        <v>5</v>
      </c>
      <c r="B13" s="27" t="s">
        <v>389</v>
      </c>
      <c r="C13" s="27">
        <v>180</v>
      </c>
      <c r="D13" s="27">
        <v>78</v>
      </c>
      <c r="E13" s="27">
        <v>102</v>
      </c>
    </row>
    <row r="14" spans="1:5" ht="24.95" customHeight="1" x14ac:dyDescent="0.25">
      <c r="A14" s="23">
        <v>6</v>
      </c>
      <c r="B14" s="27" t="s">
        <v>1129</v>
      </c>
      <c r="C14" s="27">
        <v>657</v>
      </c>
      <c r="D14" s="27">
        <v>337</v>
      </c>
      <c r="E14" s="27">
        <v>320</v>
      </c>
    </row>
    <row r="15" spans="1:5" ht="24.95" customHeight="1" x14ac:dyDescent="0.25">
      <c r="A15" s="23"/>
      <c r="B15" s="24" t="s">
        <v>1410</v>
      </c>
      <c r="C15" s="24">
        <f>SUM(C16:C34)</f>
        <v>23300</v>
      </c>
      <c r="D15" s="24">
        <f t="shared" ref="D15:E15" si="1">SUM(D16:D34)</f>
        <v>11102</v>
      </c>
      <c r="E15" s="24">
        <f t="shared" si="1"/>
        <v>12198</v>
      </c>
    </row>
    <row r="16" spans="1:5" ht="24.95" customHeight="1" x14ac:dyDescent="0.25">
      <c r="A16" s="23">
        <v>1</v>
      </c>
      <c r="B16" s="27" t="s">
        <v>1130</v>
      </c>
      <c r="C16" s="27">
        <v>951</v>
      </c>
      <c r="D16" s="27">
        <v>464</v>
      </c>
      <c r="E16" s="27">
        <v>487</v>
      </c>
    </row>
    <row r="17" spans="1:5" ht="24.95" customHeight="1" x14ac:dyDescent="0.25">
      <c r="A17" s="23">
        <v>2</v>
      </c>
      <c r="B17" s="27" t="s">
        <v>1131</v>
      </c>
      <c r="C17" s="27">
        <v>2698</v>
      </c>
      <c r="D17" s="27">
        <v>1244</v>
      </c>
      <c r="E17" s="27">
        <v>1454</v>
      </c>
    </row>
    <row r="18" spans="1:5" ht="24.95" customHeight="1" x14ac:dyDescent="0.25">
      <c r="A18" s="23">
        <v>3</v>
      </c>
      <c r="B18" s="27" t="s">
        <v>1132</v>
      </c>
      <c r="C18" s="27">
        <v>1222</v>
      </c>
      <c r="D18" s="27">
        <v>554</v>
      </c>
      <c r="E18" s="27">
        <v>668</v>
      </c>
    </row>
    <row r="19" spans="1:5" ht="24.95" customHeight="1" x14ac:dyDescent="0.25">
      <c r="A19" s="23">
        <v>4</v>
      </c>
      <c r="B19" s="27" t="s">
        <v>1133</v>
      </c>
      <c r="C19" s="27">
        <v>627</v>
      </c>
      <c r="D19" s="27">
        <v>303</v>
      </c>
      <c r="E19" s="27">
        <v>324</v>
      </c>
    </row>
    <row r="20" spans="1:5" ht="24.95" customHeight="1" x14ac:dyDescent="0.25">
      <c r="A20" s="23">
        <v>5</v>
      </c>
      <c r="B20" s="27" t="s">
        <v>1134</v>
      </c>
      <c r="C20" s="27">
        <v>1915</v>
      </c>
      <c r="D20" s="27">
        <v>976</v>
      </c>
      <c r="E20" s="27">
        <v>939</v>
      </c>
    </row>
    <row r="21" spans="1:5" ht="24.95" customHeight="1" x14ac:dyDescent="0.25">
      <c r="A21" s="23">
        <v>6</v>
      </c>
      <c r="B21" s="27" t="s">
        <v>1135</v>
      </c>
      <c r="C21" s="27">
        <v>1094</v>
      </c>
      <c r="D21" s="27">
        <v>539</v>
      </c>
      <c r="E21" s="27">
        <v>555</v>
      </c>
    </row>
    <row r="22" spans="1:5" ht="24.95" customHeight="1" x14ac:dyDescent="0.25">
      <c r="A22" s="23">
        <v>7</v>
      </c>
      <c r="B22" s="27" t="s">
        <v>1136</v>
      </c>
      <c r="C22" s="27">
        <v>2236</v>
      </c>
      <c r="D22" s="27">
        <v>1107</v>
      </c>
      <c r="E22" s="27">
        <v>1129</v>
      </c>
    </row>
    <row r="23" spans="1:5" ht="24.95" customHeight="1" x14ac:dyDescent="0.25">
      <c r="A23" s="23">
        <v>8</v>
      </c>
      <c r="B23" s="27" t="s">
        <v>1137</v>
      </c>
      <c r="C23" s="27">
        <v>1368</v>
      </c>
      <c r="D23" s="27">
        <v>680</v>
      </c>
      <c r="E23" s="27">
        <v>688</v>
      </c>
    </row>
    <row r="24" spans="1:5" ht="24.95" customHeight="1" x14ac:dyDescent="0.25">
      <c r="A24" s="23">
        <v>9</v>
      </c>
      <c r="B24" s="27" t="s">
        <v>331</v>
      </c>
      <c r="C24" s="27">
        <v>1761</v>
      </c>
      <c r="D24" s="27">
        <v>856</v>
      </c>
      <c r="E24" s="27">
        <v>905</v>
      </c>
    </row>
    <row r="25" spans="1:5" ht="24.95" customHeight="1" x14ac:dyDescent="0.25">
      <c r="A25" s="23">
        <v>10</v>
      </c>
      <c r="B25" s="27" t="s">
        <v>1138</v>
      </c>
      <c r="C25" s="27">
        <v>1390</v>
      </c>
      <c r="D25" s="27">
        <v>643</v>
      </c>
      <c r="E25" s="27">
        <v>747</v>
      </c>
    </row>
    <row r="26" spans="1:5" ht="24.95" customHeight="1" x14ac:dyDescent="0.25">
      <c r="A26" s="23">
        <v>11</v>
      </c>
      <c r="B26" s="27" t="s">
        <v>1139</v>
      </c>
      <c r="C26" s="27">
        <v>757</v>
      </c>
      <c r="D26" s="27">
        <v>323</v>
      </c>
      <c r="E26" s="27">
        <v>434</v>
      </c>
    </row>
    <row r="27" spans="1:5" ht="24.95" customHeight="1" x14ac:dyDescent="0.25">
      <c r="A27" s="23">
        <v>12</v>
      </c>
      <c r="B27" s="27" t="s">
        <v>1140</v>
      </c>
      <c r="C27" s="27">
        <v>972</v>
      </c>
      <c r="D27" s="27">
        <v>474</v>
      </c>
      <c r="E27" s="27">
        <v>498</v>
      </c>
    </row>
    <row r="28" spans="1:5" ht="24.95" customHeight="1" x14ac:dyDescent="0.25">
      <c r="A28" s="23">
        <v>13</v>
      </c>
      <c r="B28" s="27" t="s">
        <v>816</v>
      </c>
      <c r="C28" s="27">
        <v>729</v>
      </c>
      <c r="D28" s="27">
        <v>344</v>
      </c>
      <c r="E28" s="27">
        <v>385</v>
      </c>
    </row>
    <row r="29" spans="1:5" ht="24.95" customHeight="1" x14ac:dyDescent="0.25">
      <c r="A29" s="23">
        <v>14</v>
      </c>
      <c r="B29" s="27" t="s">
        <v>1141</v>
      </c>
      <c r="C29" s="27">
        <v>631</v>
      </c>
      <c r="D29" s="27">
        <v>290</v>
      </c>
      <c r="E29" s="27">
        <v>341</v>
      </c>
    </row>
    <row r="30" spans="1:5" ht="24.95" customHeight="1" x14ac:dyDescent="0.25">
      <c r="A30" s="23">
        <v>15</v>
      </c>
      <c r="B30" s="27" t="s">
        <v>160</v>
      </c>
      <c r="C30" s="27">
        <v>1044</v>
      </c>
      <c r="D30" s="27">
        <v>444</v>
      </c>
      <c r="E30" s="27">
        <v>600</v>
      </c>
    </row>
    <row r="31" spans="1:5" ht="24.95" customHeight="1" x14ac:dyDescent="0.25">
      <c r="A31" s="23">
        <v>16</v>
      </c>
      <c r="B31" s="27" t="s">
        <v>1142</v>
      </c>
      <c r="C31" s="27">
        <v>1882</v>
      </c>
      <c r="D31" s="27">
        <v>892</v>
      </c>
      <c r="E31" s="27">
        <v>990</v>
      </c>
    </row>
    <row r="32" spans="1:5" ht="24.95" customHeight="1" x14ac:dyDescent="0.25">
      <c r="A32" s="23">
        <v>17</v>
      </c>
      <c r="B32" s="27" t="s">
        <v>1143</v>
      </c>
      <c r="C32" s="27">
        <v>896</v>
      </c>
      <c r="D32" s="27">
        <v>399</v>
      </c>
      <c r="E32" s="27">
        <v>497</v>
      </c>
    </row>
    <row r="33" spans="1:5" ht="24.95" customHeight="1" x14ac:dyDescent="0.25">
      <c r="A33" s="23">
        <v>18</v>
      </c>
      <c r="B33" s="27" t="s">
        <v>601</v>
      </c>
      <c r="C33" s="27">
        <v>736</v>
      </c>
      <c r="D33" s="27">
        <v>367</v>
      </c>
      <c r="E33" s="27">
        <v>369</v>
      </c>
    </row>
    <row r="34" spans="1:5" ht="24.95" customHeight="1" x14ac:dyDescent="0.25">
      <c r="A34" s="28">
        <v>19</v>
      </c>
      <c r="B34" s="29" t="s">
        <v>985</v>
      </c>
      <c r="C34" s="29">
        <v>391</v>
      </c>
      <c r="D34" s="29">
        <v>203</v>
      </c>
      <c r="E34" s="29">
        <v>188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Kyaukme District, Minelon (Sub-Township)"/>
  </hyperlinks>
  <pageMargins left="0.75" right="0.5" top="0.5" bottom="0.25" header="0.3" footer="0.3"/>
  <pageSetup paperSize="9" scale="95" orientation="portrait" horizontalDpi="1200" verticalDpi="12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>
      <selection sqref="A1:E1"/>
    </sheetView>
  </sheetViews>
  <sheetFormatPr defaultRowHeight="15" x14ac:dyDescent="0.25"/>
  <cols>
    <col min="2" max="2" width="30.85546875" customWidth="1"/>
    <col min="3" max="5" width="15.7109375" customWidth="1"/>
  </cols>
  <sheetData>
    <row r="1" spans="1:5" ht="18.75" x14ac:dyDescent="0.3">
      <c r="A1" s="180" t="s">
        <v>1385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9" customHeight="1" x14ac:dyDescent="0.25">
      <c r="A3" s="20"/>
      <c r="B3" s="20"/>
      <c r="C3" s="20"/>
      <c r="D3" s="20"/>
      <c r="E3" s="20"/>
    </row>
    <row r="4" spans="1:5" ht="15.75" x14ac:dyDescent="0.25">
      <c r="A4" s="173" t="s">
        <v>1339</v>
      </c>
      <c r="B4" s="181" t="s">
        <v>1422</v>
      </c>
      <c r="C4" s="174" t="s">
        <v>1340</v>
      </c>
      <c r="D4" s="175"/>
      <c r="E4" s="176"/>
    </row>
    <row r="5" spans="1:5" ht="15.75" x14ac:dyDescent="0.25">
      <c r="A5" s="181"/>
      <c r="B5" s="182"/>
      <c r="C5" s="65" t="s">
        <v>0</v>
      </c>
      <c r="D5" s="65" t="s">
        <v>1</v>
      </c>
      <c r="E5" s="65" t="s">
        <v>2</v>
      </c>
    </row>
    <row r="6" spans="1:5" ht="23.25" customHeight="1" x14ac:dyDescent="0.25">
      <c r="A6" s="51"/>
      <c r="B6" s="26" t="s">
        <v>0</v>
      </c>
      <c r="C6" s="26">
        <v>58774</v>
      </c>
      <c r="D6" s="26">
        <v>30900</v>
      </c>
      <c r="E6" s="26">
        <v>27874</v>
      </c>
    </row>
    <row r="7" spans="1:5" ht="9.75" customHeight="1" x14ac:dyDescent="0.25">
      <c r="A7" s="24"/>
      <c r="B7" s="24"/>
      <c r="C7" s="24"/>
      <c r="D7" s="24"/>
      <c r="E7" s="24"/>
    </row>
    <row r="8" spans="1:5" ht="23.1" customHeight="1" x14ac:dyDescent="0.25">
      <c r="A8" s="24"/>
      <c r="B8" s="24" t="s">
        <v>1338</v>
      </c>
      <c r="C8" s="24">
        <f>SUM(C9:C15)</f>
        <v>5549</v>
      </c>
      <c r="D8" s="24">
        <f t="shared" ref="D8:E8" si="0">SUM(D9:D15)</f>
        <v>2756</v>
      </c>
      <c r="E8" s="24">
        <f t="shared" si="0"/>
        <v>2793</v>
      </c>
    </row>
    <row r="9" spans="1:5" ht="23.1" customHeight="1" x14ac:dyDescent="0.25">
      <c r="A9" s="23">
        <v>1</v>
      </c>
      <c r="B9" s="27" t="s">
        <v>1144</v>
      </c>
      <c r="C9" s="27">
        <v>1167</v>
      </c>
      <c r="D9" s="27">
        <v>575</v>
      </c>
      <c r="E9" s="27">
        <v>592</v>
      </c>
    </row>
    <row r="10" spans="1:5" ht="23.1" customHeight="1" x14ac:dyDescent="0.25">
      <c r="A10" s="23">
        <v>2</v>
      </c>
      <c r="B10" s="27" t="s">
        <v>1145</v>
      </c>
      <c r="C10" s="27">
        <v>1049</v>
      </c>
      <c r="D10" s="27">
        <v>552</v>
      </c>
      <c r="E10" s="27">
        <v>497</v>
      </c>
    </row>
    <row r="11" spans="1:5" ht="23.1" customHeight="1" x14ac:dyDescent="0.25">
      <c r="A11" s="23">
        <v>3</v>
      </c>
      <c r="B11" s="27" t="s">
        <v>1146</v>
      </c>
      <c r="C11" s="27">
        <v>805</v>
      </c>
      <c r="D11" s="27">
        <v>395</v>
      </c>
      <c r="E11" s="27">
        <v>410</v>
      </c>
    </row>
    <row r="12" spans="1:5" ht="23.1" customHeight="1" x14ac:dyDescent="0.25">
      <c r="A12" s="23">
        <v>4</v>
      </c>
      <c r="B12" s="27" t="s">
        <v>1147</v>
      </c>
      <c r="C12" s="27">
        <v>154</v>
      </c>
      <c r="D12" s="27">
        <v>74</v>
      </c>
      <c r="E12" s="27">
        <v>80</v>
      </c>
    </row>
    <row r="13" spans="1:5" ht="23.1" customHeight="1" x14ac:dyDescent="0.25">
      <c r="A13" s="23">
        <v>5</v>
      </c>
      <c r="B13" s="27" t="s">
        <v>1148</v>
      </c>
      <c r="C13" s="27">
        <v>1304</v>
      </c>
      <c r="D13" s="27">
        <v>643</v>
      </c>
      <c r="E13" s="27">
        <v>661</v>
      </c>
    </row>
    <row r="14" spans="1:5" ht="23.1" customHeight="1" x14ac:dyDescent="0.25">
      <c r="A14" s="23">
        <v>6</v>
      </c>
      <c r="B14" s="27" t="s">
        <v>1149</v>
      </c>
      <c r="C14" s="27">
        <v>642</v>
      </c>
      <c r="D14" s="27">
        <v>322</v>
      </c>
      <c r="E14" s="27">
        <v>320</v>
      </c>
    </row>
    <row r="15" spans="1:5" ht="23.1" customHeight="1" x14ac:dyDescent="0.25">
      <c r="A15" s="23">
        <v>7</v>
      </c>
      <c r="B15" s="27" t="s">
        <v>1150</v>
      </c>
      <c r="C15" s="27">
        <v>428</v>
      </c>
      <c r="D15" s="27">
        <v>195</v>
      </c>
      <c r="E15" s="27">
        <v>233</v>
      </c>
    </row>
    <row r="16" spans="1:5" ht="23.1" customHeight="1" x14ac:dyDescent="0.25">
      <c r="A16" s="23"/>
      <c r="B16" s="24" t="s">
        <v>1410</v>
      </c>
      <c r="C16" s="24">
        <f>SUM(C17:C41)</f>
        <v>53225</v>
      </c>
      <c r="D16" s="24">
        <f t="shared" ref="D16:E16" si="1">SUM(D17:D41)</f>
        <v>28144</v>
      </c>
      <c r="E16" s="24">
        <f t="shared" si="1"/>
        <v>25081</v>
      </c>
    </row>
    <row r="17" spans="1:5" ht="23.1" customHeight="1" x14ac:dyDescent="0.25">
      <c r="A17" s="23">
        <v>1</v>
      </c>
      <c r="B17" s="27" t="s">
        <v>1151</v>
      </c>
      <c r="C17" s="27">
        <v>3009</v>
      </c>
      <c r="D17" s="27">
        <v>1815</v>
      </c>
      <c r="E17" s="27">
        <v>1194</v>
      </c>
    </row>
    <row r="18" spans="1:5" ht="23.1" customHeight="1" x14ac:dyDescent="0.25">
      <c r="A18" s="23">
        <v>2</v>
      </c>
      <c r="B18" s="27" t="s">
        <v>1152</v>
      </c>
      <c r="C18" s="27">
        <v>1653</v>
      </c>
      <c r="D18" s="27">
        <v>886</v>
      </c>
      <c r="E18" s="27">
        <v>767</v>
      </c>
    </row>
    <row r="19" spans="1:5" ht="23.1" customHeight="1" x14ac:dyDescent="0.25">
      <c r="A19" s="23">
        <v>3</v>
      </c>
      <c r="B19" s="27" t="s">
        <v>51</v>
      </c>
      <c r="C19" s="27">
        <v>2304</v>
      </c>
      <c r="D19" s="27">
        <v>1172</v>
      </c>
      <c r="E19" s="27">
        <v>1132</v>
      </c>
    </row>
    <row r="20" spans="1:5" ht="23.1" customHeight="1" x14ac:dyDescent="0.25">
      <c r="A20" s="23">
        <v>4</v>
      </c>
      <c r="B20" s="27" t="s">
        <v>1153</v>
      </c>
      <c r="C20" s="27">
        <v>2114</v>
      </c>
      <c r="D20" s="27">
        <v>1063</v>
      </c>
      <c r="E20" s="27">
        <v>1051</v>
      </c>
    </row>
    <row r="21" spans="1:5" ht="23.1" customHeight="1" x14ac:dyDescent="0.25">
      <c r="A21" s="23">
        <v>5</v>
      </c>
      <c r="B21" s="27" t="s">
        <v>627</v>
      </c>
      <c r="C21" s="27">
        <v>1990</v>
      </c>
      <c r="D21" s="27">
        <v>1024</v>
      </c>
      <c r="E21" s="27">
        <v>966</v>
      </c>
    </row>
    <row r="22" spans="1:5" ht="23.1" customHeight="1" x14ac:dyDescent="0.25">
      <c r="A22" s="23">
        <v>6</v>
      </c>
      <c r="B22" s="27" t="s">
        <v>1154</v>
      </c>
      <c r="C22" s="27">
        <v>2290</v>
      </c>
      <c r="D22" s="27">
        <v>1192</v>
      </c>
      <c r="E22" s="27">
        <v>1098</v>
      </c>
    </row>
    <row r="23" spans="1:5" ht="23.1" customHeight="1" x14ac:dyDescent="0.25">
      <c r="A23" s="23">
        <v>7</v>
      </c>
      <c r="B23" s="27" t="s">
        <v>1155</v>
      </c>
      <c r="C23" s="27">
        <v>819</v>
      </c>
      <c r="D23" s="27">
        <v>430</v>
      </c>
      <c r="E23" s="27">
        <v>389</v>
      </c>
    </row>
    <row r="24" spans="1:5" ht="23.1" customHeight="1" x14ac:dyDescent="0.25">
      <c r="A24" s="23">
        <v>8</v>
      </c>
      <c r="B24" s="27" t="s">
        <v>1156</v>
      </c>
      <c r="C24" s="27">
        <v>1572</v>
      </c>
      <c r="D24" s="27">
        <v>849</v>
      </c>
      <c r="E24" s="27">
        <v>723</v>
      </c>
    </row>
    <row r="25" spans="1:5" ht="23.1" customHeight="1" x14ac:dyDescent="0.25">
      <c r="A25" s="23">
        <v>9</v>
      </c>
      <c r="B25" s="27" t="s">
        <v>1157</v>
      </c>
      <c r="C25" s="27">
        <v>1387</v>
      </c>
      <c r="D25" s="27">
        <v>756</v>
      </c>
      <c r="E25" s="27">
        <v>631</v>
      </c>
    </row>
    <row r="26" spans="1:5" ht="23.1" customHeight="1" x14ac:dyDescent="0.25">
      <c r="A26" s="23">
        <v>10</v>
      </c>
      <c r="B26" s="27" t="s">
        <v>1158</v>
      </c>
      <c r="C26" s="27">
        <v>2649</v>
      </c>
      <c r="D26" s="27">
        <v>1438</v>
      </c>
      <c r="E26" s="27">
        <v>1211</v>
      </c>
    </row>
    <row r="27" spans="1:5" ht="23.1" customHeight="1" x14ac:dyDescent="0.25">
      <c r="A27" s="23">
        <v>11</v>
      </c>
      <c r="B27" s="27" t="s">
        <v>1159</v>
      </c>
      <c r="C27" s="27">
        <v>2546</v>
      </c>
      <c r="D27" s="27">
        <v>1352</v>
      </c>
      <c r="E27" s="27">
        <v>1194</v>
      </c>
    </row>
    <row r="28" spans="1:5" ht="23.1" customHeight="1" x14ac:dyDescent="0.25">
      <c r="A28" s="23">
        <v>12</v>
      </c>
      <c r="B28" s="27" t="s">
        <v>1160</v>
      </c>
      <c r="C28" s="27">
        <v>3252</v>
      </c>
      <c r="D28" s="27">
        <v>1693</v>
      </c>
      <c r="E28" s="27">
        <v>1559</v>
      </c>
    </row>
    <row r="29" spans="1:5" ht="23.1" customHeight="1" x14ac:dyDescent="0.25">
      <c r="A29" s="23">
        <v>13</v>
      </c>
      <c r="B29" s="27" t="s">
        <v>1161</v>
      </c>
      <c r="C29" s="27">
        <v>2443</v>
      </c>
      <c r="D29" s="27">
        <v>1276</v>
      </c>
      <c r="E29" s="27">
        <v>1167</v>
      </c>
    </row>
    <row r="30" spans="1:5" ht="23.1" customHeight="1" x14ac:dyDescent="0.25">
      <c r="A30" s="23">
        <v>14</v>
      </c>
      <c r="B30" s="27" t="s">
        <v>1162</v>
      </c>
      <c r="C30" s="27">
        <v>2147</v>
      </c>
      <c r="D30" s="27">
        <v>1119</v>
      </c>
      <c r="E30" s="27">
        <v>1028</v>
      </c>
    </row>
    <row r="31" spans="1:5" ht="23.1" customHeight="1" x14ac:dyDescent="0.25">
      <c r="A31" s="23">
        <v>15</v>
      </c>
      <c r="B31" s="27" t="s">
        <v>1163</v>
      </c>
      <c r="C31" s="27">
        <v>4924</v>
      </c>
      <c r="D31" s="27">
        <v>2702</v>
      </c>
      <c r="E31" s="27">
        <v>2222</v>
      </c>
    </row>
    <row r="32" spans="1:5" ht="23.1" customHeight="1" x14ac:dyDescent="0.25">
      <c r="A32" s="23">
        <v>16</v>
      </c>
      <c r="B32" s="27" t="s">
        <v>1164</v>
      </c>
      <c r="C32" s="27">
        <v>3009</v>
      </c>
      <c r="D32" s="27">
        <v>1540</v>
      </c>
      <c r="E32" s="27">
        <v>1469</v>
      </c>
    </row>
    <row r="33" spans="1:5" ht="23.1" customHeight="1" x14ac:dyDescent="0.25">
      <c r="A33" s="23">
        <v>17</v>
      </c>
      <c r="B33" s="27" t="s">
        <v>643</v>
      </c>
      <c r="C33" s="27">
        <v>2229</v>
      </c>
      <c r="D33" s="27">
        <v>1194</v>
      </c>
      <c r="E33" s="27">
        <v>1035</v>
      </c>
    </row>
    <row r="34" spans="1:5" ht="23.1" customHeight="1" x14ac:dyDescent="0.25">
      <c r="A34" s="23">
        <v>18</v>
      </c>
      <c r="B34" s="27" t="s">
        <v>1165</v>
      </c>
      <c r="C34" s="27">
        <v>1729</v>
      </c>
      <c r="D34" s="27">
        <v>891</v>
      </c>
      <c r="E34" s="27">
        <v>838</v>
      </c>
    </row>
    <row r="35" spans="1:5" ht="23.1" customHeight="1" x14ac:dyDescent="0.25">
      <c r="A35" s="23">
        <v>19</v>
      </c>
      <c r="B35" s="27" t="s">
        <v>1166</v>
      </c>
      <c r="C35" s="27">
        <v>478</v>
      </c>
      <c r="D35" s="27">
        <v>249</v>
      </c>
      <c r="E35" s="27">
        <v>229</v>
      </c>
    </row>
    <row r="36" spans="1:5" ht="23.1" customHeight="1" x14ac:dyDescent="0.25">
      <c r="A36" s="23">
        <v>20</v>
      </c>
      <c r="B36" s="27" t="s">
        <v>553</v>
      </c>
      <c r="C36" s="27">
        <v>1738</v>
      </c>
      <c r="D36" s="27">
        <v>879</v>
      </c>
      <c r="E36" s="27">
        <v>859</v>
      </c>
    </row>
    <row r="37" spans="1:5" ht="23.1" customHeight="1" x14ac:dyDescent="0.25">
      <c r="A37" s="23">
        <v>21</v>
      </c>
      <c r="B37" s="27" t="s">
        <v>571</v>
      </c>
      <c r="C37" s="27">
        <v>1203</v>
      </c>
      <c r="D37" s="27">
        <v>643</v>
      </c>
      <c r="E37" s="27">
        <v>560</v>
      </c>
    </row>
    <row r="38" spans="1:5" ht="23.1" customHeight="1" x14ac:dyDescent="0.25">
      <c r="A38" s="23">
        <v>22</v>
      </c>
      <c r="B38" s="27" t="s">
        <v>1167</v>
      </c>
      <c r="C38" s="27">
        <v>2272</v>
      </c>
      <c r="D38" s="27">
        <v>1110</v>
      </c>
      <c r="E38" s="27">
        <v>1162</v>
      </c>
    </row>
    <row r="39" spans="1:5" ht="23.1" customHeight="1" x14ac:dyDescent="0.25">
      <c r="A39" s="23">
        <v>23</v>
      </c>
      <c r="B39" s="27" t="s">
        <v>1168</v>
      </c>
      <c r="C39" s="27">
        <v>1124</v>
      </c>
      <c r="D39" s="27">
        <v>561</v>
      </c>
      <c r="E39" s="27">
        <v>563</v>
      </c>
    </row>
    <row r="40" spans="1:5" ht="23.1" customHeight="1" x14ac:dyDescent="0.25">
      <c r="A40" s="23">
        <v>24</v>
      </c>
      <c r="B40" s="27" t="s">
        <v>1169</v>
      </c>
      <c r="C40" s="27">
        <v>2818</v>
      </c>
      <c r="D40" s="27">
        <v>1492</v>
      </c>
      <c r="E40" s="27">
        <v>1326</v>
      </c>
    </row>
    <row r="41" spans="1:5" ht="23.1" customHeight="1" x14ac:dyDescent="0.25">
      <c r="A41" s="28">
        <v>25</v>
      </c>
      <c r="B41" s="29" t="s">
        <v>1170</v>
      </c>
      <c r="C41" s="29">
        <v>1526</v>
      </c>
      <c r="D41" s="29">
        <v>818</v>
      </c>
      <c r="E41" s="29">
        <v>708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Kunlon District,  Kunlon Township"/>
  </hyperlinks>
  <pageMargins left="0.75" right="0.5" top="0.5" bottom="0.25" header="0.3" footer="0.3"/>
  <pageSetup paperSize="9" orientation="portrait" horizontalDpi="1200" verticalDpi="12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sqref="A1:E1"/>
    </sheetView>
  </sheetViews>
  <sheetFormatPr defaultRowHeight="15" x14ac:dyDescent="0.25"/>
  <cols>
    <col min="2" max="2" width="25.42578125" customWidth="1"/>
    <col min="3" max="5" width="15.7109375" customWidth="1"/>
  </cols>
  <sheetData>
    <row r="1" spans="1:5" ht="18.75" x14ac:dyDescent="0.3">
      <c r="A1" s="180" t="s">
        <v>1386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15.75" x14ac:dyDescent="0.25">
      <c r="A3" s="20"/>
      <c r="B3" s="20"/>
      <c r="C3" s="20"/>
      <c r="D3" s="20"/>
      <c r="E3" s="20"/>
    </row>
    <row r="4" spans="1:5" ht="15.75" x14ac:dyDescent="0.25">
      <c r="A4" s="173" t="s">
        <v>1339</v>
      </c>
      <c r="B4" s="181" t="s">
        <v>1422</v>
      </c>
      <c r="C4" s="174" t="s">
        <v>1340</v>
      </c>
      <c r="D4" s="175"/>
      <c r="E4" s="176"/>
    </row>
    <row r="5" spans="1:5" ht="15.75" x14ac:dyDescent="0.25">
      <c r="A5" s="181"/>
      <c r="B5" s="182"/>
      <c r="C5" s="65" t="s">
        <v>0</v>
      </c>
      <c r="D5" s="65" t="s">
        <v>1</v>
      </c>
      <c r="E5" s="65" t="s">
        <v>2</v>
      </c>
    </row>
    <row r="6" spans="1:5" ht="22.5" customHeight="1" x14ac:dyDescent="0.25">
      <c r="A6" s="51"/>
      <c r="B6" s="26" t="s">
        <v>0</v>
      </c>
      <c r="C6" s="26">
        <v>89961</v>
      </c>
      <c r="D6" s="26">
        <v>47395</v>
      </c>
      <c r="E6" s="26">
        <v>42566</v>
      </c>
    </row>
    <row r="7" spans="1:5" ht="8.25" customHeight="1" x14ac:dyDescent="0.25">
      <c r="A7" s="24"/>
      <c r="B7" s="24"/>
      <c r="C7" s="24"/>
      <c r="D7" s="24"/>
      <c r="E7" s="24"/>
    </row>
    <row r="8" spans="1:5" ht="23.1" customHeight="1" x14ac:dyDescent="0.25">
      <c r="A8" s="24"/>
      <c r="B8" s="24" t="s">
        <v>1338</v>
      </c>
      <c r="C8" s="24">
        <f>SUM(C9:C11)</f>
        <v>23435</v>
      </c>
      <c r="D8" s="24">
        <f t="shared" ref="D8:E8" si="0">SUM(D9:D11)</f>
        <v>12125</v>
      </c>
      <c r="E8" s="24">
        <f t="shared" si="0"/>
        <v>11310</v>
      </c>
    </row>
    <row r="9" spans="1:5" ht="24.95" customHeight="1" x14ac:dyDescent="0.25">
      <c r="A9" s="23">
        <v>1</v>
      </c>
      <c r="B9" s="27" t="s">
        <v>25</v>
      </c>
      <c r="C9" s="27">
        <v>7277</v>
      </c>
      <c r="D9" s="27">
        <v>3770</v>
      </c>
      <c r="E9" s="27">
        <v>3507</v>
      </c>
    </row>
    <row r="10" spans="1:5" ht="24.95" customHeight="1" x14ac:dyDescent="0.25">
      <c r="A10" s="23">
        <v>2</v>
      </c>
      <c r="B10" s="27" t="s">
        <v>26</v>
      </c>
      <c r="C10" s="27">
        <v>8078</v>
      </c>
      <c r="D10" s="27">
        <v>4025</v>
      </c>
      <c r="E10" s="27">
        <v>4053</v>
      </c>
    </row>
    <row r="11" spans="1:5" ht="24.95" customHeight="1" x14ac:dyDescent="0.25">
      <c r="A11" s="23">
        <v>3</v>
      </c>
      <c r="B11" s="27" t="s">
        <v>27</v>
      </c>
      <c r="C11" s="27">
        <v>8080</v>
      </c>
      <c r="D11" s="27">
        <v>4330</v>
      </c>
      <c r="E11" s="27">
        <v>3750</v>
      </c>
    </row>
    <row r="12" spans="1:5" ht="24.95" customHeight="1" x14ac:dyDescent="0.25">
      <c r="A12" s="23"/>
      <c r="B12" s="24" t="s">
        <v>1410</v>
      </c>
      <c r="C12" s="24">
        <f>SUM(C13:C19)</f>
        <v>66526</v>
      </c>
      <c r="D12" s="24">
        <f t="shared" ref="D12:E12" si="1">SUM(D13:D19)</f>
        <v>35270</v>
      </c>
      <c r="E12" s="24">
        <f t="shared" si="1"/>
        <v>31256</v>
      </c>
    </row>
    <row r="13" spans="1:5" ht="24.95" customHeight="1" x14ac:dyDescent="0.25">
      <c r="A13" s="23">
        <v>1</v>
      </c>
      <c r="B13" s="27" t="s">
        <v>1171</v>
      </c>
      <c r="C13" s="27">
        <v>3698</v>
      </c>
      <c r="D13" s="27">
        <v>1993</v>
      </c>
      <c r="E13" s="27">
        <v>1705</v>
      </c>
    </row>
    <row r="14" spans="1:5" ht="24.95" customHeight="1" x14ac:dyDescent="0.25">
      <c r="A14" s="23">
        <v>2</v>
      </c>
      <c r="B14" s="27" t="s">
        <v>1172</v>
      </c>
      <c r="C14" s="27">
        <v>18039</v>
      </c>
      <c r="D14" s="27">
        <v>9585</v>
      </c>
      <c r="E14" s="27">
        <v>8454</v>
      </c>
    </row>
    <row r="15" spans="1:5" ht="24.95" customHeight="1" x14ac:dyDescent="0.25">
      <c r="A15" s="23">
        <v>3</v>
      </c>
      <c r="B15" s="27" t="s">
        <v>1173</v>
      </c>
      <c r="C15" s="27">
        <v>15405</v>
      </c>
      <c r="D15" s="27">
        <v>8087</v>
      </c>
      <c r="E15" s="27">
        <v>7318</v>
      </c>
    </row>
    <row r="16" spans="1:5" ht="24.95" customHeight="1" x14ac:dyDescent="0.25">
      <c r="A16" s="23">
        <v>4</v>
      </c>
      <c r="B16" s="27" t="s">
        <v>1174</v>
      </c>
      <c r="C16" s="27">
        <v>8563</v>
      </c>
      <c r="D16" s="27">
        <v>4533</v>
      </c>
      <c r="E16" s="27">
        <v>4030</v>
      </c>
    </row>
    <row r="17" spans="1:5" ht="24.95" customHeight="1" x14ac:dyDescent="0.25">
      <c r="A17" s="23">
        <v>5</v>
      </c>
      <c r="B17" s="27" t="s">
        <v>1162</v>
      </c>
      <c r="C17" s="27">
        <v>10300</v>
      </c>
      <c r="D17" s="27">
        <v>5526</v>
      </c>
      <c r="E17" s="27">
        <v>4774</v>
      </c>
    </row>
    <row r="18" spans="1:5" ht="24.95" customHeight="1" x14ac:dyDescent="0.25">
      <c r="A18" s="23">
        <v>6</v>
      </c>
      <c r="B18" s="27" t="s">
        <v>1175</v>
      </c>
      <c r="C18" s="27">
        <v>5601</v>
      </c>
      <c r="D18" s="27">
        <v>2955</v>
      </c>
      <c r="E18" s="27">
        <v>2646</v>
      </c>
    </row>
    <row r="19" spans="1:5" ht="24.95" customHeight="1" x14ac:dyDescent="0.25">
      <c r="A19" s="28">
        <v>7</v>
      </c>
      <c r="B19" s="29" t="s">
        <v>1176</v>
      </c>
      <c r="C19" s="29">
        <v>4920</v>
      </c>
      <c r="D19" s="29">
        <v>2591</v>
      </c>
      <c r="E19" s="29">
        <v>2329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LaukineDistrict,  Laukine Township"/>
  </hyperlinks>
  <pageMargins left="0.75" right="0.5" top="0.5" bottom="0.25" header="0.3" footer="0.3"/>
  <pageSetup paperSize="9" orientation="portrait" horizontalDpi="1200" verticalDpi="12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sqref="A1:E1"/>
    </sheetView>
  </sheetViews>
  <sheetFormatPr defaultRowHeight="15" x14ac:dyDescent="0.25"/>
  <cols>
    <col min="1" max="1" width="6.85546875" customWidth="1"/>
    <col min="2" max="2" width="35.85546875" customWidth="1"/>
    <col min="3" max="5" width="13.7109375" customWidth="1"/>
  </cols>
  <sheetData>
    <row r="1" spans="1:5" ht="18.75" x14ac:dyDescent="0.3">
      <c r="A1" s="180" t="s">
        <v>1387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11.25" customHeight="1" x14ac:dyDescent="0.25">
      <c r="A3" s="20"/>
      <c r="B3" s="20"/>
      <c r="C3" s="20"/>
      <c r="D3" s="20"/>
      <c r="E3" s="20"/>
    </row>
    <row r="4" spans="1:5" ht="15.75" x14ac:dyDescent="0.25">
      <c r="A4" s="173" t="s">
        <v>1339</v>
      </c>
      <c r="B4" s="181" t="s">
        <v>1422</v>
      </c>
      <c r="C4" s="174" t="s">
        <v>1340</v>
      </c>
      <c r="D4" s="175"/>
      <c r="E4" s="176"/>
    </row>
    <row r="5" spans="1:5" ht="15.75" x14ac:dyDescent="0.25">
      <c r="A5" s="181"/>
      <c r="B5" s="182"/>
      <c r="C5" s="65" t="s">
        <v>0</v>
      </c>
      <c r="D5" s="65" t="s">
        <v>1</v>
      </c>
      <c r="E5" s="65" t="s">
        <v>2</v>
      </c>
    </row>
    <row r="6" spans="1:5" ht="24.75" customHeight="1" x14ac:dyDescent="0.25">
      <c r="A6" s="51"/>
      <c r="B6" s="26" t="s">
        <v>0</v>
      </c>
      <c r="C6" s="26">
        <v>33772</v>
      </c>
      <c r="D6" s="26">
        <v>17472</v>
      </c>
      <c r="E6" s="26">
        <v>16300</v>
      </c>
    </row>
    <row r="7" spans="1:5" ht="10.5" customHeight="1" x14ac:dyDescent="0.25">
      <c r="A7" s="24"/>
      <c r="B7" s="24"/>
      <c r="C7" s="24"/>
      <c r="D7" s="24"/>
      <c r="E7" s="24"/>
    </row>
    <row r="8" spans="1:5" ht="23.1" customHeight="1" x14ac:dyDescent="0.25">
      <c r="A8" s="24"/>
      <c r="B8" s="24" t="s">
        <v>1338</v>
      </c>
      <c r="C8" s="24">
        <f>SUM(C9:C11)</f>
        <v>1186</v>
      </c>
      <c r="D8" s="24">
        <f t="shared" ref="D8:E8" si="0">SUM(D9:D11)</f>
        <v>664</v>
      </c>
      <c r="E8" s="24">
        <f t="shared" si="0"/>
        <v>522</v>
      </c>
    </row>
    <row r="9" spans="1:5" ht="23.1" customHeight="1" x14ac:dyDescent="0.25">
      <c r="A9" s="23">
        <v>1</v>
      </c>
      <c r="B9" s="27" t="s">
        <v>25</v>
      </c>
      <c r="C9" s="27">
        <v>426</v>
      </c>
      <c r="D9" s="27">
        <v>235</v>
      </c>
      <c r="E9" s="27">
        <v>191</v>
      </c>
    </row>
    <row r="10" spans="1:5" ht="23.1" customHeight="1" x14ac:dyDescent="0.25">
      <c r="A10" s="23">
        <v>2</v>
      </c>
      <c r="B10" s="27" t="s">
        <v>26</v>
      </c>
      <c r="C10" s="27">
        <v>292</v>
      </c>
      <c r="D10" s="27">
        <v>148</v>
      </c>
      <c r="E10" s="27">
        <v>144</v>
      </c>
    </row>
    <row r="11" spans="1:5" ht="23.1" customHeight="1" x14ac:dyDescent="0.25">
      <c r="A11" s="23">
        <v>3</v>
      </c>
      <c r="B11" s="27" t="s">
        <v>27</v>
      </c>
      <c r="C11" s="27">
        <v>468</v>
      </c>
      <c r="D11" s="27">
        <v>281</v>
      </c>
      <c r="E11" s="27">
        <v>187</v>
      </c>
    </row>
    <row r="12" spans="1:5" ht="23.1" customHeight="1" x14ac:dyDescent="0.25">
      <c r="A12" s="23"/>
      <c r="B12" s="24" t="s">
        <v>1410</v>
      </c>
      <c r="C12" s="24">
        <f>SUM(C13:C16)</f>
        <v>32586</v>
      </c>
      <c r="D12" s="24">
        <f t="shared" ref="D12:E12" si="1">SUM(D13:D16)</f>
        <v>16808</v>
      </c>
      <c r="E12" s="24">
        <f t="shared" si="1"/>
        <v>15778</v>
      </c>
    </row>
    <row r="13" spans="1:5" ht="23.1" customHeight="1" x14ac:dyDescent="0.25">
      <c r="A13" s="23">
        <v>1</v>
      </c>
      <c r="B13" s="27" t="s">
        <v>1177</v>
      </c>
      <c r="C13" s="27">
        <v>11642</v>
      </c>
      <c r="D13" s="27">
        <v>5988</v>
      </c>
      <c r="E13" s="27">
        <v>5654</v>
      </c>
    </row>
    <row r="14" spans="1:5" ht="23.1" customHeight="1" x14ac:dyDescent="0.25">
      <c r="A14" s="23">
        <v>2</v>
      </c>
      <c r="B14" s="27" t="s">
        <v>1178</v>
      </c>
      <c r="C14" s="27">
        <v>6496</v>
      </c>
      <c r="D14" s="27">
        <v>3275</v>
      </c>
      <c r="E14" s="27">
        <v>3221</v>
      </c>
    </row>
    <row r="15" spans="1:5" ht="23.1" customHeight="1" x14ac:dyDescent="0.25">
      <c r="A15" s="23">
        <v>3</v>
      </c>
      <c r="B15" s="27" t="s">
        <v>1179</v>
      </c>
      <c r="C15" s="27">
        <v>6644</v>
      </c>
      <c r="D15" s="27">
        <v>3445</v>
      </c>
      <c r="E15" s="27">
        <v>3199</v>
      </c>
    </row>
    <row r="16" spans="1:5" ht="23.1" customHeight="1" x14ac:dyDescent="0.25">
      <c r="A16" s="28">
        <v>4</v>
      </c>
      <c r="B16" s="29" t="s">
        <v>1180</v>
      </c>
      <c r="C16" s="29">
        <v>7804</v>
      </c>
      <c r="D16" s="29">
        <v>4100</v>
      </c>
      <c r="E16" s="29">
        <v>3704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LaukineDistrict,  Kongyan Township"/>
  </hyperlinks>
  <pageMargins left="0.75" right="0.5" top="0.5" bottom="0.25" header="0.3" footer="0.3"/>
  <pageSetup paperSize="9" orientation="portrait" horizontalDpi="1200" verticalDpi="12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sqref="A1:E1"/>
    </sheetView>
  </sheetViews>
  <sheetFormatPr defaultRowHeight="15" x14ac:dyDescent="0.25"/>
  <cols>
    <col min="2" max="2" width="24.7109375" customWidth="1"/>
    <col min="3" max="5" width="15.7109375" customWidth="1"/>
  </cols>
  <sheetData>
    <row r="1" spans="1:5" ht="18.75" x14ac:dyDescent="0.3">
      <c r="A1" s="180" t="s">
        <v>1388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15.75" x14ac:dyDescent="0.25">
      <c r="A3" s="20"/>
      <c r="B3" s="20"/>
      <c r="C3" s="20"/>
      <c r="D3" s="20"/>
      <c r="E3" s="20"/>
    </row>
    <row r="4" spans="1:5" ht="15.75" x14ac:dyDescent="0.25">
      <c r="A4" s="173" t="s">
        <v>1339</v>
      </c>
      <c r="B4" s="181" t="s">
        <v>1422</v>
      </c>
      <c r="C4" s="174" t="s">
        <v>1340</v>
      </c>
      <c r="D4" s="175"/>
      <c r="E4" s="176"/>
    </row>
    <row r="5" spans="1:5" ht="15.75" x14ac:dyDescent="0.25">
      <c r="A5" s="181"/>
      <c r="B5" s="182"/>
      <c r="C5" s="65" t="s">
        <v>0</v>
      </c>
      <c r="D5" s="65" t="s">
        <v>1</v>
      </c>
      <c r="E5" s="65" t="s">
        <v>2</v>
      </c>
    </row>
    <row r="6" spans="1:5" ht="24" customHeight="1" x14ac:dyDescent="0.25">
      <c r="A6" s="51"/>
      <c r="B6" s="26" t="s">
        <v>0</v>
      </c>
      <c r="C6" s="26">
        <v>4889</v>
      </c>
      <c r="D6" s="26">
        <v>2638</v>
      </c>
      <c r="E6" s="26">
        <v>2251</v>
      </c>
    </row>
    <row r="7" spans="1:5" ht="12.75" customHeight="1" x14ac:dyDescent="0.25">
      <c r="A7" s="24"/>
      <c r="B7" s="24"/>
      <c r="C7" s="24"/>
      <c r="D7" s="24"/>
      <c r="E7" s="24"/>
    </row>
    <row r="8" spans="1:5" ht="24.95" customHeight="1" x14ac:dyDescent="0.25">
      <c r="A8" s="23"/>
      <c r="B8" s="24" t="s">
        <v>1338</v>
      </c>
      <c r="C8" s="24">
        <f>SUM(C9:C11)</f>
        <v>3138</v>
      </c>
      <c r="D8" s="24">
        <f>SUM(D9:D11)</f>
        <v>1731</v>
      </c>
      <c r="E8" s="24">
        <f>SUM(E9:E11)</f>
        <v>1407</v>
      </c>
    </row>
    <row r="9" spans="1:5" ht="24.95" customHeight="1" x14ac:dyDescent="0.25">
      <c r="A9" s="23">
        <v>1</v>
      </c>
      <c r="B9" s="27" t="s">
        <v>25</v>
      </c>
      <c r="C9" s="27">
        <v>783</v>
      </c>
      <c r="D9" s="27">
        <v>369</v>
      </c>
      <c r="E9" s="27">
        <v>414</v>
      </c>
    </row>
    <row r="10" spans="1:5" ht="24.95" customHeight="1" x14ac:dyDescent="0.25">
      <c r="A10" s="23">
        <v>2</v>
      </c>
      <c r="B10" s="27" t="s">
        <v>26</v>
      </c>
      <c r="C10" s="27">
        <v>1377</v>
      </c>
      <c r="D10" s="27">
        <v>752</v>
      </c>
      <c r="E10" s="27">
        <v>625</v>
      </c>
    </row>
    <row r="11" spans="1:5" ht="24.95" customHeight="1" x14ac:dyDescent="0.25">
      <c r="A11" s="23">
        <v>3</v>
      </c>
      <c r="B11" s="27" t="s">
        <v>27</v>
      </c>
      <c r="C11" s="27">
        <v>978</v>
      </c>
      <c r="D11" s="27">
        <v>610</v>
      </c>
      <c r="E11" s="27">
        <v>368</v>
      </c>
    </row>
    <row r="12" spans="1:5" ht="24.95" customHeight="1" x14ac:dyDescent="0.25">
      <c r="A12" s="23"/>
      <c r="B12" s="24" t="s">
        <v>1410</v>
      </c>
      <c r="C12" s="24">
        <f>SUM(C13)</f>
        <v>1751</v>
      </c>
      <c r="D12" s="24">
        <f>SUM(D13)</f>
        <v>907</v>
      </c>
      <c r="E12" s="24">
        <f>SUM(E13)</f>
        <v>844</v>
      </c>
    </row>
    <row r="13" spans="1:5" ht="24.95" customHeight="1" x14ac:dyDescent="0.25">
      <c r="A13" s="28">
        <v>1</v>
      </c>
      <c r="B13" s="29" t="s">
        <v>852</v>
      </c>
      <c r="C13" s="29">
        <v>1751</v>
      </c>
      <c r="D13" s="29">
        <v>907</v>
      </c>
      <c r="E13" s="29">
        <v>844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Laukine District,  Chinshwehaw(Sub- Township)"/>
  </hyperlinks>
  <pageMargins left="0.75" right="0.5" top="0.5" bottom="0.25" header="0.3" footer="0.3"/>
  <pageSetup paperSize="9" orientation="portrait" horizontalDpi="1200" verticalDpi="12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sqref="A1:E1"/>
    </sheetView>
  </sheetViews>
  <sheetFormatPr defaultRowHeight="15" x14ac:dyDescent="0.25"/>
  <cols>
    <col min="1" max="1" width="6.42578125" customWidth="1"/>
    <col min="2" max="2" width="26.5703125" customWidth="1"/>
    <col min="3" max="5" width="15.7109375" customWidth="1"/>
  </cols>
  <sheetData>
    <row r="1" spans="1:5" ht="18.75" x14ac:dyDescent="0.3">
      <c r="A1" s="180" t="s">
        <v>1389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10.5" customHeight="1" x14ac:dyDescent="0.25">
      <c r="A3" s="20"/>
      <c r="B3" s="20"/>
      <c r="C3" s="20"/>
      <c r="D3" s="20"/>
      <c r="E3" s="20"/>
    </row>
    <row r="4" spans="1:5" ht="15.75" x14ac:dyDescent="0.25">
      <c r="A4" s="173" t="s">
        <v>1339</v>
      </c>
      <c r="B4" s="181" t="s">
        <v>1422</v>
      </c>
      <c r="C4" s="174" t="s">
        <v>1340</v>
      </c>
      <c r="D4" s="175"/>
      <c r="E4" s="176"/>
    </row>
    <row r="5" spans="1:5" ht="15.75" x14ac:dyDescent="0.25">
      <c r="A5" s="181"/>
      <c r="B5" s="182"/>
      <c r="C5" s="65" t="s">
        <v>0</v>
      </c>
      <c r="D5" s="65" t="s">
        <v>1</v>
      </c>
      <c r="E5" s="65" t="s">
        <v>2</v>
      </c>
    </row>
    <row r="6" spans="1:5" ht="24.75" customHeight="1" x14ac:dyDescent="0.25">
      <c r="A6" s="51"/>
      <c r="B6" s="26" t="s">
        <v>0</v>
      </c>
      <c r="C6" s="26">
        <v>26290</v>
      </c>
      <c r="D6" s="26">
        <v>13599</v>
      </c>
      <c r="E6" s="26">
        <v>12691</v>
      </c>
    </row>
    <row r="7" spans="1:5" ht="11.25" customHeight="1" x14ac:dyDescent="0.25">
      <c r="A7" s="24"/>
      <c r="B7" s="24"/>
      <c r="C7" s="24"/>
      <c r="D7" s="24"/>
      <c r="E7" s="24"/>
    </row>
    <row r="8" spans="1:5" ht="24.95" customHeight="1" x14ac:dyDescent="0.25">
      <c r="A8" s="24"/>
      <c r="B8" s="24" t="s">
        <v>1338</v>
      </c>
      <c r="C8" s="24">
        <f>SUM(C9:C11)</f>
        <v>424</v>
      </c>
      <c r="D8" s="24">
        <f t="shared" ref="D8:E8" si="0">SUM(D9:D11)</f>
        <v>220</v>
      </c>
      <c r="E8" s="24">
        <f t="shared" si="0"/>
        <v>204</v>
      </c>
    </row>
    <row r="9" spans="1:5" ht="24.95" customHeight="1" x14ac:dyDescent="0.25">
      <c r="A9" s="27">
        <v>1</v>
      </c>
      <c r="B9" s="27" t="s">
        <v>25</v>
      </c>
      <c r="C9" s="27">
        <v>180</v>
      </c>
      <c r="D9" s="27">
        <v>87</v>
      </c>
      <c r="E9" s="27">
        <v>93</v>
      </c>
    </row>
    <row r="10" spans="1:5" ht="24.95" customHeight="1" x14ac:dyDescent="0.25">
      <c r="A10" s="27">
        <v>2</v>
      </c>
      <c r="B10" s="27" t="s">
        <v>26</v>
      </c>
      <c r="C10" s="27">
        <v>125</v>
      </c>
      <c r="D10" s="27">
        <v>58</v>
      </c>
      <c r="E10" s="27">
        <v>67</v>
      </c>
    </row>
    <row r="11" spans="1:5" ht="24.95" customHeight="1" x14ac:dyDescent="0.25">
      <c r="A11" s="27">
        <v>3</v>
      </c>
      <c r="B11" s="27" t="s">
        <v>27</v>
      </c>
      <c r="C11" s="27">
        <v>119</v>
      </c>
      <c r="D11" s="27">
        <v>75</v>
      </c>
      <c r="E11" s="27">
        <v>44</v>
      </c>
    </row>
    <row r="12" spans="1:5" ht="24.95" customHeight="1" x14ac:dyDescent="0.25">
      <c r="A12" s="23"/>
      <c r="B12" s="49" t="s">
        <v>1410</v>
      </c>
      <c r="C12" s="24">
        <f>SUM(C13:C16)</f>
        <v>25866</v>
      </c>
      <c r="D12" s="24">
        <f t="shared" ref="D12:E12" si="1">SUM(D13:D16)</f>
        <v>13379</v>
      </c>
      <c r="E12" s="24">
        <f t="shared" si="1"/>
        <v>12487</v>
      </c>
    </row>
    <row r="13" spans="1:5" ht="24.95" customHeight="1" x14ac:dyDescent="0.25">
      <c r="A13" s="23">
        <v>1</v>
      </c>
      <c r="B13" s="27" t="s">
        <v>1181</v>
      </c>
      <c r="C13" s="27">
        <v>6789</v>
      </c>
      <c r="D13" s="27">
        <v>3529</v>
      </c>
      <c r="E13" s="27">
        <v>3260</v>
      </c>
    </row>
    <row r="14" spans="1:5" ht="24.95" customHeight="1" x14ac:dyDescent="0.25">
      <c r="A14" s="23">
        <v>2</v>
      </c>
      <c r="B14" s="27" t="s">
        <v>1182</v>
      </c>
      <c r="C14" s="27">
        <v>5208</v>
      </c>
      <c r="D14" s="27">
        <v>2762</v>
      </c>
      <c r="E14" s="27">
        <v>2446</v>
      </c>
    </row>
    <row r="15" spans="1:5" ht="24.95" customHeight="1" x14ac:dyDescent="0.25">
      <c r="A15" s="23">
        <v>3</v>
      </c>
      <c r="B15" s="27" t="s">
        <v>1183</v>
      </c>
      <c r="C15" s="27">
        <v>5884</v>
      </c>
      <c r="D15" s="27">
        <v>2903</v>
      </c>
      <c r="E15" s="27">
        <v>2981</v>
      </c>
    </row>
    <row r="16" spans="1:5" ht="24.95" customHeight="1" x14ac:dyDescent="0.25">
      <c r="A16" s="28">
        <v>4</v>
      </c>
      <c r="B16" s="29" t="s">
        <v>1184</v>
      </c>
      <c r="C16" s="29">
        <v>7985</v>
      </c>
      <c r="D16" s="29">
        <v>4185</v>
      </c>
      <c r="E16" s="29">
        <v>3800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Laukine District, Mawhtike (Sub- Township)"/>
  </hyperlinks>
  <pageMargins left="0.75" right="0.5" top="0.5" bottom="0.25" header="0.3" footer="0.3"/>
  <pageSetup paperSize="9" orientation="portrait" horizontalDpi="1200" verticalDpi="12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>
      <selection sqref="A1:E1"/>
    </sheetView>
  </sheetViews>
  <sheetFormatPr defaultRowHeight="15" x14ac:dyDescent="0.25"/>
  <cols>
    <col min="1" max="1" width="6.140625" customWidth="1"/>
    <col min="2" max="2" width="29.28515625" style="8" customWidth="1"/>
    <col min="3" max="4" width="14.28515625" customWidth="1"/>
    <col min="5" max="5" width="12.5703125" customWidth="1"/>
  </cols>
  <sheetData>
    <row r="1" spans="1:8" ht="18.75" x14ac:dyDescent="0.25">
      <c r="A1" s="183" t="s">
        <v>1423</v>
      </c>
      <c r="B1" s="183"/>
      <c r="C1" s="183"/>
      <c r="D1" s="183"/>
      <c r="E1" s="183"/>
    </row>
    <row r="2" spans="1:8" ht="21.75" x14ac:dyDescent="0.4">
      <c r="A2" s="80"/>
      <c r="B2" s="81"/>
      <c r="C2" s="82"/>
      <c r="E2" s="74" t="s">
        <v>1341</v>
      </c>
    </row>
    <row r="3" spans="1:8" ht="10.5" customHeight="1" x14ac:dyDescent="0.4">
      <c r="A3" s="80"/>
      <c r="B3" s="81"/>
      <c r="C3" s="81"/>
      <c r="D3" s="81"/>
    </row>
    <row r="4" spans="1:8" ht="15.75" customHeight="1" x14ac:dyDescent="0.25">
      <c r="A4" s="173" t="s">
        <v>1339</v>
      </c>
      <c r="B4" s="173" t="s">
        <v>1422</v>
      </c>
      <c r="C4" s="173" t="s">
        <v>1340</v>
      </c>
      <c r="D4" s="173"/>
      <c r="E4" s="173"/>
    </row>
    <row r="5" spans="1:8" ht="15.75" customHeight="1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8" ht="24.95" customHeight="1" x14ac:dyDescent="0.25">
      <c r="A6" s="118"/>
      <c r="B6" s="129" t="s">
        <v>0</v>
      </c>
      <c r="C6" s="130">
        <v>54894</v>
      </c>
      <c r="D6" s="130">
        <v>28269</v>
      </c>
      <c r="E6" s="130">
        <v>26625</v>
      </c>
    </row>
    <row r="7" spans="1:8" ht="24.95" customHeight="1" x14ac:dyDescent="0.25">
      <c r="A7" s="119"/>
      <c r="B7" s="63" t="s">
        <v>1338</v>
      </c>
      <c r="C7" s="131">
        <v>16893</v>
      </c>
      <c r="D7" s="131">
        <v>8640</v>
      </c>
      <c r="E7" s="131">
        <v>8253</v>
      </c>
    </row>
    <row r="8" spans="1:8" ht="24.95" customHeight="1" x14ac:dyDescent="0.25">
      <c r="A8" s="119"/>
      <c r="B8" s="132" t="s">
        <v>1410</v>
      </c>
      <c r="C8" s="131">
        <v>38001</v>
      </c>
      <c r="D8" s="131">
        <v>19629</v>
      </c>
      <c r="E8" s="131">
        <v>18372</v>
      </c>
    </row>
    <row r="9" spans="1:8" ht="24.95" customHeight="1" x14ac:dyDescent="0.25">
      <c r="A9" s="119"/>
      <c r="B9" s="133" t="s">
        <v>1431</v>
      </c>
      <c r="C9" s="131">
        <v>7809</v>
      </c>
      <c r="D9" s="131">
        <v>4001</v>
      </c>
      <c r="E9" s="131">
        <v>3808</v>
      </c>
    </row>
    <row r="10" spans="1:8" ht="24.95" customHeight="1" x14ac:dyDescent="0.25">
      <c r="A10" s="119"/>
      <c r="B10" s="133" t="s">
        <v>1432</v>
      </c>
      <c r="C10" s="131"/>
      <c r="D10" s="131"/>
      <c r="E10" s="131"/>
    </row>
    <row r="11" spans="1:8" ht="24.95" customHeight="1" x14ac:dyDescent="0.25">
      <c r="A11" s="117">
        <v>1</v>
      </c>
      <c r="B11" s="134" t="s">
        <v>1433</v>
      </c>
      <c r="C11" s="62">
        <v>738</v>
      </c>
      <c r="D11" s="62">
        <v>456</v>
      </c>
      <c r="E11" s="135">
        <v>282</v>
      </c>
    </row>
    <row r="12" spans="1:8" ht="24.95" customHeight="1" x14ac:dyDescent="0.25">
      <c r="A12" s="117">
        <v>2</v>
      </c>
      <c r="B12" s="134" t="s">
        <v>1434</v>
      </c>
      <c r="C12" s="135">
        <v>786</v>
      </c>
      <c r="D12" s="135">
        <v>393</v>
      </c>
      <c r="E12" s="135">
        <v>393</v>
      </c>
      <c r="H12" s="116"/>
    </row>
    <row r="13" spans="1:8" ht="24.95" customHeight="1" x14ac:dyDescent="0.25">
      <c r="A13" s="117">
        <v>3</v>
      </c>
      <c r="B13" s="134" t="s">
        <v>1435</v>
      </c>
      <c r="C13" s="135">
        <v>218</v>
      </c>
      <c r="D13" s="135">
        <v>105</v>
      </c>
      <c r="E13" s="135">
        <v>113</v>
      </c>
      <c r="H13" s="116"/>
    </row>
    <row r="14" spans="1:8" ht="24.95" customHeight="1" x14ac:dyDescent="0.25">
      <c r="A14" s="117">
        <v>4</v>
      </c>
      <c r="B14" s="134" t="s">
        <v>1443</v>
      </c>
      <c r="C14" s="135">
        <v>1186</v>
      </c>
      <c r="D14" s="135">
        <v>564</v>
      </c>
      <c r="E14" s="135">
        <v>622</v>
      </c>
      <c r="H14" s="116"/>
    </row>
    <row r="15" spans="1:8" ht="24.95" customHeight="1" x14ac:dyDescent="0.25">
      <c r="A15" s="117">
        <v>5</v>
      </c>
      <c r="B15" s="134" t="s">
        <v>1436</v>
      </c>
      <c r="C15" s="135">
        <v>1702</v>
      </c>
      <c r="D15" s="135">
        <v>829</v>
      </c>
      <c r="E15" s="135">
        <v>873</v>
      </c>
      <c r="H15" s="116"/>
    </row>
    <row r="16" spans="1:8" ht="24.95" customHeight="1" x14ac:dyDescent="0.25">
      <c r="A16" s="117">
        <v>6</v>
      </c>
      <c r="B16" s="134" t="s">
        <v>1437</v>
      </c>
      <c r="C16" s="135">
        <v>1246</v>
      </c>
      <c r="D16" s="135">
        <v>690</v>
      </c>
      <c r="E16" s="135">
        <v>556</v>
      </c>
      <c r="H16" s="116"/>
    </row>
    <row r="17" spans="1:8" ht="24.95" customHeight="1" x14ac:dyDescent="0.25">
      <c r="A17" s="117">
        <v>7</v>
      </c>
      <c r="B17" s="134" t="s">
        <v>1438</v>
      </c>
      <c r="C17" s="135">
        <v>611</v>
      </c>
      <c r="D17" s="135">
        <v>312</v>
      </c>
      <c r="E17" s="135">
        <v>299</v>
      </c>
      <c r="H17" s="116"/>
    </row>
    <row r="18" spans="1:8" ht="24.95" customHeight="1" x14ac:dyDescent="0.25">
      <c r="A18" s="117">
        <v>8</v>
      </c>
      <c r="B18" s="134" t="s">
        <v>1439</v>
      </c>
      <c r="C18" s="135">
        <v>152</v>
      </c>
      <c r="D18" s="135">
        <v>75</v>
      </c>
      <c r="E18" s="135">
        <v>77</v>
      </c>
      <c r="H18" s="116"/>
    </row>
    <row r="19" spans="1:8" ht="24.95" customHeight="1" x14ac:dyDescent="0.25">
      <c r="A19" s="117">
        <v>9</v>
      </c>
      <c r="B19" s="134" t="s">
        <v>1440</v>
      </c>
      <c r="C19" s="135">
        <v>403</v>
      </c>
      <c r="D19" s="135">
        <v>194</v>
      </c>
      <c r="E19" s="135">
        <v>209</v>
      </c>
      <c r="H19" s="116"/>
    </row>
    <row r="20" spans="1:8" ht="24.95" customHeight="1" x14ac:dyDescent="0.25">
      <c r="A20" s="117">
        <v>10</v>
      </c>
      <c r="B20" s="134" t="s">
        <v>1441</v>
      </c>
      <c r="C20" s="135">
        <v>767</v>
      </c>
      <c r="D20" s="135">
        <v>383</v>
      </c>
      <c r="E20" s="135">
        <v>384</v>
      </c>
      <c r="H20" s="116"/>
    </row>
    <row r="21" spans="1:8" ht="24.95" customHeight="1" x14ac:dyDescent="0.25">
      <c r="A21" s="120"/>
      <c r="B21" s="132" t="s">
        <v>1410</v>
      </c>
      <c r="C21" s="131">
        <v>27199</v>
      </c>
      <c r="D21" s="131">
        <v>14125</v>
      </c>
      <c r="E21" s="131">
        <v>13074</v>
      </c>
      <c r="H21" s="116"/>
    </row>
    <row r="22" spans="1:8" ht="24.95" customHeight="1" x14ac:dyDescent="0.25">
      <c r="A22" s="119"/>
      <c r="B22" s="136" t="s">
        <v>1442</v>
      </c>
      <c r="C22" s="62"/>
      <c r="D22" s="62"/>
      <c r="E22" s="62"/>
    </row>
    <row r="23" spans="1:8" ht="24.95" customHeight="1" x14ac:dyDescent="0.25">
      <c r="A23" s="120"/>
      <c r="B23" s="136" t="s">
        <v>1338</v>
      </c>
      <c r="C23" s="137">
        <v>9084</v>
      </c>
      <c r="D23" s="137">
        <v>4639</v>
      </c>
      <c r="E23" s="137">
        <v>4445</v>
      </c>
    </row>
    <row r="24" spans="1:8" ht="24.95" customHeight="1" x14ac:dyDescent="0.25">
      <c r="A24" s="121"/>
      <c r="B24" s="138" t="s">
        <v>1410</v>
      </c>
      <c r="C24" s="139">
        <v>10802</v>
      </c>
      <c r="D24" s="139">
        <v>5504</v>
      </c>
      <c r="E24" s="139">
        <v>5298</v>
      </c>
    </row>
    <row r="25" spans="1:8" ht="21.75" x14ac:dyDescent="0.4">
      <c r="A25" s="40"/>
      <c r="B25" s="84"/>
      <c r="C25" s="40"/>
      <c r="D25" s="40"/>
    </row>
    <row r="26" spans="1:8" ht="21.75" x14ac:dyDescent="0.4">
      <c r="A26" s="40"/>
      <c r="B26" s="84"/>
      <c r="C26" s="40"/>
      <c r="D26" s="40"/>
    </row>
    <row r="27" spans="1:8" ht="21.75" x14ac:dyDescent="0.4">
      <c r="A27" s="40"/>
      <c r="B27" s="84"/>
      <c r="C27" s="40"/>
      <c r="D27" s="40"/>
    </row>
    <row r="28" spans="1:8" ht="21.75" x14ac:dyDescent="0.4">
      <c r="A28" s="40"/>
      <c r="B28" s="84"/>
      <c r="C28" s="40"/>
      <c r="D28" s="40"/>
    </row>
    <row r="29" spans="1:8" ht="21.75" x14ac:dyDescent="0.4">
      <c r="A29" s="40"/>
      <c r="B29" s="84"/>
      <c r="C29" s="40"/>
      <c r="D29" s="40"/>
    </row>
    <row r="30" spans="1:8" ht="21.75" x14ac:dyDescent="0.4">
      <c r="A30" s="40"/>
      <c r="B30" s="84"/>
      <c r="C30" s="40"/>
      <c r="D30" s="40"/>
    </row>
    <row r="31" spans="1:8" ht="21.75" x14ac:dyDescent="0.4">
      <c r="A31" s="40"/>
      <c r="B31" s="84"/>
      <c r="C31" s="40"/>
      <c r="D31" s="40"/>
    </row>
    <row r="32" spans="1:8" ht="21.75" x14ac:dyDescent="0.4">
      <c r="A32" s="40"/>
      <c r="B32" s="84"/>
      <c r="C32" s="40"/>
      <c r="D32" s="40"/>
    </row>
    <row r="33" spans="1:4" ht="21.75" x14ac:dyDescent="0.4">
      <c r="A33" s="40"/>
      <c r="B33" s="84"/>
      <c r="C33" s="40"/>
      <c r="D33" s="40"/>
    </row>
    <row r="34" spans="1:4" ht="21.75" x14ac:dyDescent="0.4">
      <c r="A34" s="40"/>
      <c r="B34" s="85"/>
      <c r="C34" s="40"/>
      <c r="D34" s="40"/>
    </row>
    <row r="35" spans="1:4" ht="21.75" x14ac:dyDescent="0.4">
      <c r="A35" s="40"/>
      <c r="B35" s="85"/>
      <c r="C35" s="40"/>
      <c r="D35" s="40"/>
    </row>
    <row r="36" spans="1:4" ht="21.75" x14ac:dyDescent="0.4">
      <c r="A36" s="40"/>
      <c r="B36" s="85"/>
      <c r="C36" s="40"/>
      <c r="D36" s="40"/>
    </row>
    <row r="37" spans="1:4" ht="21.75" x14ac:dyDescent="0.4">
      <c r="A37" s="40"/>
      <c r="B37" s="85"/>
      <c r="C37" s="40"/>
      <c r="D37" s="40"/>
    </row>
    <row r="38" spans="1:4" ht="21.75" x14ac:dyDescent="0.4">
      <c r="A38" s="40"/>
      <c r="B38" s="85"/>
      <c r="C38" s="40"/>
      <c r="D38" s="40"/>
    </row>
    <row r="39" spans="1:4" ht="21.75" x14ac:dyDescent="0.4">
      <c r="A39" s="40"/>
      <c r="B39" s="85"/>
      <c r="C39" s="40"/>
      <c r="D39" s="40"/>
    </row>
    <row r="40" spans="1:4" ht="21.75" x14ac:dyDescent="0.4">
      <c r="A40" s="40"/>
      <c r="B40" s="86"/>
      <c r="C40" s="87"/>
      <c r="D40" s="87"/>
    </row>
    <row r="41" spans="1:4" ht="21.75" x14ac:dyDescent="0.4">
      <c r="A41" s="40"/>
      <c r="B41" s="88"/>
      <c r="C41" s="40"/>
      <c r="D41" s="40"/>
    </row>
    <row r="42" spans="1:4" ht="21.75" x14ac:dyDescent="0.4">
      <c r="A42" s="40"/>
      <c r="B42" s="88"/>
      <c r="C42" s="40"/>
      <c r="D42" s="40"/>
    </row>
    <row r="43" spans="1:4" ht="21.75" x14ac:dyDescent="0.4">
      <c r="A43" s="40"/>
      <c r="B43" s="88"/>
      <c r="C43" s="40"/>
      <c r="D43" s="40"/>
    </row>
    <row r="44" spans="1:4" ht="21.75" x14ac:dyDescent="0.4">
      <c r="A44" s="40"/>
      <c r="B44" s="89"/>
      <c r="C44" s="87"/>
      <c r="D44" s="87"/>
    </row>
    <row r="45" spans="1:4" ht="21.75" x14ac:dyDescent="0.4">
      <c r="A45" s="40"/>
      <c r="B45" s="85"/>
      <c r="C45" s="40"/>
      <c r="D45" s="40"/>
    </row>
    <row r="46" spans="1:4" ht="21.75" x14ac:dyDescent="0.4">
      <c r="A46" s="40"/>
      <c r="B46" s="85"/>
      <c r="C46" s="40"/>
      <c r="D46" s="40"/>
    </row>
    <row r="47" spans="1:4" ht="21.75" x14ac:dyDescent="0.4">
      <c r="A47" s="40"/>
      <c r="B47" s="85"/>
      <c r="C47" s="40"/>
      <c r="D47" s="40"/>
    </row>
    <row r="48" spans="1:4" ht="21.75" x14ac:dyDescent="0.4">
      <c r="A48" s="40"/>
      <c r="B48" s="85"/>
      <c r="C48" s="40"/>
      <c r="D48" s="40"/>
    </row>
    <row r="49" spans="1:4" ht="21.75" x14ac:dyDescent="0.4">
      <c r="A49" s="40"/>
      <c r="B49" s="85"/>
      <c r="C49" s="40"/>
      <c r="D49" s="40"/>
    </row>
    <row r="50" spans="1:4" x14ac:dyDescent="0.25">
      <c r="A50" s="9"/>
    </row>
    <row r="51" spans="1:4" ht="19.5" x14ac:dyDescent="0.35">
      <c r="A51" s="90"/>
    </row>
    <row r="52" spans="1:4" x14ac:dyDescent="0.25">
      <c r="A52" s="9"/>
    </row>
  </sheetData>
  <mergeCells count="4">
    <mergeCell ref="A4:A5"/>
    <mergeCell ref="B4:B5"/>
    <mergeCell ref="C4:E4"/>
    <mergeCell ref="A1:E1"/>
  </mergeCells>
  <hyperlinks>
    <hyperlink ref="A1:E1" r:id="rId1" location="'Link of Township'!A1" display="Shan State, Hopan District, Hopan Township"/>
  </hyperlinks>
  <pageMargins left="0.75" right="0.5" top="0.5" bottom="0.25" header="0.3" footer="0.3"/>
  <pageSetup paperSize="9" orientation="portrait"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workbookViewId="0">
      <selection sqref="A1:E1"/>
    </sheetView>
  </sheetViews>
  <sheetFormatPr defaultRowHeight="15" x14ac:dyDescent="0.25"/>
  <cols>
    <col min="1" max="1" width="6.42578125" customWidth="1"/>
    <col min="2" max="2" width="34.5703125" customWidth="1"/>
    <col min="3" max="4" width="14.140625" customWidth="1"/>
    <col min="5" max="5" width="13.140625" customWidth="1"/>
  </cols>
  <sheetData>
    <row r="1" spans="1:7" ht="18.75" x14ac:dyDescent="0.3">
      <c r="A1" s="179" t="s">
        <v>1444</v>
      </c>
      <c r="B1" s="179"/>
      <c r="C1" s="179"/>
      <c r="D1" s="179"/>
      <c r="E1" s="179"/>
    </row>
    <row r="2" spans="1:7" ht="21.75" x14ac:dyDescent="0.4">
      <c r="A2" s="80"/>
      <c r="B2" s="81"/>
      <c r="C2" s="82"/>
      <c r="E2" s="74" t="s">
        <v>1341</v>
      </c>
    </row>
    <row r="3" spans="1:7" ht="9.75" customHeight="1" x14ac:dyDescent="0.4">
      <c r="A3" s="80"/>
      <c r="B3" s="81"/>
      <c r="C3" s="81"/>
      <c r="D3" s="81"/>
    </row>
    <row r="4" spans="1:7" ht="15.75" customHeight="1" x14ac:dyDescent="0.25">
      <c r="A4" s="173" t="s">
        <v>1339</v>
      </c>
      <c r="B4" s="173" t="s">
        <v>1422</v>
      </c>
      <c r="C4" s="173" t="s">
        <v>1340</v>
      </c>
      <c r="D4" s="173"/>
      <c r="E4" s="173"/>
    </row>
    <row r="5" spans="1:7" ht="23.45" customHeight="1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7" ht="24.95" customHeight="1" x14ac:dyDescent="0.25">
      <c r="A6" s="123"/>
      <c r="B6" s="129" t="s">
        <v>0</v>
      </c>
      <c r="C6" s="140">
        <f t="shared" ref="C6:E6" si="0">C7+C8</f>
        <v>70683</v>
      </c>
      <c r="D6" s="140">
        <f t="shared" si="0"/>
        <v>36313</v>
      </c>
      <c r="E6" s="140">
        <f t="shared" si="0"/>
        <v>34370</v>
      </c>
    </row>
    <row r="7" spans="1:7" ht="24.95" customHeight="1" x14ac:dyDescent="0.25">
      <c r="A7" s="125">
        <v>1</v>
      </c>
      <c r="B7" s="63" t="s">
        <v>1338</v>
      </c>
      <c r="C7" s="135">
        <v>5655</v>
      </c>
      <c r="D7" s="135">
        <v>2895</v>
      </c>
      <c r="E7" s="135">
        <v>2760</v>
      </c>
    </row>
    <row r="8" spans="1:7" ht="24.95" customHeight="1" x14ac:dyDescent="0.25">
      <c r="A8" s="127">
        <v>2</v>
      </c>
      <c r="B8" s="141" t="s">
        <v>1410</v>
      </c>
      <c r="C8" s="142">
        <v>65028</v>
      </c>
      <c r="D8" s="142">
        <v>33418</v>
      </c>
      <c r="E8" s="142">
        <v>31610</v>
      </c>
      <c r="G8" s="122"/>
    </row>
    <row r="9" spans="1:7" ht="23.1" customHeight="1" x14ac:dyDescent="0.4">
      <c r="A9" s="40"/>
      <c r="B9" s="88"/>
      <c r="C9" s="40"/>
      <c r="D9" s="40"/>
    </row>
    <row r="10" spans="1:7" ht="23.1" customHeight="1" x14ac:dyDescent="0.25"/>
    <row r="11" spans="1:7" ht="23.1" customHeight="1" x14ac:dyDescent="0.25"/>
    <row r="12" spans="1:7" ht="23.1" customHeight="1" x14ac:dyDescent="0.4">
      <c r="A12" s="40"/>
      <c r="C12" s="40"/>
      <c r="D12" s="40"/>
    </row>
    <row r="13" spans="1:7" ht="23.1" customHeight="1" x14ac:dyDescent="0.4">
      <c r="A13" s="40"/>
      <c r="C13" s="40"/>
      <c r="D13" s="40"/>
    </row>
    <row r="14" spans="1:7" ht="48" customHeight="1" x14ac:dyDescent="0.4">
      <c r="A14" s="40"/>
      <c r="C14" s="87"/>
      <c r="D14" s="87"/>
    </row>
    <row r="15" spans="1:7" ht="23.1" customHeight="1" x14ac:dyDescent="0.4">
      <c r="A15" s="40"/>
      <c r="B15" s="85"/>
      <c r="C15" s="40"/>
      <c r="D15" s="40"/>
    </row>
    <row r="16" spans="1:7" ht="23.1" customHeight="1" x14ac:dyDescent="0.4">
      <c r="A16" s="40"/>
      <c r="B16" s="85"/>
      <c r="C16" s="40"/>
      <c r="D16" s="40"/>
    </row>
    <row r="17" spans="1:4" ht="23.1" customHeight="1" x14ac:dyDescent="0.4">
      <c r="A17" s="40"/>
      <c r="B17" s="85"/>
      <c r="C17" s="40"/>
      <c r="D17" s="40"/>
    </row>
    <row r="18" spans="1:4" ht="23.1" customHeight="1" x14ac:dyDescent="0.4">
      <c r="A18" s="40"/>
      <c r="B18" s="85"/>
      <c r="C18" s="40"/>
      <c r="D18" s="40"/>
    </row>
    <row r="19" spans="1:4" ht="23.1" customHeight="1" x14ac:dyDescent="0.4">
      <c r="A19" s="40"/>
      <c r="B19" s="85"/>
      <c r="C19" s="40"/>
      <c r="D19" s="40"/>
    </row>
    <row r="20" spans="1:4" ht="23.1" customHeight="1" x14ac:dyDescent="0.4">
      <c r="A20" s="40"/>
      <c r="B20" s="85"/>
      <c r="C20" s="40"/>
      <c r="D20" s="40"/>
    </row>
    <row r="21" spans="1:4" ht="23.1" customHeight="1" x14ac:dyDescent="0.4">
      <c r="A21" s="40"/>
      <c r="B21" s="85"/>
      <c r="C21" s="40"/>
      <c r="D21" s="40"/>
    </row>
    <row r="22" spans="1:4" ht="23.1" customHeight="1" x14ac:dyDescent="0.4">
      <c r="A22" s="40"/>
      <c r="B22" s="85"/>
      <c r="C22" s="40"/>
      <c r="D22" s="40"/>
    </row>
    <row r="23" spans="1:4" ht="23.1" customHeight="1" x14ac:dyDescent="0.4">
      <c r="A23" s="40"/>
      <c r="B23" s="85"/>
      <c r="C23" s="40"/>
      <c r="D23" s="40"/>
    </row>
    <row r="24" spans="1:4" ht="23.1" customHeight="1" x14ac:dyDescent="0.4">
      <c r="A24" s="40"/>
      <c r="B24" s="85"/>
      <c r="C24" s="40"/>
      <c r="D24" s="40"/>
    </row>
    <row r="25" spans="1:4" ht="23.1" customHeight="1" x14ac:dyDescent="0.4">
      <c r="A25" s="40"/>
      <c r="B25" s="85"/>
      <c r="C25" s="40"/>
      <c r="D25" s="40"/>
    </row>
    <row r="26" spans="1:4" ht="23.1" customHeight="1" x14ac:dyDescent="0.4">
      <c r="A26" s="40"/>
      <c r="B26" s="85"/>
      <c r="C26" s="40"/>
      <c r="D26" s="40"/>
    </row>
    <row r="27" spans="1:4" ht="23.1" customHeight="1" x14ac:dyDescent="0.4">
      <c r="A27" s="40"/>
      <c r="B27" s="85"/>
      <c r="C27" s="40"/>
      <c r="D27" s="40"/>
    </row>
    <row r="28" spans="1:4" ht="23.1" customHeight="1" x14ac:dyDescent="0.4">
      <c r="A28" s="40"/>
      <c r="B28" s="85"/>
      <c r="C28" s="40"/>
      <c r="D28" s="40"/>
    </row>
    <row r="29" spans="1:4" ht="23.1" customHeight="1" x14ac:dyDescent="0.4">
      <c r="A29" s="40"/>
      <c r="B29" s="85"/>
      <c r="C29" s="40"/>
      <c r="D29" s="40"/>
    </row>
    <row r="30" spans="1:4" ht="23.1" customHeight="1" x14ac:dyDescent="0.4">
      <c r="A30" s="40"/>
      <c r="B30" s="85"/>
      <c r="C30" s="40"/>
      <c r="D30" s="40"/>
    </row>
    <row r="31" spans="1:4" ht="23.1" customHeight="1" x14ac:dyDescent="0.4">
      <c r="A31" s="40"/>
      <c r="B31" s="85"/>
      <c r="C31" s="40"/>
      <c r="D31" s="40"/>
    </row>
    <row r="32" spans="1:4" ht="23.1" customHeight="1" x14ac:dyDescent="0.4">
      <c r="A32" s="40"/>
      <c r="B32" s="85"/>
      <c r="C32" s="40"/>
      <c r="D32" s="40"/>
    </row>
    <row r="33" spans="1:4" ht="23.1" customHeight="1" x14ac:dyDescent="0.4">
      <c r="A33" s="40"/>
      <c r="B33" s="92"/>
      <c r="C33" s="40"/>
      <c r="D33" s="40"/>
    </row>
    <row r="34" spans="1:4" ht="23.1" customHeight="1" x14ac:dyDescent="0.4">
      <c r="A34" s="40"/>
      <c r="B34" s="93"/>
      <c r="C34" s="40"/>
      <c r="D34" s="40"/>
    </row>
    <row r="35" spans="1:4" ht="23.1" customHeight="1" x14ac:dyDescent="0.4">
      <c r="A35" s="40"/>
      <c r="B35" s="93"/>
      <c r="C35" s="40"/>
      <c r="D35" s="40"/>
    </row>
    <row r="36" spans="1:4" ht="23.1" customHeight="1" x14ac:dyDescent="0.4">
      <c r="A36" s="40"/>
      <c r="B36" s="93"/>
      <c r="C36" s="40"/>
      <c r="D36" s="40"/>
    </row>
    <row r="37" spans="1:4" ht="23.1" customHeight="1" x14ac:dyDescent="0.4">
      <c r="A37" s="40"/>
      <c r="B37" s="93"/>
      <c r="C37" s="40"/>
      <c r="D37" s="40"/>
    </row>
    <row r="38" spans="1:4" ht="23.1" customHeight="1" x14ac:dyDescent="0.4">
      <c r="A38" s="40"/>
      <c r="B38" s="93"/>
      <c r="C38" s="40"/>
      <c r="D38" s="40"/>
    </row>
  </sheetData>
  <mergeCells count="4">
    <mergeCell ref="A4:A5"/>
    <mergeCell ref="B4:B5"/>
    <mergeCell ref="C4:E4"/>
    <mergeCell ref="A1:E1"/>
  </mergeCells>
  <hyperlinks>
    <hyperlink ref="A1:E1" r:id="rId1" location="'Link of Township'!A1" display="Shan State, Hopan District, Minemaw Township"/>
  </hyperlinks>
  <pageMargins left="0.75" right="0.5" top="0.5" bottom="0.25" header="0.3" footer="0.3"/>
  <pageSetup paperSize="9" orientation="portrait"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workbookViewId="0">
      <selection activeCell="A2" sqref="A2:XFD5"/>
    </sheetView>
  </sheetViews>
  <sheetFormatPr defaultRowHeight="15" x14ac:dyDescent="0.25"/>
  <cols>
    <col min="1" max="1" width="8.42578125" customWidth="1"/>
    <col min="2" max="2" width="25.28515625" customWidth="1"/>
    <col min="3" max="4" width="13.5703125" customWidth="1"/>
    <col min="5" max="5" width="13.42578125" customWidth="1"/>
  </cols>
  <sheetData>
    <row r="1" spans="1:5" ht="18.75" x14ac:dyDescent="0.3">
      <c r="A1" s="179" t="s">
        <v>1425</v>
      </c>
      <c r="B1" s="179"/>
      <c r="C1" s="179"/>
      <c r="D1" s="179"/>
      <c r="E1" s="179"/>
    </row>
    <row r="2" spans="1:5" ht="21.75" x14ac:dyDescent="0.4">
      <c r="A2" s="80"/>
      <c r="B2" s="81"/>
      <c r="C2" s="82"/>
      <c r="D2" s="83"/>
      <c r="E2" s="74" t="s">
        <v>1341</v>
      </c>
    </row>
    <row r="3" spans="1:5" ht="8.25" customHeight="1" x14ac:dyDescent="0.4">
      <c r="A3" s="80"/>
      <c r="B3" s="81"/>
      <c r="C3" s="81"/>
      <c r="D3" s="81"/>
    </row>
    <row r="4" spans="1:5" ht="21.75" customHeight="1" x14ac:dyDescent="0.25">
      <c r="A4" s="173" t="s">
        <v>1339</v>
      </c>
      <c r="B4" s="173" t="s">
        <v>1422</v>
      </c>
      <c r="C4" s="173" t="s">
        <v>1340</v>
      </c>
      <c r="D4" s="173"/>
      <c r="E4" s="173"/>
    </row>
    <row r="5" spans="1:5" ht="15.75" customHeight="1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5" ht="26.45" customHeight="1" x14ac:dyDescent="0.25">
      <c r="A6" s="144"/>
      <c r="B6" s="129" t="s">
        <v>0</v>
      </c>
      <c r="C6" s="145">
        <f t="shared" ref="C6:E6" si="0">C7+C8</f>
        <v>97097</v>
      </c>
      <c r="D6" s="145">
        <f t="shared" si="0"/>
        <v>48791</v>
      </c>
      <c r="E6" s="145">
        <f t="shared" si="0"/>
        <v>48306</v>
      </c>
    </row>
    <row r="7" spans="1:5" ht="27.6" customHeight="1" x14ac:dyDescent="0.25">
      <c r="A7" s="148">
        <v>1</v>
      </c>
      <c r="B7" s="63" t="s">
        <v>1338</v>
      </c>
      <c r="C7" s="146">
        <v>3436</v>
      </c>
      <c r="D7" s="146">
        <v>1757</v>
      </c>
      <c r="E7" s="146">
        <v>1679</v>
      </c>
    </row>
    <row r="8" spans="1:5" ht="22.9" customHeight="1" x14ac:dyDescent="0.25">
      <c r="A8" s="149">
        <v>2</v>
      </c>
      <c r="B8" s="141" t="s">
        <v>1410</v>
      </c>
      <c r="C8" s="147">
        <v>93661</v>
      </c>
      <c r="D8" s="147">
        <v>47034</v>
      </c>
      <c r="E8" s="147">
        <v>46627</v>
      </c>
    </row>
    <row r="9" spans="1:5" ht="27" customHeight="1" x14ac:dyDescent="0.4">
      <c r="A9" s="94"/>
      <c r="B9" s="95"/>
      <c r="C9" s="96"/>
      <c r="D9" s="96"/>
    </row>
    <row r="10" spans="1:5" ht="24.75" customHeight="1" x14ac:dyDescent="0.4">
      <c r="A10" s="94"/>
      <c r="B10" s="97"/>
      <c r="C10" s="98"/>
      <c r="D10" s="98"/>
    </row>
    <row r="11" spans="1:5" ht="21.75" x14ac:dyDescent="0.4">
      <c r="A11" s="40"/>
      <c r="B11" s="99"/>
      <c r="C11" s="40"/>
      <c r="D11" s="40"/>
    </row>
    <row r="12" spans="1:5" ht="24.75" customHeight="1" x14ac:dyDescent="0.4">
      <c r="A12" s="87"/>
      <c r="B12" s="100"/>
      <c r="C12" s="87"/>
      <c r="D12" s="87"/>
    </row>
    <row r="13" spans="1:5" ht="21.75" x14ac:dyDescent="0.4">
      <c r="A13" s="40"/>
      <c r="B13" s="93"/>
      <c r="C13" s="40"/>
      <c r="D13" s="40"/>
    </row>
    <row r="14" spans="1:5" ht="21.75" x14ac:dyDescent="0.4">
      <c r="A14" s="40"/>
      <c r="B14" s="101"/>
      <c r="C14" s="40"/>
      <c r="D14" s="40"/>
    </row>
    <row r="15" spans="1:5" ht="21.75" x14ac:dyDescent="0.4">
      <c r="A15" s="40"/>
      <c r="B15" s="101"/>
      <c r="C15" s="40"/>
      <c r="D15" s="40"/>
    </row>
    <row r="16" spans="1:5" ht="21.75" x14ac:dyDescent="0.4">
      <c r="A16" s="40"/>
      <c r="B16" s="101"/>
      <c r="C16" s="40"/>
      <c r="D16" s="40"/>
    </row>
    <row r="17" spans="1:4" ht="21.75" x14ac:dyDescent="0.4">
      <c r="A17" s="40"/>
      <c r="B17" s="101"/>
      <c r="C17" s="40"/>
      <c r="D17" s="40"/>
    </row>
    <row r="18" spans="1:4" ht="21.75" x14ac:dyDescent="0.4">
      <c r="A18" s="40"/>
      <c r="B18" s="101"/>
      <c r="C18" s="40"/>
      <c r="D18" s="40"/>
    </row>
    <row r="19" spans="1:4" ht="21.75" x14ac:dyDescent="0.4">
      <c r="A19" s="40"/>
      <c r="B19" s="101"/>
      <c r="C19" s="40"/>
      <c r="D19" s="40"/>
    </row>
    <row r="20" spans="1:4" ht="21.75" x14ac:dyDescent="0.4">
      <c r="A20" s="40"/>
      <c r="B20" s="101"/>
      <c r="C20" s="40"/>
      <c r="D20" s="40"/>
    </row>
    <row r="21" spans="1:4" ht="21.75" x14ac:dyDescent="0.4">
      <c r="A21" s="40"/>
      <c r="B21" s="101"/>
      <c r="C21" s="40"/>
      <c r="D21" s="40"/>
    </row>
    <row r="22" spans="1:4" ht="21.75" x14ac:dyDescent="0.4">
      <c r="A22" s="40"/>
      <c r="B22" s="101"/>
      <c r="C22" s="40"/>
      <c r="D22" s="40"/>
    </row>
    <row r="23" spans="1:4" ht="21.75" x14ac:dyDescent="0.4">
      <c r="A23" s="40"/>
      <c r="B23" s="102"/>
      <c r="C23" s="40"/>
      <c r="D23" s="40"/>
    </row>
    <row r="24" spans="1:4" s="103" customFormat="1" ht="21.75" x14ac:dyDescent="0.4">
      <c r="A24" s="87"/>
      <c r="B24" s="99"/>
      <c r="C24" s="40"/>
      <c r="D24" s="40"/>
    </row>
    <row r="25" spans="1:4" s="103" customFormat="1" ht="21.75" x14ac:dyDescent="0.4">
      <c r="A25" s="87"/>
      <c r="B25" s="102"/>
      <c r="C25" s="87"/>
      <c r="D25" s="87"/>
    </row>
    <row r="26" spans="1:4" ht="21.75" x14ac:dyDescent="0.4">
      <c r="A26" s="40"/>
      <c r="B26" s="101"/>
      <c r="C26" s="40"/>
      <c r="D26" s="40"/>
    </row>
    <row r="27" spans="1:4" ht="21.75" x14ac:dyDescent="0.4">
      <c r="A27" s="40"/>
      <c r="B27" s="101"/>
      <c r="C27" s="40"/>
      <c r="D27" s="40"/>
    </row>
    <row r="28" spans="1:4" ht="21.75" x14ac:dyDescent="0.4">
      <c r="A28" s="40"/>
      <c r="B28" s="101"/>
      <c r="C28" s="40"/>
      <c r="D28" s="40"/>
    </row>
    <row r="29" spans="1:4" ht="21.75" x14ac:dyDescent="0.4">
      <c r="A29" s="40"/>
      <c r="B29" s="101"/>
      <c r="C29" s="40"/>
      <c r="D29" s="40"/>
    </row>
    <row r="30" spans="1:4" ht="21.75" x14ac:dyDescent="0.4">
      <c r="A30" s="40"/>
      <c r="B30" s="101"/>
      <c r="C30" s="40"/>
      <c r="D30" s="40"/>
    </row>
    <row r="31" spans="1:4" ht="21.75" x14ac:dyDescent="0.4">
      <c r="A31" s="40"/>
      <c r="B31" s="101"/>
      <c r="C31" s="40"/>
      <c r="D31" s="40"/>
    </row>
    <row r="32" spans="1:4" ht="21.75" x14ac:dyDescent="0.4">
      <c r="A32" s="40"/>
      <c r="B32" s="101"/>
      <c r="C32" s="40"/>
      <c r="D32" s="40"/>
    </row>
    <row r="33" spans="1:4" ht="21.75" x14ac:dyDescent="0.4">
      <c r="A33" s="40"/>
      <c r="B33" s="101"/>
      <c r="C33" s="40"/>
      <c r="D33" s="40"/>
    </row>
    <row r="34" spans="1:4" ht="21.75" x14ac:dyDescent="0.4">
      <c r="A34" s="40"/>
      <c r="B34" s="101"/>
      <c r="C34" s="40"/>
      <c r="D34" s="40"/>
    </row>
    <row r="35" spans="1:4" ht="21.75" x14ac:dyDescent="0.4">
      <c r="A35" s="40"/>
      <c r="B35" s="101"/>
      <c r="C35" s="40"/>
      <c r="D35" s="40"/>
    </row>
    <row r="36" spans="1:4" ht="21.75" x14ac:dyDescent="0.4">
      <c r="A36" s="40"/>
      <c r="B36" s="101"/>
      <c r="C36" s="40"/>
      <c r="D36" s="40"/>
    </row>
    <row r="37" spans="1:4" ht="21.75" x14ac:dyDescent="0.4">
      <c r="A37" s="40"/>
      <c r="B37" s="101"/>
      <c r="C37" s="40"/>
      <c r="D37" s="40"/>
    </row>
    <row r="38" spans="1:4" ht="21.75" x14ac:dyDescent="0.4">
      <c r="A38" s="40"/>
      <c r="B38" s="101"/>
      <c r="C38" s="40"/>
      <c r="D38" s="40"/>
    </row>
    <row r="39" spans="1:4" ht="21.75" x14ac:dyDescent="0.4">
      <c r="A39" s="40"/>
      <c r="B39" s="101"/>
      <c r="C39" s="40"/>
      <c r="D39" s="40"/>
    </row>
    <row r="40" spans="1:4" ht="21.75" x14ac:dyDescent="0.4">
      <c r="A40" s="40"/>
      <c r="B40" s="101"/>
      <c r="C40" s="40"/>
      <c r="D40" s="40"/>
    </row>
    <row r="41" spans="1:4" ht="21.75" x14ac:dyDescent="0.4">
      <c r="A41" s="40"/>
      <c r="B41" s="101"/>
      <c r="C41" s="40"/>
      <c r="D41" s="40"/>
    </row>
    <row r="42" spans="1:4" ht="21.75" x14ac:dyDescent="0.4">
      <c r="A42" s="40"/>
      <c r="B42" s="101"/>
      <c r="C42" s="40"/>
      <c r="D42" s="40"/>
    </row>
    <row r="43" spans="1:4" ht="21.75" x14ac:dyDescent="0.4">
      <c r="A43" s="40"/>
      <c r="B43" s="101"/>
      <c r="C43" s="40"/>
      <c r="D43" s="40"/>
    </row>
    <row r="44" spans="1:4" ht="21.75" x14ac:dyDescent="0.4">
      <c r="A44" s="40"/>
      <c r="B44" s="101"/>
      <c r="C44" s="40"/>
      <c r="D44" s="40"/>
    </row>
  </sheetData>
  <mergeCells count="4">
    <mergeCell ref="A4:A5"/>
    <mergeCell ref="B4:B5"/>
    <mergeCell ref="C4:E4"/>
    <mergeCell ref="A1:E1"/>
  </mergeCells>
  <hyperlinks>
    <hyperlink ref="A1:E1" r:id="rId1" location="'Link of Township'!A1" display="Shan State, Hopan District, Panwine Township"/>
  </hyperlinks>
  <pageMargins left="0.75" right="0.5" top="0.5" bottom="0.25" header="0.3" footer="0.3"/>
  <pageSetup paperSize="9" orientation="portrait" horizontalDpi="1200" verticalDpi="1200"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sqref="A1:E1"/>
    </sheetView>
  </sheetViews>
  <sheetFormatPr defaultRowHeight="15" x14ac:dyDescent="0.25"/>
  <cols>
    <col min="1" max="1" width="7.28515625" customWidth="1"/>
    <col min="2" max="2" width="27.140625" customWidth="1"/>
    <col min="3" max="4" width="14.42578125" customWidth="1"/>
    <col min="5" max="5" width="11.28515625" customWidth="1"/>
  </cols>
  <sheetData>
    <row r="1" spans="1:5" ht="18.75" x14ac:dyDescent="0.3">
      <c r="A1" s="179" t="s">
        <v>1445</v>
      </c>
      <c r="B1" s="179"/>
      <c r="C1" s="179"/>
      <c r="D1" s="179"/>
      <c r="E1" s="179"/>
    </row>
    <row r="2" spans="1:5" ht="21.75" x14ac:dyDescent="0.4">
      <c r="A2" s="80"/>
      <c r="B2" s="81"/>
      <c r="C2" s="82"/>
      <c r="D2" s="83"/>
      <c r="E2" s="74" t="s">
        <v>1341</v>
      </c>
    </row>
    <row r="3" spans="1:5" ht="12.75" customHeight="1" x14ac:dyDescent="0.4">
      <c r="A3" s="80"/>
      <c r="B3" s="81"/>
      <c r="C3" s="81"/>
      <c r="D3" s="81"/>
    </row>
    <row r="4" spans="1:5" ht="21.75" customHeight="1" x14ac:dyDescent="0.25">
      <c r="A4" s="173" t="s">
        <v>1339</v>
      </c>
      <c r="B4" s="173" t="s">
        <v>1422</v>
      </c>
      <c r="C4" s="173" t="s">
        <v>1340</v>
      </c>
      <c r="D4" s="173"/>
      <c r="E4" s="173"/>
    </row>
    <row r="5" spans="1:5" ht="15.75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5" ht="27" customHeight="1" x14ac:dyDescent="0.25">
      <c r="A6" s="150"/>
      <c r="B6" s="129" t="s">
        <v>0</v>
      </c>
      <c r="C6" s="151">
        <v>6206</v>
      </c>
      <c r="D6" s="151">
        <v>3200</v>
      </c>
      <c r="E6" s="151">
        <v>3006</v>
      </c>
    </row>
    <row r="7" spans="1:5" ht="25.15" customHeight="1" x14ac:dyDescent="0.25">
      <c r="A7" s="152"/>
      <c r="B7" s="63" t="s">
        <v>1338</v>
      </c>
      <c r="C7" s="153">
        <v>3569</v>
      </c>
      <c r="D7" s="153">
        <v>1805</v>
      </c>
      <c r="E7" s="153">
        <v>1764</v>
      </c>
    </row>
    <row r="8" spans="1:5" ht="24.75" customHeight="1" x14ac:dyDescent="0.25">
      <c r="A8" s="154">
        <v>1</v>
      </c>
      <c r="B8" s="155" t="s">
        <v>1446</v>
      </c>
      <c r="C8" s="156">
        <v>492</v>
      </c>
      <c r="D8" s="156">
        <v>269</v>
      </c>
      <c r="E8" s="156">
        <v>223</v>
      </c>
    </row>
    <row r="9" spans="1:5" ht="24.95" customHeight="1" x14ac:dyDescent="0.25">
      <c r="A9" s="154">
        <v>2</v>
      </c>
      <c r="B9" s="155" t="s">
        <v>1447</v>
      </c>
      <c r="C9" s="156">
        <v>516</v>
      </c>
      <c r="D9" s="156">
        <v>286</v>
      </c>
      <c r="E9" s="156">
        <v>230</v>
      </c>
    </row>
    <row r="10" spans="1:5" ht="24.95" customHeight="1" x14ac:dyDescent="0.25">
      <c r="A10" s="154">
        <v>3</v>
      </c>
      <c r="B10" s="155" t="s">
        <v>1448</v>
      </c>
      <c r="C10" s="156">
        <v>383</v>
      </c>
      <c r="D10" s="156">
        <v>189</v>
      </c>
      <c r="E10" s="156">
        <v>194</v>
      </c>
    </row>
    <row r="11" spans="1:5" ht="24.95" customHeight="1" x14ac:dyDescent="0.25">
      <c r="A11" s="154">
        <v>4</v>
      </c>
      <c r="B11" s="155" t="s">
        <v>1449</v>
      </c>
      <c r="C11" s="156">
        <v>323</v>
      </c>
      <c r="D11" s="156">
        <v>164</v>
      </c>
      <c r="E11" s="156">
        <v>159</v>
      </c>
    </row>
    <row r="12" spans="1:5" ht="24.95" customHeight="1" x14ac:dyDescent="0.25">
      <c r="A12" s="154">
        <v>5</v>
      </c>
      <c r="B12" s="155" t="s">
        <v>1450</v>
      </c>
      <c r="C12" s="156">
        <v>243</v>
      </c>
      <c r="D12" s="156">
        <v>115</v>
      </c>
      <c r="E12" s="156">
        <v>128</v>
      </c>
    </row>
    <row r="13" spans="1:5" ht="24.95" customHeight="1" x14ac:dyDescent="0.25">
      <c r="A13" s="154">
        <v>6</v>
      </c>
      <c r="B13" s="155" t="s">
        <v>1451</v>
      </c>
      <c r="C13" s="156">
        <v>246</v>
      </c>
      <c r="D13" s="156">
        <v>123</v>
      </c>
      <c r="E13" s="156">
        <v>123</v>
      </c>
    </row>
    <row r="14" spans="1:5" ht="24.95" customHeight="1" x14ac:dyDescent="0.25">
      <c r="A14" s="154">
        <v>7</v>
      </c>
      <c r="B14" s="155" t="s">
        <v>1452</v>
      </c>
      <c r="C14" s="156">
        <v>473</v>
      </c>
      <c r="D14" s="156">
        <v>226</v>
      </c>
      <c r="E14" s="156">
        <v>247</v>
      </c>
    </row>
    <row r="15" spans="1:5" ht="24.95" customHeight="1" x14ac:dyDescent="0.25">
      <c r="A15" s="154">
        <v>8</v>
      </c>
      <c r="B15" s="155" t="s">
        <v>1453</v>
      </c>
      <c r="C15" s="156">
        <v>893</v>
      </c>
      <c r="D15" s="156">
        <v>433</v>
      </c>
      <c r="E15" s="156">
        <v>460</v>
      </c>
    </row>
    <row r="16" spans="1:5" ht="24.95" customHeight="1" x14ac:dyDescent="0.25">
      <c r="A16" s="157"/>
      <c r="B16" s="141" t="s">
        <v>1410</v>
      </c>
      <c r="C16" s="158">
        <v>2637</v>
      </c>
      <c r="D16" s="158">
        <v>1395</v>
      </c>
      <c r="E16" s="158">
        <v>1242</v>
      </c>
    </row>
    <row r="17" spans="1:8" ht="24.95" customHeight="1" x14ac:dyDescent="0.4">
      <c r="A17" s="40"/>
      <c r="B17" s="104"/>
      <c r="C17" s="87"/>
      <c r="D17" s="87"/>
      <c r="H17" s="143"/>
    </row>
    <row r="18" spans="1:8" ht="24.95" customHeight="1" x14ac:dyDescent="0.4">
      <c r="A18" s="40"/>
      <c r="B18" s="105"/>
      <c r="C18" s="40"/>
      <c r="D18" s="40"/>
      <c r="H18" s="143"/>
    </row>
    <row r="19" spans="1:8" ht="24.95" customHeight="1" x14ac:dyDescent="0.4">
      <c r="A19" s="40"/>
      <c r="B19" s="105"/>
      <c r="C19" s="40"/>
      <c r="D19" s="40"/>
    </row>
    <row r="20" spans="1:8" ht="24.95" customHeight="1" x14ac:dyDescent="0.4">
      <c r="A20" s="40"/>
      <c r="B20" s="105"/>
      <c r="C20" s="40"/>
      <c r="D20" s="40"/>
    </row>
    <row r="21" spans="1:8" ht="24.95" customHeight="1" x14ac:dyDescent="0.4">
      <c r="A21" s="40"/>
      <c r="B21" s="105"/>
      <c r="C21" s="40"/>
      <c r="D21" s="40"/>
    </row>
    <row r="22" spans="1:8" ht="24.95" customHeight="1" x14ac:dyDescent="0.4">
      <c r="A22" s="40"/>
      <c r="B22" s="105"/>
      <c r="C22" s="40"/>
      <c r="D22" s="40"/>
    </row>
  </sheetData>
  <mergeCells count="4">
    <mergeCell ref="A4:A5"/>
    <mergeCell ref="B4:B5"/>
    <mergeCell ref="C4:E4"/>
    <mergeCell ref="A1:E1"/>
  </mergeCells>
  <hyperlinks>
    <hyperlink ref="A1:E1" r:id="rId1" location="'Link of Township'!A1" display="Shan State, Hopan District, Panlon(Sub- Township)"/>
  </hyperlinks>
  <pageMargins left="0.75" right="0.5" top="0.5" bottom="0.25" header="0.3" footer="0.3"/>
  <pageSetup paperSize="9" orientation="portrait" horizontalDpi="1200" verticalDpi="1200"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K7" sqref="K7"/>
    </sheetView>
  </sheetViews>
  <sheetFormatPr defaultRowHeight="15" x14ac:dyDescent="0.25"/>
  <cols>
    <col min="1" max="1" width="7.42578125" customWidth="1"/>
    <col min="2" max="2" width="26.42578125" customWidth="1"/>
    <col min="3" max="3" width="12.7109375" customWidth="1"/>
    <col min="4" max="4" width="12.28515625" customWidth="1"/>
    <col min="5" max="5" width="11.28515625" customWidth="1"/>
  </cols>
  <sheetData>
    <row r="1" spans="1:5" ht="18.75" x14ac:dyDescent="0.3">
      <c r="A1" s="179" t="s">
        <v>1427</v>
      </c>
      <c r="B1" s="179"/>
      <c r="C1" s="179"/>
      <c r="D1" s="179"/>
      <c r="E1" s="179"/>
    </row>
    <row r="2" spans="1:5" ht="21.75" x14ac:dyDescent="0.4">
      <c r="A2" s="80"/>
      <c r="B2" s="81"/>
      <c r="C2" s="82"/>
      <c r="D2" s="83"/>
      <c r="E2" s="74" t="s">
        <v>1341</v>
      </c>
    </row>
    <row r="3" spans="1:5" ht="9.75" customHeight="1" x14ac:dyDescent="0.4">
      <c r="A3" s="80"/>
      <c r="B3" s="81"/>
      <c r="C3" s="81"/>
      <c r="D3" s="81"/>
    </row>
    <row r="4" spans="1:5" ht="21.75" customHeight="1" x14ac:dyDescent="0.25">
      <c r="A4" s="173" t="s">
        <v>1339</v>
      </c>
      <c r="B4" s="173" t="s">
        <v>1422</v>
      </c>
      <c r="C4" s="173" t="s">
        <v>1340</v>
      </c>
      <c r="D4" s="173"/>
      <c r="E4" s="173"/>
    </row>
    <row r="5" spans="1:5" ht="15.75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5" ht="24.95" customHeight="1" x14ac:dyDescent="0.25">
      <c r="A6" s="159"/>
      <c r="B6" s="129" t="s">
        <v>0</v>
      </c>
      <c r="C6" s="160">
        <f>C7+C10</f>
        <v>19732</v>
      </c>
      <c r="D6" s="160">
        <f>D7+D10</f>
        <v>10068</v>
      </c>
      <c r="E6" s="160">
        <f>E7+E10</f>
        <v>9664</v>
      </c>
    </row>
    <row r="7" spans="1:5" ht="24.95" customHeight="1" x14ac:dyDescent="0.25">
      <c r="A7" s="146"/>
      <c r="B7" s="63" t="s">
        <v>1338</v>
      </c>
      <c r="C7" s="115">
        <f>SUM(C8:C9)</f>
        <v>292</v>
      </c>
      <c r="D7" s="115">
        <f>SUM(D8:D9)</f>
        <v>170</v>
      </c>
      <c r="E7" s="115">
        <f>SUM(E8:E9)</f>
        <v>122</v>
      </c>
    </row>
    <row r="8" spans="1:5" ht="24.95" customHeight="1" x14ac:dyDescent="0.25">
      <c r="A8" s="23">
        <v>1</v>
      </c>
      <c r="B8" s="161" t="s">
        <v>1446</v>
      </c>
      <c r="C8" s="162">
        <v>126</v>
      </c>
      <c r="D8" s="162">
        <v>69</v>
      </c>
      <c r="E8" s="162">
        <v>57</v>
      </c>
    </row>
    <row r="9" spans="1:5" ht="24.95" customHeight="1" x14ac:dyDescent="0.25">
      <c r="A9" s="23">
        <v>2</v>
      </c>
      <c r="B9" s="161" t="s">
        <v>1447</v>
      </c>
      <c r="C9" s="162">
        <v>166</v>
      </c>
      <c r="D9" s="162">
        <v>101</v>
      </c>
      <c r="E9" s="162">
        <v>65</v>
      </c>
    </row>
    <row r="10" spans="1:5" ht="24.95" customHeight="1" x14ac:dyDescent="0.25">
      <c r="A10" s="125"/>
      <c r="B10" s="132" t="s">
        <v>1410</v>
      </c>
      <c r="C10" s="163">
        <f>SUM(C11:C21)</f>
        <v>19440</v>
      </c>
      <c r="D10" s="115">
        <f>SUM(D11:D21)</f>
        <v>9898</v>
      </c>
      <c r="E10" s="115">
        <f>SUM(E11:E21)</f>
        <v>9542</v>
      </c>
    </row>
    <row r="11" spans="1:5" ht="24.95" customHeight="1" x14ac:dyDescent="0.25">
      <c r="A11" s="23">
        <v>1</v>
      </c>
      <c r="B11" s="164" t="s">
        <v>1454</v>
      </c>
      <c r="C11" s="162">
        <v>2924</v>
      </c>
      <c r="D11" s="162">
        <v>1512</v>
      </c>
      <c r="E11" s="162">
        <v>1412</v>
      </c>
    </row>
    <row r="12" spans="1:5" ht="24.95" customHeight="1" x14ac:dyDescent="0.25">
      <c r="A12" s="23">
        <v>2</v>
      </c>
      <c r="B12" s="164" t="s">
        <v>1455</v>
      </c>
      <c r="C12" s="162">
        <v>535</v>
      </c>
      <c r="D12" s="162">
        <v>249</v>
      </c>
      <c r="E12" s="162">
        <v>286</v>
      </c>
    </row>
    <row r="13" spans="1:5" ht="24.95" customHeight="1" x14ac:dyDescent="0.25">
      <c r="A13" s="23">
        <v>3</v>
      </c>
      <c r="B13" s="164" t="s">
        <v>1456</v>
      </c>
      <c r="C13" s="162">
        <v>1748</v>
      </c>
      <c r="D13" s="162">
        <v>878</v>
      </c>
      <c r="E13" s="162">
        <v>870</v>
      </c>
    </row>
    <row r="14" spans="1:5" ht="24.95" customHeight="1" x14ac:dyDescent="0.25">
      <c r="A14" s="23">
        <v>4</v>
      </c>
      <c r="B14" s="164" t="s">
        <v>1457</v>
      </c>
      <c r="C14" s="162">
        <v>738</v>
      </c>
      <c r="D14" s="162">
        <v>382</v>
      </c>
      <c r="E14" s="162">
        <v>356</v>
      </c>
    </row>
    <row r="15" spans="1:5" ht="24.95" customHeight="1" x14ac:dyDescent="0.25">
      <c r="A15" s="23">
        <v>5</v>
      </c>
      <c r="B15" s="164" t="s">
        <v>1458</v>
      </c>
      <c r="C15" s="114">
        <v>2324</v>
      </c>
      <c r="D15" s="114">
        <v>1193</v>
      </c>
      <c r="E15" s="114">
        <v>1131</v>
      </c>
    </row>
    <row r="16" spans="1:5" ht="24.95" customHeight="1" x14ac:dyDescent="0.25">
      <c r="A16" s="23">
        <v>6</v>
      </c>
      <c r="B16" s="164" t="s">
        <v>1459</v>
      </c>
      <c r="C16" s="114">
        <v>1725</v>
      </c>
      <c r="D16" s="114">
        <v>838</v>
      </c>
      <c r="E16" s="114">
        <v>887</v>
      </c>
    </row>
    <row r="17" spans="1:5" ht="24.95" customHeight="1" x14ac:dyDescent="0.25">
      <c r="A17" s="23">
        <v>7</v>
      </c>
      <c r="B17" s="164" t="s">
        <v>1460</v>
      </c>
      <c r="C17" s="114">
        <v>687</v>
      </c>
      <c r="D17" s="114">
        <v>351</v>
      </c>
      <c r="E17" s="114">
        <v>336</v>
      </c>
    </row>
    <row r="18" spans="1:5" ht="24.95" customHeight="1" x14ac:dyDescent="0.25">
      <c r="A18" s="23">
        <v>8</v>
      </c>
      <c r="B18" s="164" t="s">
        <v>1461</v>
      </c>
      <c r="C18" s="114">
        <v>303</v>
      </c>
      <c r="D18" s="114">
        <v>167</v>
      </c>
      <c r="E18" s="114">
        <v>136</v>
      </c>
    </row>
    <row r="19" spans="1:5" ht="24.95" customHeight="1" x14ac:dyDescent="0.25">
      <c r="A19" s="23">
        <v>9</v>
      </c>
      <c r="B19" s="164" t="s">
        <v>1462</v>
      </c>
      <c r="C19" s="114">
        <v>2690</v>
      </c>
      <c r="D19" s="114">
        <v>1393</v>
      </c>
      <c r="E19" s="114">
        <v>1297</v>
      </c>
    </row>
    <row r="20" spans="1:5" ht="24.95" customHeight="1" x14ac:dyDescent="0.25">
      <c r="A20" s="23">
        <v>10</v>
      </c>
      <c r="B20" s="164" t="s">
        <v>1463</v>
      </c>
      <c r="C20" s="114">
        <v>1370</v>
      </c>
      <c r="D20" s="114">
        <v>712</v>
      </c>
      <c r="E20" s="114">
        <v>658</v>
      </c>
    </row>
    <row r="21" spans="1:5" ht="24.95" customHeight="1" x14ac:dyDescent="0.25">
      <c r="A21" s="28">
        <v>11</v>
      </c>
      <c r="B21" s="165" t="s">
        <v>1464</v>
      </c>
      <c r="C21" s="166">
        <v>4396</v>
      </c>
      <c r="D21" s="166">
        <v>2223</v>
      </c>
      <c r="E21" s="166">
        <v>2173</v>
      </c>
    </row>
    <row r="22" spans="1:5" ht="24.95" customHeight="1" x14ac:dyDescent="0.4">
      <c r="A22" s="40"/>
      <c r="B22" s="84"/>
      <c r="C22" s="40"/>
      <c r="D22" s="40"/>
    </row>
  </sheetData>
  <mergeCells count="4">
    <mergeCell ref="A4:A5"/>
    <mergeCell ref="B4:B5"/>
    <mergeCell ref="C4:E4"/>
    <mergeCell ref="A1:E1"/>
  </mergeCells>
  <hyperlinks>
    <hyperlink ref="A1:E1" r:id="rId1" location="'Link of Township'!A1" display="Shan State, Makman District, Makman Township"/>
  </hyperlinks>
  <pageMargins left="0.75" right="0.5" top="0.5" bottom="0.25" header="0.3" footer="0.3"/>
  <pageSetup paperSize="9" orientation="portrait" horizontalDpi="1200" verticalDpi="1200"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>
      <selection sqref="A1:E1"/>
    </sheetView>
  </sheetViews>
  <sheetFormatPr defaultRowHeight="15" x14ac:dyDescent="0.25"/>
  <cols>
    <col min="1" max="1" width="4.7109375" customWidth="1"/>
    <col min="2" max="2" width="24.85546875" bestFit="1" customWidth="1"/>
    <col min="3" max="3" width="14.28515625" bestFit="1" customWidth="1"/>
    <col min="4" max="4" width="14.140625" bestFit="1" customWidth="1"/>
    <col min="5" max="5" width="12.42578125" bestFit="1" customWidth="1"/>
  </cols>
  <sheetData>
    <row r="1" spans="1:5" ht="18.75" x14ac:dyDescent="0.3">
      <c r="A1" s="179" t="s">
        <v>1465</v>
      </c>
      <c r="B1" s="179"/>
      <c r="C1" s="179"/>
      <c r="D1" s="179"/>
      <c r="E1" s="179"/>
    </row>
    <row r="2" spans="1:5" ht="21.75" x14ac:dyDescent="0.4">
      <c r="A2" s="80"/>
      <c r="B2" s="81"/>
      <c r="C2" s="82"/>
      <c r="D2" s="83"/>
      <c r="E2" s="74" t="s">
        <v>1341</v>
      </c>
    </row>
    <row r="3" spans="1:5" ht="13.5" customHeight="1" x14ac:dyDescent="0.4">
      <c r="A3" s="80"/>
      <c r="B3" s="81"/>
      <c r="C3" s="81"/>
      <c r="D3" s="81"/>
    </row>
    <row r="4" spans="1:5" ht="21.75" customHeight="1" x14ac:dyDescent="0.25">
      <c r="A4" s="173" t="s">
        <v>1339</v>
      </c>
      <c r="B4" s="173" t="s">
        <v>1422</v>
      </c>
      <c r="C4" s="173" t="s">
        <v>1340</v>
      </c>
      <c r="D4" s="173"/>
      <c r="E4" s="173"/>
    </row>
    <row r="5" spans="1:5" ht="15.75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5" ht="24.95" customHeight="1" x14ac:dyDescent="0.25">
      <c r="A6" s="167"/>
      <c r="B6" s="129" t="s">
        <v>0</v>
      </c>
      <c r="C6" s="124">
        <f t="shared" ref="C6:E6" si="0">C7+C8</f>
        <v>104329</v>
      </c>
      <c r="D6" s="124">
        <f t="shared" si="0"/>
        <v>54201</v>
      </c>
      <c r="E6" s="124">
        <f t="shared" si="0"/>
        <v>50128</v>
      </c>
    </row>
    <row r="7" spans="1:5" ht="24.95" customHeight="1" x14ac:dyDescent="0.25">
      <c r="A7" s="168">
        <v>1</v>
      </c>
      <c r="B7" s="63" t="s">
        <v>1338</v>
      </c>
      <c r="C7" s="126">
        <v>15936</v>
      </c>
      <c r="D7" s="126">
        <v>8061</v>
      </c>
      <c r="E7" s="126">
        <v>7875</v>
      </c>
    </row>
    <row r="8" spans="1:5" ht="24.95" customHeight="1" x14ac:dyDescent="0.25">
      <c r="A8" s="169">
        <v>2</v>
      </c>
      <c r="B8" s="141" t="s">
        <v>1410</v>
      </c>
      <c r="C8" s="128">
        <v>88393</v>
      </c>
      <c r="D8" s="128">
        <v>46140</v>
      </c>
      <c r="E8" s="128">
        <v>42253</v>
      </c>
    </row>
    <row r="9" spans="1:5" ht="24.95" customHeight="1" x14ac:dyDescent="0.4">
      <c r="A9" s="40"/>
      <c r="B9" s="85"/>
      <c r="C9" s="40"/>
      <c r="D9" s="40"/>
    </row>
    <row r="10" spans="1:5" ht="24.95" customHeight="1" x14ac:dyDescent="0.4">
      <c r="A10" s="40"/>
      <c r="B10" s="85"/>
      <c r="C10" s="40"/>
      <c r="D10" s="40"/>
    </row>
    <row r="11" spans="1:5" ht="24.95" customHeight="1" x14ac:dyDescent="0.4">
      <c r="A11" s="40"/>
      <c r="B11" s="85"/>
      <c r="C11" s="40"/>
      <c r="D11" s="40"/>
    </row>
    <row r="12" spans="1:5" ht="24.95" customHeight="1" x14ac:dyDescent="0.4">
      <c r="A12" s="40"/>
      <c r="B12" s="85"/>
      <c r="C12" s="40"/>
      <c r="D12" s="40"/>
    </row>
    <row r="13" spans="1:5" ht="51" customHeight="1" x14ac:dyDescent="0.4">
      <c r="A13" s="40"/>
      <c r="B13" s="95"/>
      <c r="C13" s="87"/>
      <c r="D13" s="87"/>
    </row>
    <row r="14" spans="1:5" ht="24.95" customHeight="1" x14ac:dyDescent="0.4">
      <c r="A14" s="40"/>
      <c r="B14" s="85"/>
      <c r="C14" s="40"/>
      <c r="D14" s="40"/>
    </row>
    <row r="15" spans="1:5" ht="24.95" customHeight="1" x14ac:dyDescent="0.4">
      <c r="A15" s="40"/>
      <c r="B15" s="85"/>
      <c r="C15" s="40"/>
      <c r="D15" s="40"/>
    </row>
    <row r="16" spans="1:5" ht="24.95" customHeight="1" x14ac:dyDescent="0.4">
      <c r="A16" s="40"/>
      <c r="B16" s="93"/>
      <c r="C16" s="40"/>
      <c r="D16" s="40"/>
    </row>
    <row r="17" spans="1:4" ht="24.95" customHeight="1" x14ac:dyDescent="0.4">
      <c r="A17" s="40"/>
      <c r="B17" s="85"/>
      <c r="C17" s="40"/>
      <c r="D17" s="40"/>
    </row>
    <row r="18" spans="1:4" ht="24.95" customHeight="1" x14ac:dyDescent="0.4">
      <c r="A18" s="40"/>
      <c r="B18" s="85"/>
      <c r="C18" s="40"/>
      <c r="D18" s="40"/>
    </row>
    <row r="19" spans="1:4" ht="24.95" customHeight="1" x14ac:dyDescent="0.4">
      <c r="A19" s="40"/>
      <c r="B19" s="85"/>
      <c r="C19" s="40"/>
      <c r="D19" s="40"/>
    </row>
    <row r="20" spans="1:4" ht="24.95" customHeight="1" x14ac:dyDescent="0.4">
      <c r="A20" s="40"/>
      <c r="B20" s="85"/>
      <c r="C20" s="40"/>
      <c r="D20" s="40"/>
    </row>
    <row r="21" spans="1:4" ht="24.95" customHeight="1" x14ac:dyDescent="0.4">
      <c r="A21" s="40"/>
      <c r="B21" s="85"/>
      <c r="C21" s="40"/>
      <c r="D21" s="40"/>
    </row>
    <row r="22" spans="1:4" ht="24.95" customHeight="1" x14ac:dyDescent="0.4">
      <c r="A22" s="40"/>
      <c r="B22" s="85"/>
      <c r="C22" s="40"/>
      <c r="D22" s="40"/>
    </row>
    <row r="23" spans="1:4" ht="24.95" customHeight="1" x14ac:dyDescent="0.4">
      <c r="A23" s="40"/>
      <c r="B23" s="106"/>
      <c r="C23" s="40"/>
      <c r="D23" s="40"/>
    </row>
    <row r="24" spans="1:4" ht="24.95" customHeight="1" x14ac:dyDescent="0.4">
      <c r="A24" s="40"/>
      <c r="B24" s="106"/>
      <c r="C24" s="40"/>
      <c r="D24" s="40"/>
    </row>
    <row r="25" spans="1:4" ht="24.95" customHeight="1" x14ac:dyDescent="0.4">
      <c r="A25" s="40"/>
      <c r="B25" s="106"/>
      <c r="C25" s="40"/>
      <c r="D25" s="40"/>
    </row>
    <row r="26" spans="1:4" ht="24.95" customHeight="1" x14ac:dyDescent="0.4">
      <c r="A26" s="40"/>
      <c r="B26" s="106"/>
      <c r="C26" s="40"/>
      <c r="D26" s="40"/>
    </row>
    <row r="27" spans="1:4" ht="24.95" customHeight="1" x14ac:dyDescent="0.4">
      <c r="A27" s="40"/>
      <c r="B27" s="107"/>
      <c r="C27" s="40"/>
      <c r="D27" s="40"/>
    </row>
    <row r="28" spans="1:4" ht="24.95" customHeight="1" x14ac:dyDescent="0.4">
      <c r="A28" s="40"/>
      <c r="B28" s="106"/>
      <c r="C28" s="40"/>
      <c r="D28" s="40"/>
    </row>
    <row r="29" spans="1:4" ht="24.95" customHeight="1" x14ac:dyDescent="0.4">
      <c r="A29" s="40"/>
      <c r="B29" s="106"/>
      <c r="C29" s="40"/>
      <c r="D29" s="40"/>
    </row>
    <row r="30" spans="1:4" ht="24.95" customHeight="1" x14ac:dyDescent="0.4">
      <c r="A30" s="40"/>
      <c r="B30" s="106"/>
      <c r="C30" s="40"/>
      <c r="D30" s="40"/>
    </row>
    <row r="31" spans="1:4" ht="24.95" customHeight="1" x14ac:dyDescent="0.4">
      <c r="A31" s="40"/>
      <c r="B31" s="106"/>
      <c r="C31" s="40"/>
      <c r="D31" s="40"/>
    </row>
    <row r="32" spans="1:4" ht="24.95" customHeight="1" x14ac:dyDescent="0.4">
      <c r="A32" s="40"/>
      <c r="B32" s="107"/>
      <c r="C32" s="40"/>
      <c r="D32" s="40"/>
    </row>
    <row r="33" spans="1:4" ht="24.95" customHeight="1" x14ac:dyDescent="0.4">
      <c r="A33" s="40"/>
      <c r="B33" s="106"/>
      <c r="C33" s="40"/>
      <c r="D33" s="40"/>
    </row>
    <row r="34" spans="1:4" ht="24.95" customHeight="1" x14ac:dyDescent="0.4">
      <c r="A34" s="40"/>
      <c r="B34" s="106"/>
      <c r="C34" s="40"/>
      <c r="D34" s="40"/>
    </row>
    <row r="35" spans="1:4" ht="24.95" customHeight="1" x14ac:dyDescent="0.4">
      <c r="A35" s="40"/>
      <c r="B35" s="106"/>
      <c r="C35" s="40"/>
      <c r="D35" s="40"/>
    </row>
    <row r="36" spans="1:4" ht="24.95" customHeight="1" x14ac:dyDescent="0.4">
      <c r="A36" s="40"/>
      <c r="B36" s="106"/>
      <c r="C36" s="40"/>
      <c r="D36" s="40"/>
    </row>
    <row r="37" spans="1:4" ht="24.95" customHeight="1" x14ac:dyDescent="0.4">
      <c r="A37" s="40"/>
      <c r="B37" s="106"/>
      <c r="C37" s="40"/>
      <c r="D37" s="40"/>
    </row>
    <row r="38" spans="1:4" ht="24.95" customHeight="1" x14ac:dyDescent="0.4">
      <c r="A38" s="40"/>
      <c r="B38" s="106"/>
      <c r="C38" s="40"/>
      <c r="D38" s="40"/>
    </row>
    <row r="39" spans="1:4" ht="24.95" customHeight="1" x14ac:dyDescent="0.4">
      <c r="A39" s="40"/>
      <c r="B39" s="106"/>
      <c r="C39" s="40"/>
      <c r="D39" s="40"/>
    </row>
  </sheetData>
  <mergeCells count="4">
    <mergeCell ref="A4:A5"/>
    <mergeCell ref="B4:B5"/>
    <mergeCell ref="C4:E4"/>
    <mergeCell ref="A1:E1"/>
  </mergeCells>
  <hyperlinks>
    <hyperlink ref="A1:E1" r:id="rId1" location="'Link of Township'!A1" display="Shan State, Makman District, Pan San (Pan Kham) Township"/>
  </hyperlinks>
  <pageMargins left="0.75" right="0.5" top="0.5" bottom="0.25" header="0.3" footer="0.3"/>
  <pageSetup paperSize="9" orientation="portrait" horizontalDpi="1200" verticalDpi="1200"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workbookViewId="0">
      <selection sqref="A1:E1"/>
    </sheetView>
  </sheetViews>
  <sheetFormatPr defaultRowHeight="15" x14ac:dyDescent="0.25"/>
  <cols>
    <col min="1" max="1" width="5.5703125" customWidth="1"/>
    <col min="2" max="2" width="24.42578125" customWidth="1"/>
    <col min="3" max="3" width="14.42578125" bestFit="1" customWidth="1"/>
    <col min="4" max="4" width="12.28515625" customWidth="1"/>
    <col min="5" max="5" width="12.5703125" bestFit="1" customWidth="1"/>
  </cols>
  <sheetData>
    <row r="1" spans="1:5" ht="18.75" x14ac:dyDescent="0.25">
      <c r="A1" s="184" t="s">
        <v>1429</v>
      </c>
      <c r="B1" s="184"/>
      <c r="C1" s="184"/>
      <c r="D1" s="184"/>
      <c r="E1" s="184"/>
    </row>
    <row r="2" spans="1:5" ht="21.75" x14ac:dyDescent="0.4">
      <c r="A2" s="80"/>
      <c r="B2" s="81"/>
      <c r="C2" s="81"/>
      <c r="D2" s="81"/>
      <c r="E2" s="74" t="s">
        <v>1341</v>
      </c>
    </row>
    <row r="3" spans="1:5" ht="21.75" customHeight="1" x14ac:dyDescent="0.25">
      <c r="A3" s="173" t="s">
        <v>1339</v>
      </c>
      <c r="B3" s="173" t="s">
        <v>1422</v>
      </c>
      <c r="C3" s="173" t="s">
        <v>1340</v>
      </c>
      <c r="D3" s="173"/>
      <c r="E3" s="173"/>
    </row>
    <row r="4" spans="1:5" ht="15.75" x14ac:dyDescent="0.25">
      <c r="A4" s="173"/>
      <c r="B4" s="173"/>
      <c r="C4" s="22" t="s">
        <v>0</v>
      </c>
      <c r="D4" s="22" t="s">
        <v>1</v>
      </c>
      <c r="E4" s="22" t="s">
        <v>2</v>
      </c>
    </row>
    <row r="5" spans="1:5" ht="24.95" customHeight="1" x14ac:dyDescent="0.25">
      <c r="A5" s="170"/>
      <c r="B5" s="129" t="s">
        <v>0</v>
      </c>
      <c r="C5" s="113">
        <f t="shared" ref="C5:E5" si="0">C6+C7</f>
        <v>116180</v>
      </c>
      <c r="D5" s="113">
        <f t="shared" si="0"/>
        <v>59369</v>
      </c>
      <c r="E5" s="113">
        <f t="shared" si="0"/>
        <v>56811</v>
      </c>
    </row>
    <row r="6" spans="1:5" ht="24.95" customHeight="1" x14ac:dyDescent="0.25">
      <c r="A6" s="171">
        <v>1</v>
      </c>
      <c r="B6" s="63" t="s">
        <v>1338</v>
      </c>
      <c r="C6" s="171">
        <v>970</v>
      </c>
      <c r="D6" s="171">
        <v>497</v>
      </c>
      <c r="E6" s="171">
        <v>473</v>
      </c>
    </row>
    <row r="7" spans="1:5" ht="24.95" customHeight="1" x14ac:dyDescent="0.25">
      <c r="A7" s="172">
        <v>2</v>
      </c>
      <c r="B7" s="141" t="s">
        <v>1410</v>
      </c>
      <c r="C7" s="172">
        <v>115210</v>
      </c>
      <c r="D7" s="172">
        <v>58872</v>
      </c>
      <c r="E7" s="172">
        <v>56338</v>
      </c>
    </row>
    <row r="8" spans="1:5" ht="21" customHeight="1" x14ac:dyDescent="0.4">
      <c r="A8" s="40"/>
      <c r="B8" s="108"/>
      <c r="C8" s="40"/>
      <c r="D8" s="40"/>
    </row>
    <row r="9" spans="1:5" ht="21.75" x14ac:dyDescent="0.4">
      <c r="A9" s="40"/>
      <c r="B9" s="108"/>
      <c r="C9" s="40"/>
      <c r="D9" s="40"/>
    </row>
    <row r="10" spans="1:5" ht="21.75" x14ac:dyDescent="0.4">
      <c r="A10" s="40"/>
      <c r="B10" s="95"/>
      <c r="C10" s="87"/>
      <c r="D10" s="87"/>
    </row>
    <row r="11" spans="1:5" ht="21.75" x14ac:dyDescent="0.4">
      <c r="A11" s="40"/>
      <c r="B11" s="101"/>
      <c r="C11" s="40"/>
      <c r="D11" s="40"/>
    </row>
    <row r="12" spans="1:5" ht="21.75" x14ac:dyDescent="0.4">
      <c r="A12" s="40"/>
      <c r="B12" s="101"/>
      <c r="C12" s="40"/>
      <c r="D12" s="40"/>
    </row>
    <row r="13" spans="1:5" ht="21.75" x14ac:dyDescent="0.4">
      <c r="A13" s="40"/>
      <c r="B13" s="109"/>
      <c r="C13" s="40"/>
      <c r="D13" s="40"/>
    </row>
    <row r="14" spans="1:5" ht="21.75" x14ac:dyDescent="0.4">
      <c r="A14" s="40"/>
      <c r="B14" s="109"/>
      <c r="C14" s="40"/>
      <c r="D14" s="40"/>
    </row>
    <row r="15" spans="1:5" ht="21.75" x14ac:dyDescent="0.4">
      <c r="A15" s="40"/>
      <c r="B15" s="109"/>
      <c r="C15" s="40"/>
      <c r="D15" s="40"/>
    </row>
    <row r="16" spans="1:5" ht="21.75" x14ac:dyDescent="0.4">
      <c r="A16" s="40"/>
      <c r="B16" s="109"/>
      <c r="C16" s="40"/>
      <c r="D16" s="40"/>
    </row>
    <row r="17" spans="1:4" ht="21.75" x14ac:dyDescent="0.4">
      <c r="A17" s="40"/>
      <c r="B17" s="109"/>
      <c r="C17" s="40"/>
      <c r="D17" s="40"/>
    </row>
    <row r="18" spans="1:4" ht="21.75" x14ac:dyDescent="0.4">
      <c r="A18" s="40"/>
      <c r="B18" s="109"/>
      <c r="C18" s="40"/>
      <c r="D18" s="40"/>
    </row>
    <row r="19" spans="1:4" ht="21.75" x14ac:dyDescent="0.4">
      <c r="A19" s="40"/>
      <c r="B19" s="109"/>
      <c r="C19" s="40"/>
      <c r="D19" s="40"/>
    </row>
    <row r="20" spans="1:4" ht="21.75" x14ac:dyDescent="0.4">
      <c r="A20" s="40"/>
      <c r="B20" s="101"/>
      <c r="C20" s="40"/>
      <c r="D20" s="40"/>
    </row>
    <row r="21" spans="1:4" ht="21.75" x14ac:dyDescent="0.4">
      <c r="A21" s="40"/>
      <c r="B21" s="101"/>
      <c r="C21" s="40"/>
      <c r="D21" s="40"/>
    </row>
    <row r="22" spans="1:4" ht="21.75" x14ac:dyDescent="0.4">
      <c r="A22" s="40"/>
      <c r="B22" s="101"/>
      <c r="C22" s="40"/>
      <c r="D22" s="40"/>
    </row>
    <row r="23" spans="1:4" ht="21.75" x14ac:dyDescent="0.4">
      <c r="A23" s="40"/>
      <c r="B23" s="101"/>
      <c r="C23" s="40"/>
      <c r="D23" s="40"/>
    </row>
    <row r="24" spans="1:4" ht="21.75" x14ac:dyDescent="0.4">
      <c r="A24" s="40"/>
      <c r="B24" s="101"/>
      <c r="C24" s="40"/>
      <c r="D24" s="40"/>
    </row>
    <row r="25" spans="1:4" ht="21.75" x14ac:dyDescent="0.4">
      <c r="A25" s="40"/>
      <c r="B25" s="101"/>
      <c r="C25" s="40"/>
      <c r="D25" s="40"/>
    </row>
    <row r="26" spans="1:4" ht="21.75" x14ac:dyDescent="0.4">
      <c r="A26" s="40"/>
      <c r="B26" s="40"/>
      <c r="C26" s="40"/>
      <c r="D26" s="40"/>
    </row>
    <row r="27" spans="1:4" ht="21.75" x14ac:dyDescent="0.4">
      <c r="A27" s="40"/>
      <c r="B27" s="40"/>
      <c r="C27" s="40"/>
      <c r="D27" s="40"/>
    </row>
    <row r="28" spans="1:4" ht="21.75" x14ac:dyDescent="0.4">
      <c r="A28" s="40"/>
      <c r="B28" s="40"/>
      <c r="C28" s="40"/>
      <c r="D28" s="40"/>
    </row>
    <row r="29" spans="1:4" ht="21.75" x14ac:dyDescent="0.4">
      <c r="A29" s="40"/>
      <c r="B29" s="40"/>
      <c r="C29" s="40"/>
      <c r="D29" s="40"/>
    </row>
    <row r="30" spans="1:4" ht="21.75" x14ac:dyDescent="0.4">
      <c r="A30" s="40"/>
      <c r="B30" s="40"/>
      <c r="C30" s="40"/>
      <c r="D30" s="40"/>
    </row>
    <row r="31" spans="1:4" ht="21.75" x14ac:dyDescent="0.4">
      <c r="A31" s="40"/>
      <c r="B31" s="40"/>
      <c r="C31" s="40"/>
      <c r="D31" s="40"/>
    </row>
    <row r="32" spans="1:4" ht="21.75" x14ac:dyDescent="0.4">
      <c r="A32" s="40"/>
      <c r="B32" s="101"/>
      <c r="C32" s="40"/>
      <c r="D32" s="40"/>
    </row>
    <row r="33" spans="1:4" ht="21.75" x14ac:dyDescent="0.4">
      <c r="A33" s="40"/>
      <c r="B33" s="101"/>
      <c r="C33" s="40"/>
      <c r="D33" s="40"/>
    </row>
    <row r="34" spans="1:4" ht="21.75" x14ac:dyDescent="0.4">
      <c r="A34" s="40"/>
      <c r="B34" s="101"/>
      <c r="C34" s="40"/>
      <c r="D34" s="40"/>
    </row>
    <row r="35" spans="1:4" ht="21.75" x14ac:dyDescent="0.4">
      <c r="A35" s="40"/>
      <c r="B35" s="101"/>
      <c r="C35" s="40"/>
      <c r="D35" s="40"/>
    </row>
    <row r="36" spans="1:4" ht="21.75" x14ac:dyDescent="0.4">
      <c r="A36" s="40"/>
      <c r="B36" s="101"/>
      <c r="C36" s="40"/>
      <c r="D36" s="40"/>
    </row>
    <row r="37" spans="1:4" ht="21.75" x14ac:dyDescent="0.4">
      <c r="A37" s="40"/>
      <c r="B37" s="101"/>
      <c r="C37" s="40"/>
      <c r="D37" s="40"/>
    </row>
    <row r="38" spans="1:4" ht="21.75" x14ac:dyDescent="0.4">
      <c r="A38" s="40"/>
      <c r="B38" s="101"/>
      <c r="C38" s="40"/>
      <c r="D38" s="40"/>
    </row>
    <row r="39" spans="1:4" ht="21.75" x14ac:dyDescent="0.4">
      <c r="A39" s="40"/>
      <c r="B39" s="101"/>
      <c r="C39" s="40"/>
      <c r="D39" s="40"/>
    </row>
    <row r="40" spans="1:4" ht="21.75" x14ac:dyDescent="0.4">
      <c r="A40" s="40"/>
      <c r="B40" s="101"/>
      <c r="C40" s="40"/>
      <c r="D40" s="40"/>
    </row>
    <row r="41" spans="1:4" ht="21.75" x14ac:dyDescent="0.4">
      <c r="A41" s="40"/>
      <c r="B41" s="101"/>
      <c r="C41" s="40"/>
      <c r="D41" s="40"/>
    </row>
    <row r="42" spans="1:4" ht="21.75" x14ac:dyDescent="0.4">
      <c r="A42" s="40"/>
      <c r="B42" s="101"/>
      <c r="C42" s="40"/>
      <c r="D42" s="40"/>
    </row>
    <row r="43" spans="1:4" ht="21.75" x14ac:dyDescent="0.4">
      <c r="A43" s="40"/>
      <c r="B43" s="101"/>
      <c r="C43" s="40"/>
      <c r="D43" s="40"/>
    </row>
    <row r="44" spans="1:4" ht="21.75" x14ac:dyDescent="0.4">
      <c r="A44" s="40"/>
      <c r="B44" s="101"/>
      <c r="C44" s="40"/>
      <c r="D44" s="40"/>
    </row>
    <row r="45" spans="1:4" ht="21.75" x14ac:dyDescent="0.4">
      <c r="A45" s="40"/>
      <c r="B45" s="101"/>
      <c r="C45" s="40"/>
      <c r="D45" s="40"/>
    </row>
    <row r="46" spans="1:4" ht="21.75" x14ac:dyDescent="0.4">
      <c r="A46" s="40"/>
      <c r="B46" s="101"/>
      <c r="C46" s="40"/>
      <c r="D46" s="40"/>
    </row>
  </sheetData>
  <mergeCells count="4">
    <mergeCell ref="A3:A4"/>
    <mergeCell ref="B3:B4"/>
    <mergeCell ref="C3:E3"/>
    <mergeCell ref="A1:E1"/>
  </mergeCells>
  <hyperlinks>
    <hyperlink ref="A1:E1" r:id="rId1" location="'Link of Township'!A1" display="Shan State, Makman District, Naphang Township"/>
  </hyperlinks>
  <pageMargins left="0.75" right="0.5" top="0.5" bottom="0.25" header="0.3" footer="0.3"/>
  <pageSetup paperSize="9" orientation="portrait" horizontalDpi="1200" verticalDpi="1200"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J10" sqref="J10"/>
    </sheetView>
  </sheetViews>
  <sheetFormatPr defaultRowHeight="15" x14ac:dyDescent="0.25"/>
  <cols>
    <col min="1" max="1" width="6.42578125" customWidth="1"/>
    <col min="2" max="2" width="24.5703125" customWidth="1"/>
    <col min="3" max="3" width="12.28515625" customWidth="1"/>
    <col min="4" max="4" width="12" customWidth="1"/>
    <col min="5" max="5" width="11" customWidth="1"/>
  </cols>
  <sheetData>
    <row r="1" spans="1:5" ht="18.75" x14ac:dyDescent="0.3">
      <c r="A1" s="179" t="s">
        <v>1466</v>
      </c>
      <c r="B1" s="185"/>
      <c r="C1" s="185"/>
      <c r="D1" s="185"/>
      <c r="E1" s="185"/>
    </row>
    <row r="2" spans="1:5" ht="21.75" x14ac:dyDescent="0.4">
      <c r="A2" s="80"/>
      <c r="B2" s="81"/>
      <c r="C2" s="82"/>
      <c r="D2" s="91"/>
      <c r="E2" s="74" t="s">
        <v>1341</v>
      </c>
    </row>
    <row r="3" spans="1:5" ht="9" customHeight="1" x14ac:dyDescent="0.4">
      <c r="A3" s="80"/>
      <c r="B3" s="81"/>
      <c r="C3" s="81"/>
      <c r="D3" s="81"/>
    </row>
    <row r="4" spans="1:5" ht="21.75" customHeight="1" x14ac:dyDescent="0.25">
      <c r="A4" s="173" t="s">
        <v>1339</v>
      </c>
      <c r="B4" s="173" t="s">
        <v>1422</v>
      </c>
      <c r="C4" s="173" t="s">
        <v>1340</v>
      </c>
      <c r="D4" s="173"/>
      <c r="E4" s="173"/>
    </row>
    <row r="5" spans="1:5" ht="15.75" x14ac:dyDescent="0.25">
      <c r="A5" s="173"/>
      <c r="B5" s="173"/>
      <c r="C5" s="22" t="s">
        <v>0</v>
      </c>
      <c r="D5" s="22" t="s">
        <v>1</v>
      </c>
      <c r="E5" s="22" t="s">
        <v>2</v>
      </c>
    </row>
    <row r="6" spans="1:5" ht="25.15" customHeight="1" x14ac:dyDescent="0.25">
      <c r="A6" s="150"/>
      <c r="B6" s="129" t="s">
        <v>0</v>
      </c>
      <c r="C6" s="145">
        <v>1643</v>
      </c>
      <c r="D6" s="145">
        <v>840</v>
      </c>
      <c r="E6" s="145">
        <v>803</v>
      </c>
    </row>
    <row r="7" spans="1:5" ht="24" customHeight="1" x14ac:dyDescent="0.25">
      <c r="A7" s="153">
        <v>1</v>
      </c>
      <c r="B7" s="63" t="s">
        <v>1338</v>
      </c>
      <c r="C7" s="146">
        <v>419</v>
      </c>
      <c r="D7" s="146">
        <v>232</v>
      </c>
      <c r="E7" s="146">
        <v>187</v>
      </c>
    </row>
    <row r="8" spans="1:5" ht="25.9" customHeight="1" x14ac:dyDescent="0.25">
      <c r="A8" s="158">
        <v>2</v>
      </c>
      <c r="B8" s="141" t="s">
        <v>1410</v>
      </c>
      <c r="C8" s="147">
        <v>1224</v>
      </c>
      <c r="D8" s="147">
        <v>608</v>
      </c>
      <c r="E8" s="147">
        <v>616</v>
      </c>
    </row>
    <row r="9" spans="1:5" ht="21.75" x14ac:dyDescent="0.4">
      <c r="A9" s="40"/>
      <c r="B9" s="92"/>
      <c r="C9" s="111"/>
      <c r="D9" s="111"/>
      <c r="E9" s="111"/>
    </row>
    <row r="10" spans="1:5" ht="21.75" x14ac:dyDescent="0.4">
      <c r="A10" s="40"/>
      <c r="B10" s="89"/>
      <c r="C10" s="112"/>
      <c r="D10" s="112"/>
      <c r="E10" s="112"/>
    </row>
    <row r="11" spans="1:5" ht="21.75" x14ac:dyDescent="0.4">
      <c r="A11" s="40"/>
      <c r="B11" s="84"/>
      <c r="C11" s="111"/>
      <c r="D11" s="111"/>
      <c r="E11" s="111"/>
    </row>
    <row r="12" spans="1:5" ht="21.75" x14ac:dyDescent="0.4">
      <c r="A12" s="40"/>
      <c r="B12" s="84"/>
      <c r="C12" s="111"/>
      <c r="D12" s="111"/>
      <c r="E12" s="111"/>
    </row>
    <row r="13" spans="1:5" ht="21.75" x14ac:dyDescent="0.4">
      <c r="A13" s="40"/>
      <c r="B13" s="84"/>
      <c r="C13" s="111"/>
      <c r="D13" s="111"/>
      <c r="E13" s="111"/>
    </row>
    <row r="14" spans="1:5" ht="21.75" x14ac:dyDescent="0.4">
      <c r="A14" s="40"/>
      <c r="B14" s="84"/>
      <c r="C14" s="111"/>
      <c r="D14" s="111"/>
      <c r="E14" s="111"/>
    </row>
    <row r="15" spans="1:5" ht="21.75" x14ac:dyDescent="0.4">
      <c r="A15" s="40"/>
      <c r="B15" s="84"/>
      <c r="C15" s="110"/>
      <c r="D15" s="110"/>
      <c r="E15" s="110"/>
    </row>
    <row r="16" spans="1:5" ht="21.75" x14ac:dyDescent="0.4">
      <c r="A16" s="40"/>
      <c r="B16" s="84"/>
      <c r="C16" s="110"/>
      <c r="D16" s="110"/>
      <c r="E16" s="110"/>
    </row>
    <row r="17" spans="1:5" ht="21.75" x14ac:dyDescent="0.4">
      <c r="A17" s="40"/>
      <c r="B17" s="84"/>
      <c r="C17" s="110"/>
      <c r="D17" s="110"/>
      <c r="E17" s="110"/>
    </row>
    <row r="18" spans="1:5" ht="21.75" x14ac:dyDescent="0.4">
      <c r="A18" s="40"/>
      <c r="B18" s="84"/>
      <c r="C18" s="110"/>
      <c r="D18" s="110"/>
      <c r="E18" s="110"/>
    </row>
    <row r="19" spans="1:5" ht="21.75" x14ac:dyDescent="0.4">
      <c r="A19" s="40"/>
      <c r="B19" s="84"/>
      <c r="C19" s="110"/>
      <c r="D19" s="110"/>
      <c r="E19" s="110"/>
    </row>
    <row r="20" spans="1:5" ht="21.75" x14ac:dyDescent="0.4">
      <c r="A20" s="40"/>
      <c r="B20" s="84"/>
      <c r="C20" s="110"/>
      <c r="D20" s="110"/>
      <c r="E20" s="110"/>
    </row>
    <row r="21" spans="1:5" ht="21.75" x14ac:dyDescent="0.4">
      <c r="A21" s="40"/>
      <c r="B21" s="84"/>
      <c r="C21" s="110"/>
      <c r="D21" s="110"/>
      <c r="E21" s="110"/>
    </row>
  </sheetData>
  <mergeCells count="4">
    <mergeCell ref="A4:A5"/>
    <mergeCell ref="B4:B5"/>
    <mergeCell ref="C4:E4"/>
    <mergeCell ref="A1:E1"/>
  </mergeCells>
  <hyperlinks>
    <hyperlink ref="A1:E1" r:id="rId1" location="'Link of Township'!A1" display="Shan State, Makman District, Mankan(Sub-Township)"/>
  </hyperlinks>
  <pageMargins left="0.75" right="0.5" top="0.5" bottom="0.25" header="0.3" footer="0.3"/>
  <pageSetup paperSize="9" orientation="portrait" horizontalDpi="1200" verticalDpi="1200"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workbookViewId="0">
      <selection sqref="A1:E1"/>
    </sheetView>
  </sheetViews>
  <sheetFormatPr defaultRowHeight="15" x14ac:dyDescent="0.25"/>
  <cols>
    <col min="1" max="1" width="9.42578125" customWidth="1"/>
    <col min="2" max="2" width="30.85546875" customWidth="1"/>
    <col min="3" max="5" width="15.7109375" customWidth="1"/>
  </cols>
  <sheetData>
    <row r="1" spans="1:5" ht="18.75" x14ac:dyDescent="0.3">
      <c r="A1" s="180" t="s">
        <v>1390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9" customHeight="1" x14ac:dyDescent="0.25">
      <c r="A3" s="20"/>
      <c r="B3" s="20"/>
      <c r="C3" s="20"/>
      <c r="D3" s="20"/>
      <c r="E3" s="20"/>
    </row>
    <row r="4" spans="1:5" ht="15.75" x14ac:dyDescent="0.25">
      <c r="A4" s="173" t="s">
        <v>1339</v>
      </c>
      <c r="B4" s="181" t="s">
        <v>1422</v>
      </c>
      <c r="C4" s="174" t="s">
        <v>1340</v>
      </c>
      <c r="D4" s="175"/>
      <c r="E4" s="176"/>
    </row>
    <row r="5" spans="1:5" ht="15.75" x14ac:dyDescent="0.25">
      <c r="A5" s="181"/>
      <c r="B5" s="182"/>
      <c r="C5" s="65" t="s">
        <v>0</v>
      </c>
      <c r="D5" s="65" t="s">
        <v>1</v>
      </c>
      <c r="E5" s="65" t="s">
        <v>2</v>
      </c>
    </row>
    <row r="6" spans="1:5" ht="27" customHeight="1" x14ac:dyDescent="0.25">
      <c r="A6" s="48"/>
      <c r="B6" s="26" t="s">
        <v>0</v>
      </c>
      <c r="C6" s="26">
        <v>171620</v>
      </c>
      <c r="D6" s="26">
        <v>87779</v>
      </c>
      <c r="E6" s="26">
        <v>83841</v>
      </c>
    </row>
    <row r="7" spans="1:5" ht="12" customHeight="1" x14ac:dyDescent="0.25">
      <c r="A7" s="23"/>
      <c r="B7" s="24"/>
      <c r="C7" s="24"/>
      <c r="D7" s="24"/>
      <c r="E7" s="24"/>
    </row>
    <row r="8" spans="1:5" ht="24.95" customHeight="1" x14ac:dyDescent="0.25">
      <c r="A8" s="23"/>
      <c r="B8" s="24" t="s">
        <v>1338</v>
      </c>
      <c r="C8" s="24">
        <f>SUM(C9:C13)</f>
        <v>44289</v>
      </c>
      <c r="D8" s="24">
        <f t="shared" ref="D8:E8" si="0">SUM(D9:D13)</f>
        <v>22212</v>
      </c>
      <c r="E8" s="24">
        <f t="shared" si="0"/>
        <v>22077</v>
      </c>
    </row>
    <row r="9" spans="1:5" ht="24.95" customHeight="1" x14ac:dyDescent="0.25">
      <c r="A9" s="23">
        <v>1</v>
      </c>
      <c r="B9" s="27" t="s">
        <v>25</v>
      </c>
      <c r="C9" s="27">
        <v>13864</v>
      </c>
      <c r="D9" s="27">
        <v>6937</v>
      </c>
      <c r="E9" s="27">
        <v>6927</v>
      </c>
    </row>
    <row r="10" spans="1:5" ht="24.95" customHeight="1" x14ac:dyDescent="0.25">
      <c r="A10" s="23">
        <v>2</v>
      </c>
      <c r="B10" s="27" t="s">
        <v>26</v>
      </c>
      <c r="C10" s="27">
        <v>6193</v>
      </c>
      <c r="D10" s="27">
        <v>3126</v>
      </c>
      <c r="E10" s="27">
        <v>3067</v>
      </c>
    </row>
    <row r="11" spans="1:5" ht="24.95" customHeight="1" x14ac:dyDescent="0.25">
      <c r="A11" s="23">
        <v>3</v>
      </c>
      <c r="B11" s="27" t="s">
        <v>27</v>
      </c>
      <c r="C11" s="27">
        <v>7581</v>
      </c>
      <c r="D11" s="27">
        <v>3744</v>
      </c>
      <c r="E11" s="27">
        <v>3837</v>
      </c>
    </row>
    <row r="12" spans="1:5" ht="24.95" customHeight="1" x14ac:dyDescent="0.25">
      <c r="A12" s="23">
        <v>4</v>
      </c>
      <c r="B12" s="27" t="s">
        <v>28</v>
      </c>
      <c r="C12" s="27">
        <v>9328</v>
      </c>
      <c r="D12" s="27">
        <v>4505</v>
      </c>
      <c r="E12" s="27">
        <v>4823</v>
      </c>
    </row>
    <row r="13" spans="1:5" ht="24.95" customHeight="1" x14ac:dyDescent="0.25">
      <c r="A13" s="23">
        <v>5</v>
      </c>
      <c r="B13" s="27" t="s">
        <v>29</v>
      </c>
      <c r="C13" s="27">
        <v>7323</v>
      </c>
      <c r="D13" s="27">
        <v>3900</v>
      </c>
      <c r="E13" s="27">
        <v>3423</v>
      </c>
    </row>
    <row r="14" spans="1:5" ht="24.95" customHeight="1" x14ac:dyDescent="0.25">
      <c r="A14" s="23"/>
      <c r="B14" s="49" t="s">
        <v>1410</v>
      </c>
      <c r="C14" s="24">
        <f>SUM(C15:C45)</f>
        <v>127331</v>
      </c>
      <c r="D14" s="24">
        <f t="shared" ref="D14:E14" si="1">SUM(D15:D45)</f>
        <v>65567</v>
      </c>
      <c r="E14" s="24">
        <f t="shared" si="1"/>
        <v>61764</v>
      </c>
    </row>
    <row r="15" spans="1:5" ht="24.95" customHeight="1" x14ac:dyDescent="0.25">
      <c r="A15" s="23">
        <v>1</v>
      </c>
      <c r="B15" s="27" t="s">
        <v>1185</v>
      </c>
      <c r="C15" s="27">
        <v>7559</v>
      </c>
      <c r="D15" s="27">
        <v>3830</v>
      </c>
      <c r="E15" s="27">
        <v>3729</v>
      </c>
    </row>
    <row r="16" spans="1:5" ht="24.95" customHeight="1" x14ac:dyDescent="0.25">
      <c r="A16" s="23">
        <v>2</v>
      </c>
      <c r="B16" s="27" t="s">
        <v>1186</v>
      </c>
      <c r="C16" s="27">
        <v>4000</v>
      </c>
      <c r="D16" s="27">
        <v>2131</v>
      </c>
      <c r="E16" s="27">
        <v>1869</v>
      </c>
    </row>
    <row r="17" spans="1:5" ht="24.95" customHeight="1" x14ac:dyDescent="0.25">
      <c r="A17" s="23">
        <v>3</v>
      </c>
      <c r="B17" s="27" t="s">
        <v>486</v>
      </c>
      <c r="C17" s="27">
        <v>3640</v>
      </c>
      <c r="D17" s="27">
        <v>1859</v>
      </c>
      <c r="E17" s="27">
        <v>1781</v>
      </c>
    </row>
    <row r="18" spans="1:5" ht="24.95" customHeight="1" x14ac:dyDescent="0.25">
      <c r="A18" s="23">
        <v>4</v>
      </c>
      <c r="B18" s="27" t="s">
        <v>1187</v>
      </c>
      <c r="C18" s="27">
        <v>7256</v>
      </c>
      <c r="D18" s="27">
        <v>3655</v>
      </c>
      <c r="E18" s="27">
        <v>3601</v>
      </c>
    </row>
    <row r="19" spans="1:5" ht="24.95" customHeight="1" x14ac:dyDescent="0.25">
      <c r="A19" s="23">
        <v>5</v>
      </c>
      <c r="B19" s="27" t="s">
        <v>1188</v>
      </c>
      <c r="C19" s="27">
        <v>3392</v>
      </c>
      <c r="D19" s="27">
        <v>1717</v>
      </c>
      <c r="E19" s="27">
        <v>1675</v>
      </c>
    </row>
    <row r="20" spans="1:5" ht="24.95" customHeight="1" x14ac:dyDescent="0.25">
      <c r="A20" s="23">
        <v>6</v>
      </c>
      <c r="B20" s="27" t="s">
        <v>1189</v>
      </c>
      <c r="C20" s="27">
        <v>4592</v>
      </c>
      <c r="D20" s="27">
        <v>2367</v>
      </c>
      <c r="E20" s="27">
        <v>2225</v>
      </c>
    </row>
    <row r="21" spans="1:5" ht="24.95" customHeight="1" x14ac:dyDescent="0.25">
      <c r="A21" s="23">
        <v>7</v>
      </c>
      <c r="B21" s="27" t="s">
        <v>1190</v>
      </c>
      <c r="C21" s="27">
        <v>5695</v>
      </c>
      <c r="D21" s="27">
        <v>2985</v>
      </c>
      <c r="E21" s="27">
        <v>2710</v>
      </c>
    </row>
    <row r="22" spans="1:5" ht="24.95" customHeight="1" x14ac:dyDescent="0.25">
      <c r="A22" s="23">
        <v>8</v>
      </c>
      <c r="B22" s="27" t="s">
        <v>1191</v>
      </c>
      <c r="C22" s="27">
        <v>3024</v>
      </c>
      <c r="D22" s="27">
        <v>1541</v>
      </c>
      <c r="E22" s="27">
        <v>1483</v>
      </c>
    </row>
    <row r="23" spans="1:5" ht="24.95" customHeight="1" x14ac:dyDescent="0.25">
      <c r="A23" s="23">
        <v>9</v>
      </c>
      <c r="B23" s="27" t="s">
        <v>1192</v>
      </c>
      <c r="C23" s="27">
        <v>2813</v>
      </c>
      <c r="D23" s="27">
        <v>1419</v>
      </c>
      <c r="E23" s="27">
        <v>1394</v>
      </c>
    </row>
    <row r="24" spans="1:5" ht="24.95" customHeight="1" x14ac:dyDescent="0.25">
      <c r="A24" s="23">
        <v>10</v>
      </c>
      <c r="B24" s="27" t="s">
        <v>1193</v>
      </c>
      <c r="C24" s="27">
        <v>1857</v>
      </c>
      <c r="D24" s="27">
        <v>940</v>
      </c>
      <c r="E24" s="27">
        <v>917</v>
      </c>
    </row>
    <row r="25" spans="1:5" ht="24.95" customHeight="1" x14ac:dyDescent="0.25">
      <c r="A25" s="23">
        <v>11</v>
      </c>
      <c r="B25" s="27" t="s">
        <v>1194</v>
      </c>
      <c r="C25" s="27">
        <v>2361</v>
      </c>
      <c r="D25" s="27">
        <v>1239</v>
      </c>
      <c r="E25" s="27">
        <v>1122</v>
      </c>
    </row>
    <row r="26" spans="1:5" ht="24.95" customHeight="1" x14ac:dyDescent="0.25">
      <c r="A26" s="23">
        <v>12</v>
      </c>
      <c r="B26" s="27" t="s">
        <v>1195</v>
      </c>
      <c r="C26" s="27">
        <v>1760</v>
      </c>
      <c r="D26" s="27">
        <v>892</v>
      </c>
      <c r="E26" s="27">
        <v>868</v>
      </c>
    </row>
    <row r="27" spans="1:5" ht="24.95" customHeight="1" x14ac:dyDescent="0.25">
      <c r="A27" s="23">
        <v>13</v>
      </c>
      <c r="B27" s="27" t="s">
        <v>1196</v>
      </c>
      <c r="C27" s="27">
        <v>6494</v>
      </c>
      <c r="D27" s="27">
        <v>3487</v>
      </c>
      <c r="E27" s="27">
        <v>3007</v>
      </c>
    </row>
    <row r="28" spans="1:5" ht="24.95" customHeight="1" x14ac:dyDescent="0.25">
      <c r="A28" s="23">
        <v>14</v>
      </c>
      <c r="B28" s="27" t="s">
        <v>1197</v>
      </c>
      <c r="C28" s="27">
        <v>3067</v>
      </c>
      <c r="D28" s="27">
        <v>1596</v>
      </c>
      <c r="E28" s="27">
        <v>1471</v>
      </c>
    </row>
    <row r="29" spans="1:5" ht="24.95" customHeight="1" x14ac:dyDescent="0.25">
      <c r="A29" s="23">
        <v>15</v>
      </c>
      <c r="B29" s="27" t="s">
        <v>1198</v>
      </c>
      <c r="C29" s="27">
        <v>16308</v>
      </c>
      <c r="D29" s="27">
        <v>8215</v>
      </c>
      <c r="E29" s="27">
        <v>8093</v>
      </c>
    </row>
    <row r="30" spans="1:5" ht="24.95" customHeight="1" x14ac:dyDescent="0.25">
      <c r="A30" s="23">
        <v>16</v>
      </c>
      <c r="B30" s="27" t="s">
        <v>1199</v>
      </c>
      <c r="C30" s="27">
        <v>5684</v>
      </c>
      <c r="D30" s="27">
        <v>2959</v>
      </c>
      <c r="E30" s="27">
        <v>2725</v>
      </c>
    </row>
    <row r="31" spans="1:5" ht="24.95" customHeight="1" x14ac:dyDescent="0.25">
      <c r="A31" s="23">
        <v>17</v>
      </c>
      <c r="B31" s="27" t="s">
        <v>1200</v>
      </c>
      <c r="C31" s="27">
        <v>4659</v>
      </c>
      <c r="D31" s="27">
        <v>2616</v>
      </c>
      <c r="E31" s="27">
        <v>2043</v>
      </c>
    </row>
    <row r="32" spans="1:5" ht="24.95" customHeight="1" x14ac:dyDescent="0.25">
      <c r="A32" s="23">
        <v>18</v>
      </c>
      <c r="B32" s="27" t="s">
        <v>1201</v>
      </c>
      <c r="C32" s="27">
        <v>5145</v>
      </c>
      <c r="D32" s="27">
        <v>2566</v>
      </c>
      <c r="E32" s="27">
        <v>2579</v>
      </c>
    </row>
    <row r="33" spans="1:5" ht="24.95" customHeight="1" x14ac:dyDescent="0.25">
      <c r="A33" s="23">
        <v>19</v>
      </c>
      <c r="B33" s="27" t="s">
        <v>1202</v>
      </c>
      <c r="C33" s="27">
        <v>2613</v>
      </c>
      <c r="D33" s="27">
        <v>1315</v>
      </c>
      <c r="E33" s="27">
        <v>1298</v>
      </c>
    </row>
    <row r="34" spans="1:5" ht="24.95" customHeight="1" x14ac:dyDescent="0.25">
      <c r="A34" s="23">
        <v>20</v>
      </c>
      <c r="B34" s="27" t="s">
        <v>1203</v>
      </c>
      <c r="C34" s="27">
        <v>5152</v>
      </c>
      <c r="D34" s="27">
        <v>2617</v>
      </c>
      <c r="E34" s="27">
        <v>2535</v>
      </c>
    </row>
    <row r="35" spans="1:5" ht="24.95" customHeight="1" x14ac:dyDescent="0.25">
      <c r="A35" s="23">
        <v>21</v>
      </c>
      <c r="B35" s="27" t="s">
        <v>1204</v>
      </c>
      <c r="C35" s="27">
        <v>2053</v>
      </c>
      <c r="D35" s="27">
        <v>1016</v>
      </c>
      <c r="E35" s="27">
        <v>1037</v>
      </c>
    </row>
    <row r="36" spans="1:5" ht="24.95" customHeight="1" x14ac:dyDescent="0.25">
      <c r="A36" s="23">
        <v>22</v>
      </c>
      <c r="B36" s="27" t="s">
        <v>1205</v>
      </c>
      <c r="C36" s="27">
        <v>7134</v>
      </c>
      <c r="D36" s="27">
        <v>3549</v>
      </c>
      <c r="E36" s="27">
        <v>3585</v>
      </c>
    </row>
    <row r="37" spans="1:5" ht="24.95" customHeight="1" x14ac:dyDescent="0.25">
      <c r="A37" s="23">
        <v>23</v>
      </c>
      <c r="B37" s="27" t="s">
        <v>1206</v>
      </c>
      <c r="C37" s="27">
        <v>6496</v>
      </c>
      <c r="D37" s="27">
        <v>3445</v>
      </c>
      <c r="E37" s="27">
        <v>3051</v>
      </c>
    </row>
    <row r="38" spans="1:5" ht="24.95" customHeight="1" x14ac:dyDescent="0.25">
      <c r="A38" s="23">
        <v>24</v>
      </c>
      <c r="B38" s="27" t="s">
        <v>1207</v>
      </c>
      <c r="C38" s="27">
        <v>2798</v>
      </c>
      <c r="D38" s="27">
        <v>1431</v>
      </c>
      <c r="E38" s="27">
        <v>1367</v>
      </c>
    </row>
    <row r="39" spans="1:5" ht="24.95" customHeight="1" x14ac:dyDescent="0.25">
      <c r="A39" s="23">
        <v>25</v>
      </c>
      <c r="B39" s="27" t="s">
        <v>1208</v>
      </c>
      <c r="C39" s="27">
        <v>1550</v>
      </c>
      <c r="D39" s="27">
        <v>781</v>
      </c>
      <c r="E39" s="27">
        <v>769</v>
      </c>
    </row>
    <row r="40" spans="1:5" ht="24.95" customHeight="1" x14ac:dyDescent="0.25">
      <c r="A40" s="23">
        <v>26</v>
      </c>
      <c r="B40" s="27" t="s">
        <v>1209</v>
      </c>
      <c r="C40" s="27">
        <v>816</v>
      </c>
      <c r="D40" s="27">
        <v>427</v>
      </c>
      <c r="E40" s="27">
        <v>389</v>
      </c>
    </row>
    <row r="41" spans="1:5" ht="24.95" customHeight="1" x14ac:dyDescent="0.25">
      <c r="A41" s="23">
        <v>27</v>
      </c>
      <c r="B41" s="27" t="s">
        <v>1210</v>
      </c>
      <c r="C41" s="27">
        <v>2693</v>
      </c>
      <c r="D41" s="27">
        <v>1421</v>
      </c>
      <c r="E41" s="27">
        <v>1272</v>
      </c>
    </row>
    <row r="42" spans="1:5" ht="24.95" customHeight="1" x14ac:dyDescent="0.25">
      <c r="A42" s="23">
        <v>28</v>
      </c>
      <c r="B42" s="27" t="s">
        <v>1211</v>
      </c>
      <c r="C42" s="27">
        <v>1290</v>
      </c>
      <c r="D42" s="27">
        <v>686</v>
      </c>
      <c r="E42" s="27">
        <v>604</v>
      </c>
    </row>
    <row r="43" spans="1:5" ht="24.95" customHeight="1" x14ac:dyDescent="0.25">
      <c r="A43" s="23">
        <v>29</v>
      </c>
      <c r="B43" s="27" t="s">
        <v>1212</v>
      </c>
      <c r="C43" s="27">
        <v>2647</v>
      </c>
      <c r="D43" s="27">
        <v>1398</v>
      </c>
      <c r="E43" s="27">
        <v>1249</v>
      </c>
    </row>
    <row r="44" spans="1:5" ht="24.95" customHeight="1" x14ac:dyDescent="0.25">
      <c r="A44" s="23">
        <v>30</v>
      </c>
      <c r="B44" s="27" t="s">
        <v>1213</v>
      </c>
      <c r="C44" s="27">
        <v>2453</v>
      </c>
      <c r="D44" s="27">
        <v>1293</v>
      </c>
      <c r="E44" s="27">
        <v>1160</v>
      </c>
    </row>
    <row r="45" spans="1:5" ht="24.95" customHeight="1" x14ac:dyDescent="0.25">
      <c r="A45" s="28">
        <v>31</v>
      </c>
      <c r="B45" s="29" t="s">
        <v>1214</v>
      </c>
      <c r="C45" s="29">
        <v>330</v>
      </c>
      <c r="D45" s="29">
        <v>174</v>
      </c>
      <c r="E45" s="29">
        <v>156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Kengtung District, Kengtung Township"/>
  </hyperlinks>
  <pageMargins left="0.75" right="0.5" top="0.5" bottom="0.25" header="0.3" footer="0.3"/>
  <pageSetup paperSize="9" orientation="portrait" horizontalDpi="1200" verticalDpi="12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G20" sqref="G20"/>
    </sheetView>
  </sheetViews>
  <sheetFormatPr defaultRowHeight="15" x14ac:dyDescent="0.25"/>
  <cols>
    <col min="2" max="2" width="33.28515625" customWidth="1"/>
    <col min="3" max="5" width="15.7109375" customWidth="1"/>
  </cols>
  <sheetData>
    <row r="1" spans="1:5" ht="18.75" x14ac:dyDescent="0.3">
      <c r="A1" s="180" t="s">
        <v>1391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9.75" customHeight="1" x14ac:dyDescent="0.25">
      <c r="A3" s="20"/>
      <c r="B3" s="20"/>
      <c r="C3" s="20"/>
      <c r="D3" s="20"/>
      <c r="E3" s="20"/>
    </row>
    <row r="4" spans="1:5" ht="15.75" x14ac:dyDescent="0.25">
      <c r="A4" s="173" t="s">
        <v>1339</v>
      </c>
      <c r="B4" s="181" t="s">
        <v>1422</v>
      </c>
      <c r="C4" s="174" t="s">
        <v>1340</v>
      </c>
      <c r="D4" s="175"/>
      <c r="E4" s="176"/>
    </row>
    <row r="5" spans="1:5" ht="15.75" x14ac:dyDescent="0.25">
      <c r="A5" s="181"/>
      <c r="B5" s="182"/>
      <c r="C5" s="65" t="s">
        <v>0</v>
      </c>
      <c r="D5" s="65" t="s">
        <v>1</v>
      </c>
      <c r="E5" s="65" t="s">
        <v>2</v>
      </c>
    </row>
    <row r="6" spans="1:5" ht="25.5" customHeight="1" x14ac:dyDescent="0.25">
      <c r="A6" s="48"/>
      <c r="B6" s="26" t="s">
        <v>0</v>
      </c>
      <c r="C6" s="26">
        <v>44528</v>
      </c>
      <c r="D6" s="26">
        <v>22873</v>
      </c>
      <c r="E6" s="26">
        <v>21655</v>
      </c>
    </row>
    <row r="7" spans="1:5" ht="14.25" customHeight="1" x14ac:dyDescent="0.25">
      <c r="A7" s="23"/>
      <c r="B7" s="24"/>
      <c r="C7" s="24"/>
      <c r="D7" s="24"/>
      <c r="E7" s="24"/>
    </row>
    <row r="8" spans="1:5" ht="24.95" customHeight="1" x14ac:dyDescent="0.25">
      <c r="A8" s="23"/>
      <c r="B8" s="24" t="s">
        <v>1338</v>
      </c>
      <c r="C8" s="24">
        <f>SUM(C9:C10)</f>
        <v>2827</v>
      </c>
      <c r="D8" s="24">
        <f t="shared" ref="D8:E8" si="0">SUM(D9:D10)</f>
        <v>1642</v>
      </c>
      <c r="E8" s="24">
        <f t="shared" si="0"/>
        <v>1185</v>
      </c>
    </row>
    <row r="9" spans="1:5" ht="24.95" customHeight="1" x14ac:dyDescent="0.25">
      <c r="A9" s="23">
        <v>1</v>
      </c>
      <c r="B9" s="27" t="s">
        <v>25</v>
      </c>
      <c r="C9" s="27">
        <v>2034</v>
      </c>
      <c r="D9" s="27">
        <v>1143</v>
      </c>
      <c r="E9" s="27">
        <v>891</v>
      </c>
    </row>
    <row r="10" spans="1:5" ht="24.95" customHeight="1" x14ac:dyDescent="0.25">
      <c r="A10" s="23">
        <v>2</v>
      </c>
      <c r="B10" s="27" t="s">
        <v>26</v>
      </c>
      <c r="C10" s="27">
        <v>793</v>
      </c>
      <c r="D10" s="27">
        <v>499</v>
      </c>
      <c r="E10" s="27">
        <v>294</v>
      </c>
    </row>
    <row r="11" spans="1:5" ht="24.95" customHeight="1" x14ac:dyDescent="0.25">
      <c r="A11" s="23"/>
      <c r="B11" s="23"/>
      <c r="C11" s="23"/>
      <c r="D11" s="23"/>
      <c r="E11" s="23"/>
    </row>
    <row r="12" spans="1:5" ht="24.95" customHeight="1" x14ac:dyDescent="0.25">
      <c r="A12" s="28"/>
      <c r="B12" s="186" t="s">
        <v>1410</v>
      </c>
      <c r="C12" s="186">
        <v>41701</v>
      </c>
      <c r="D12" s="186">
        <v>21231</v>
      </c>
      <c r="E12" s="186">
        <v>20470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Kengtung District, Minekat Township"/>
  </hyperlinks>
  <pageMargins left="0.75" right="0.5" top="0.5" bottom="0.25" header="0.3" footer="0.3"/>
  <pageSetup paperSize="9" orientation="portrait" horizontalDpi="1200" verticalDpi="12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opLeftCell="A16" workbookViewId="0">
      <selection activeCell="H29" sqref="H29"/>
    </sheetView>
  </sheetViews>
  <sheetFormatPr defaultRowHeight="15" x14ac:dyDescent="0.25"/>
  <cols>
    <col min="2" max="2" width="20.85546875" customWidth="1"/>
    <col min="3" max="5" width="15.7109375" customWidth="1"/>
  </cols>
  <sheetData>
    <row r="1" spans="1:5" ht="18.75" x14ac:dyDescent="0.3">
      <c r="A1" s="180" t="s">
        <v>1409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12.75" customHeight="1" x14ac:dyDescent="0.25">
      <c r="A3" s="20"/>
      <c r="B3" s="20"/>
      <c r="C3" s="20"/>
      <c r="D3" s="20"/>
      <c r="E3" s="20"/>
    </row>
    <row r="4" spans="1:5" ht="15.75" x14ac:dyDescent="0.25">
      <c r="A4" s="173" t="s">
        <v>1339</v>
      </c>
      <c r="B4" s="181" t="s">
        <v>1422</v>
      </c>
      <c r="C4" s="174" t="s">
        <v>1340</v>
      </c>
      <c r="D4" s="175"/>
      <c r="E4" s="176"/>
    </row>
    <row r="5" spans="1:5" ht="15.75" x14ac:dyDescent="0.25">
      <c r="A5" s="181"/>
      <c r="B5" s="182"/>
      <c r="C5" s="65" t="s">
        <v>0</v>
      </c>
      <c r="D5" s="65" t="s">
        <v>1</v>
      </c>
      <c r="E5" s="65" t="s">
        <v>2</v>
      </c>
    </row>
    <row r="6" spans="1:5" ht="25.5" customHeight="1" x14ac:dyDescent="0.25">
      <c r="A6" s="48"/>
      <c r="B6" s="26" t="s">
        <v>0</v>
      </c>
      <c r="C6" s="26">
        <v>52591</v>
      </c>
      <c r="D6" s="26">
        <v>26980</v>
      </c>
      <c r="E6" s="26">
        <v>25611</v>
      </c>
    </row>
    <row r="7" spans="1:5" ht="6.75" customHeight="1" x14ac:dyDescent="0.25">
      <c r="A7" s="23"/>
      <c r="B7" s="24"/>
      <c r="C7" s="24"/>
      <c r="D7" s="24"/>
      <c r="E7" s="24"/>
    </row>
    <row r="8" spans="1:5" ht="15.75" x14ac:dyDescent="0.25">
      <c r="A8" s="23"/>
      <c r="B8" s="24" t="s">
        <v>1338</v>
      </c>
      <c r="C8" s="24">
        <f>SUM(C9:C19)</f>
        <v>4966</v>
      </c>
      <c r="D8" s="24">
        <f t="shared" ref="D8:E8" si="0">SUM(D9:D19)</f>
        <v>2761</v>
      </c>
      <c r="E8" s="24">
        <f t="shared" si="0"/>
        <v>2205</v>
      </c>
    </row>
    <row r="9" spans="1:5" ht="21.95" customHeight="1" x14ac:dyDescent="0.25">
      <c r="A9" s="23">
        <v>1</v>
      </c>
      <c r="B9" s="27" t="s">
        <v>1215</v>
      </c>
      <c r="C9" s="27">
        <v>445</v>
      </c>
      <c r="D9" s="27">
        <v>229</v>
      </c>
      <c r="E9" s="27">
        <v>216</v>
      </c>
    </row>
    <row r="10" spans="1:5" ht="21.95" customHeight="1" x14ac:dyDescent="0.25">
      <c r="A10" s="23">
        <v>2</v>
      </c>
      <c r="B10" s="27" t="s">
        <v>1216</v>
      </c>
      <c r="C10" s="27">
        <v>470</v>
      </c>
      <c r="D10" s="27">
        <v>240</v>
      </c>
      <c r="E10" s="27">
        <v>230</v>
      </c>
    </row>
    <row r="11" spans="1:5" ht="21.95" customHeight="1" x14ac:dyDescent="0.25">
      <c r="A11" s="23">
        <v>3</v>
      </c>
      <c r="B11" s="27" t="s">
        <v>1217</v>
      </c>
      <c r="C11" s="27">
        <v>155</v>
      </c>
      <c r="D11" s="27">
        <v>86</v>
      </c>
      <c r="E11" s="27">
        <v>69</v>
      </c>
    </row>
    <row r="12" spans="1:5" ht="21.95" customHeight="1" x14ac:dyDescent="0.25">
      <c r="A12" s="23">
        <v>4</v>
      </c>
      <c r="B12" s="27" t="s">
        <v>184</v>
      </c>
      <c r="C12" s="27">
        <v>811</v>
      </c>
      <c r="D12" s="27">
        <v>454</v>
      </c>
      <c r="E12" s="27">
        <v>357</v>
      </c>
    </row>
    <row r="13" spans="1:5" ht="21.95" customHeight="1" x14ac:dyDescent="0.25">
      <c r="A13" s="23">
        <v>5</v>
      </c>
      <c r="B13" s="27" t="s">
        <v>1218</v>
      </c>
      <c r="C13" s="27">
        <v>529</v>
      </c>
      <c r="D13" s="27">
        <v>313</v>
      </c>
      <c r="E13" s="27">
        <v>216</v>
      </c>
    </row>
    <row r="14" spans="1:5" ht="21.95" customHeight="1" x14ac:dyDescent="0.25">
      <c r="A14" s="23">
        <v>6</v>
      </c>
      <c r="B14" s="27" t="s">
        <v>1219</v>
      </c>
      <c r="C14" s="27">
        <v>233</v>
      </c>
      <c r="D14" s="27">
        <v>117</v>
      </c>
      <c r="E14" s="27">
        <v>116</v>
      </c>
    </row>
    <row r="15" spans="1:5" ht="21.95" customHeight="1" x14ac:dyDescent="0.25">
      <c r="A15" s="23">
        <v>7</v>
      </c>
      <c r="B15" s="27" t="s">
        <v>1220</v>
      </c>
      <c r="C15" s="27">
        <v>1075</v>
      </c>
      <c r="D15" s="27">
        <v>677</v>
      </c>
      <c r="E15" s="27">
        <v>398</v>
      </c>
    </row>
    <row r="16" spans="1:5" ht="21.95" customHeight="1" x14ac:dyDescent="0.25">
      <c r="A16" s="23">
        <v>8</v>
      </c>
      <c r="B16" s="27" t="s">
        <v>1221</v>
      </c>
      <c r="C16" s="27">
        <v>171</v>
      </c>
      <c r="D16" s="27">
        <v>87</v>
      </c>
      <c r="E16" s="27">
        <v>84</v>
      </c>
    </row>
    <row r="17" spans="1:5" ht="21.95" customHeight="1" x14ac:dyDescent="0.25">
      <c r="A17" s="23">
        <v>9</v>
      </c>
      <c r="B17" s="27" t="s">
        <v>1222</v>
      </c>
      <c r="C17" s="27">
        <v>799</v>
      </c>
      <c r="D17" s="27">
        <v>422</v>
      </c>
      <c r="E17" s="27">
        <v>377</v>
      </c>
    </row>
    <row r="18" spans="1:5" ht="21.95" customHeight="1" x14ac:dyDescent="0.25">
      <c r="A18" s="23">
        <v>10</v>
      </c>
      <c r="B18" s="27" t="s">
        <v>1223</v>
      </c>
      <c r="C18" s="27">
        <v>156</v>
      </c>
      <c r="D18" s="27">
        <v>79</v>
      </c>
      <c r="E18" s="27">
        <v>77</v>
      </c>
    </row>
    <row r="19" spans="1:5" ht="21.95" customHeight="1" x14ac:dyDescent="0.25">
      <c r="A19" s="23">
        <v>11</v>
      </c>
      <c r="B19" s="27" t="s">
        <v>1224</v>
      </c>
      <c r="C19" s="27">
        <v>122</v>
      </c>
      <c r="D19" s="27">
        <v>57</v>
      </c>
      <c r="E19" s="27">
        <v>65</v>
      </c>
    </row>
    <row r="20" spans="1:5" ht="21.95" customHeight="1" x14ac:dyDescent="0.25">
      <c r="A20" s="28"/>
      <c r="B20" s="186" t="s">
        <v>1410</v>
      </c>
      <c r="C20" s="186">
        <v>47625</v>
      </c>
      <c r="D20" s="186">
        <v>24219</v>
      </c>
      <c r="E20" s="186">
        <v>23406</v>
      </c>
    </row>
    <row r="21" spans="1:5" ht="21.95" customHeight="1" x14ac:dyDescent="0.25"/>
  </sheetData>
  <mergeCells count="4">
    <mergeCell ref="A1:E1"/>
    <mergeCell ref="A4:A5"/>
    <mergeCell ref="B4:B5"/>
    <mergeCell ref="C4:E4"/>
  </mergeCells>
  <hyperlinks>
    <hyperlink ref="A1:E1" location="'Link of Township'!A1" display="Shan State, Kengtung District,   Mineyan Township"/>
  </hyperlinks>
  <pageMargins left="0.75" right="0.5" top="0.5" bottom="0.25" header="0.3" footer="0.3"/>
  <pageSetup paperSize="9" orientation="portrait" horizontalDpi="1200" verticalDpi="12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I16" sqref="I16"/>
    </sheetView>
  </sheetViews>
  <sheetFormatPr defaultRowHeight="15" x14ac:dyDescent="0.25"/>
  <cols>
    <col min="2" max="2" width="30.7109375" customWidth="1"/>
    <col min="3" max="5" width="15.7109375" customWidth="1"/>
  </cols>
  <sheetData>
    <row r="1" spans="1:5" ht="18.75" x14ac:dyDescent="0.3">
      <c r="A1" s="180" t="s">
        <v>1402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8.25" customHeight="1" x14ac:dyDescent="0.25">
      <c r="A3" s="20"/>
      <c r="B3" s="20"/>
      <c r="C3" s="20"/>
      <c r="D3" s="20"/>
      <c r="E3" s="20"/>
    </row>
    <row r="4" spans="1:5" ht="15.75" x14ac:dyDescent="0.25">
      <c r="A4" s="173" t="s">
        <v>1339</v>
      </c>
      <c r="B4" s="181" t="s">
        <v>1422</v>
      </c>
      <c r="C4" s="174" t="s">
        <v>1340</v>
      </c>
      <c r="D4" s="175"/>
      <c r="E4" s="176"/>
    </row>
    <row r="5" spans="1:5" ht="15.75" x14ac:dyDescent="0.25">
      <c r="A5" s="181"/>
      <c r="B5" s="182"/>
      <c r="C5" s="65" t="s">
        <v>0</v>
      </c>
      <c r="D5" s="65" t="s">
        <v>1</v>
      </c>
      <c r="E5" s="65" t="s">
        <v>2</v>
      </c>
    </row>
    <row r="6" spans="1:5" ht="24.95" customHeight="1" x14ac:dyDescent="0.25">
      <c r="A6" s="48"/>
      <c r="B6" s="26" t="s">
        <v>0</v>
      </c>
      <c r="C6" s="26">
        <v>43068</v>
      </c>
      <c r="D6" s="26">
        <v>22266</v>
      </c>
      <c r="E6" s="26">
        <v>20802</v>
      </c>
    </row>
    <row r="7" spans="1:5" ht="11.25" customHeight="1" x14ac:dyDescent="0.25">
      <c r="A7" s="23"/>
      <c r="B7" s="24"/>
      <c r="C7" s="24"/>
      <c r="D7" s="24"/>
      <c r="E7" s="24"/>
    </row>
    <row r="8" spans="1:5" ht="24.95" customHeight="1" x14ac:dyDescent="0.25">
      <c r="A8" s="23"/>
      <c r="B8" s="24" t="s">
        <v>1338</v>
      </c>
      <c r="C8" s="24">
        <f>SUM(C9:C10)</f>
        <v>20453</v>
      </c>
      <c r="D8" s="24">
        <f t="shared" ref="D8:E8" si="0">SUM(D9:D10)</f>
        <v>11028</v>
      </c>
      <c r="E8" s="24">
        <f t="shared" si="0"/>
        <v>9425</v>
      </c>
    </row>
    <row r="9" spans="1:5" ht="24.95" customHeight="1" x14ac:dyDescent="0.25">
      <c r="A9" s="23">
        <v>1</v>
      </c>
      <c r="B9" s="27" t="s">
        <v>1226</v>
      </c>
      <c r="C9" s="27">
        <v>18982</v>
      </c>
      <c r="D9" s="27">
        <v>10254</v>
      </c>
      <c r="E9" s="27">
        <v>8728</v>
      </c>
    </row>
    <row r="10" spans="1:5" ht="24.95" customHeight="1" x14ac:dyDescent="0.25">
      <c r="A10" s="23">
        <v>2</v>
      </c>
      <c r="B10" s="27" t="s">
        <v>1227</v>
      </c>
      <c r="C10" s="27">
        <v>1471</v>
      </c>
      <c r="D10" s="27">
        <v>774</v>
      </c>
      <c r="E10" s="27">
        <v>697</v>
      </c>
    </row>
    <row r="11" spans="1:5" ht="24.95" customHeight="1" x14ac:dyDescent="0.25">
      <c r="A11" s="23"/>
      <c r="B11" s="23"/>
      <c r="C11" s="23"/>
      <c r="D11" s="23"/>
      <c r="E11" s="23"/>
    </row>
    <row r="12" spans="1:5" ht="24.95" customHeight="1" x14ac:dyDescent="0.25">
      <c r="A12" s="28"/>
      <c r="B12" s="186" t="s">
        <v>1410</v>
      </c>
      <c r="C12" s="186">
        <v>22615</v>
      </c>
      <c r="D12" s="186">
        <v>11238</v>
      </c>
      <c r="E12" s="186">
        <v>11377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Kengtung District, Minelar Township"/>
  </hyperlinks>
  <pageMargins left="0.75" right="0.5" top="0.5" bottom="0.25" header="0.3" footer="0.3"/>
  <pageSetup paperSize="9" orientation="portrait" horizontalDpi="1200" verticalDpi="12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D19" sqref="D19"/>
    </sheetView>
  </sheetViews>
  <sheetFormatPr defaultRowHeight="15" x14ac:dyDescent="0.25"/>
  <cols>
    <col min="2" max="2" width="30.85546875" customWidth="1"/>
    <col min="3" max="5" width="15.7109375" customWidth="1"/>
  </cols>
  <sheetData>
    <row r="1" spans="1:5" ht="18.75" x14ac:dyDescent="0.3">
      <c r="A1" s="180" t="s">
        <v>1403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8.25" customHeight="1" x14ac:dyDescent="0.25">
      <c r="A3" s="20"/>
      <c r="B3" s="20"/>
      <c r="C3" s="20"/>
      <c r="D3" s="20"/>
      <c r="E3" s="20"/>
    </row>
    <row r="4" spans="1:5" ht="15.75" x14ac:dyDescent="0.25">
      <c r="A4" s="173" t="s">
        <v>1339</v>
      </c>
      <c r="B4" s="181" t="s">
        <v>1422</v>
      </c>
      <c r="C4" s="174" t="s">
        <v>1340</v>
      </c>
      <c r="D4" s="175"/>
      <c r="E4" s="176"/>
    </row>
    <row r="5" spans="1:5" ht="15.75" x14ac:dyDescent="0.25">
      <c r="A5" s="181"/>
      <c r="B5" s="182"/>
      <c r="C5" s="65" t="s">
        <v>0</v>
      </c>
      <c r="D5" s="65" t="s">
        <v>1</v>
      </c>
      <c r="E5" s="65" t="s">
        <v>2</v>
      </c>
    </row>
    <row r="6" spans="1:5" s="189" customFormat="1" ht="27" customHeight="1" x14ac:dyDescent="0.25">
      <c r="A6" s="187"/>
      <c r="B6" s="188" t="s">
        <v>0</v>
      </c>
      <c r="C6" s="188">
        <v>55054</v>
      </c>
      <c r="D6" s="188">
        <v>28095</v>
      </c>
      <c r="E6" s="188">
        <v>26959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Kengtung District, Mine Pauk(Sub-Township)"/>
  </hyperlinks>
  <pageMargins left="0.75" right="0.5" top="0.5" bottom="0.25" header="0.3" footer="0.3"/>
  <pageSetup paperSize="9" orientation="portrait" horizontalDpi="1200" verticalDpi="12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sqref="A1:E1"/>
    </sheetView>
  </sheetViews>
  <sheetFormatPr defaultRowHeight="15" x14ac:dyDescent="0.25"/>
  <cols>
    <col min="2" max="2" width="21.5703125" customWidth="1"/>
    <col min="3" max="5" width="15.7109375" customWidth="1"/>
  </cols>
  <sheetData>
    <row r="1" spans="1:5" ht="18.75" x14ac:dyDescent="0.3">
      <c r="A1" s="180" t="s">
        <v>1404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9.75" customHeight="1" x14ac:dyDescent="0.25">
      <c r="A3" s="20"/>
      <c r="B3" s="20"/>
      <c r="C3" s="20"/>
      <c r="D3" s="20"/>
      <c r="E3" s="20"/>
    </row>
    <row r="4" spans="1:5" ht="15.75" x14ac:dyDescent="0.25">
      <c r="A4" s="173" t="s">
        <v>1339</v>
      </c>
      <c r="B4" s="181" t="s">
        <v>1422</v>
      </c>
      <c r="C4" s="174" t="s">
        <v>1340</v>
      </c>
      <c r="D4" s="175"/>
      <c r="E4" s="176"/>
    </row>
    <row r="5" spans="1:5" ht="15.75" x14ac:dyDescent="0.25">
      <c r="A5" s="181"/>
      <c r="B5" s="182"/>
      <c r="C5" s="65" t="s">
        <v>0</v>
      </c>
      <c r="D5" s="65" t="s">
        <v>1</v>
      </c>
      <c r="E5" s="65" t="s">
        <v>2</v>
      </c>
    </row>
    <row r="6" spans="1:5" ht="25.5" customHeight="1" x14ac:dyDescent="0.25">
      <c r="A6" s="48"/>
      <c r="B6" s="26" t="s">
        <v>0</v>
      </c>
      <c r="C6" s="26">
        <v>86553</v>
      </c>
      <c r="D6" s="26">
        <v>45731</v>
      </c>
      <c r="E6" s="26">
        <v>40822</v>
      </c>
    </row>
    <row r="7" spans="1:5" ht="9" customHeight="1" x14ac:dyDescent="0.25">
      <c r="A7" s="23"/>
      <c r="B7" s="24"/>
      <c r="C7" s="24"/>
      <c r="D7" s="24"/>
      <c r="E7" s="24"/>
    </row>
    <row r="8" spans="1:5" ht="15.75" x14ac:dyDescent="0.25">
      <c r="A8" s="23"/>
      <c r="B8" s="24" t="s">
        <v>1338</v>
      </c>
      <c r="C8" s="24">
        <f>SUM(C9:C11)</f>
        <v>8004</v>
      </c>
      <c r="D8" s="24">
        <f t="shared" ref="D8:E8" si="0">SUM(D9:D11)</f>
        <v>4449</v>
      </c>
      <c r="E8" s="24">
        <f t="shared" si="0"/>
        <v>3555</v>
      </c>
    </row>
    <row r="9" spans="1:5" ht="21.95" customHeight="1" x14ac:dyDescent="0.25">
      <c r="A9" s="23">
        <v>1</v>
      </c>
      <c r="B9" s="27" t="s">
        <v>1229</v>
      </c>
      <c r="C9" s="27">
        <v>3508</v>
      </c>
      <c r="D9" s="27">
        <v>1779</v>
      </c>
      <c r="E9" s="27">
        <v>1729</v>
      </c>
    </row>
    <row r="10" spans="1:5" ht="21.95" customHeight="1" x14ac:dyDescent="0.25">
      <c r="A10" s="23">
        <v>2</v>
      </c>
      <c r="B10" s="27" t="s">
        <v>1230</v>
      </c>
      <c r="C10" s="27">
        <v>3238</v>
      </c>
      <c r="D10" s="27">
        <v>1927</v>
      </c>
      <c r="E10" s="27">
        <v>1311</v>
      </c>
    </row>
    <row r="11" spans="1:5" ht="21.95" customHeight="1" x14ac:dyDescent="0.25">
      <c r="A11" s="23">
        <v>3</v>
      </c>
      <c r="B11" s="27" t="s">
        <v>1231</v>
      </c>
      <c r="C11" s="27">
        <v>1258</v>
      </c>
      <c r="D11" s="27">
        <v>743</v>
      </c>
      <c r="E11" s="27">
        <v>515</v>
      </c>
    </row>
    <row r="12" spans="1:5" ht="21.95" customHeight="1" x14ac:dyDescent="0.25">
      <c r="A12" s="23"/>
      <c r="B12" s="24" t="s">
        <v>1410</v>
      </c>
      <c r="C12" s="24">
        <f>SUM(C13:C35)</f>
        <v>78549</v>
      </c>
      <c r="D12" s="24">
        <f t="shared" ref="D12:E12" si="1">SUM(D13:D35)</f>
        <v>41282</v>
      </c>
      <c r="E12" s="24">
        <f t="shared" si="1"/>
        <v>37267</v>
      </c>
    </row>
    <row r="13" spans="1:5" ht="21.95" customHeight="1" x14ac:dyDescent="0.25">
      <c r="A13" s="23">
        <v>1</v>
      </c>
      <c r="B13" s="27" t="s">
        <v>1232</v>
      </c>
      <c r="C13" s="27">
        <v>1975</v>
      </c>
      <c r="D13" s="27">
        <v>1003</v>
      </c>
      <c r="E13" s="27">
        <v>972</v>
      </c>
    </row>
    <row r="14" spans="1:5" ht="21.95" customHeight="1" x14ac:dyDescent="0.25">
      <c r="A14" s="23">
        <v>2</v>
      </c>
      <c r="B14" s="27" t="s">
        <v>1233</v>
      </c>
      <c r="C14" s="27">
        <v>7113</v>
      </c>
      <c r="D14" s="27">
        <v>3802</v>
      </c>
      <c r="E14" s="27">
        <v>3311</v>
      </c>
    </row>
    <row r="15" spans="1:5" ht="21.95" customHeight="1" x14ac:dyDescent="0.25">
      <c r="A15" s="23">
        <v>3</v>
      </c>
      <c r="B15" s="27" t="s">
        <v>1234</v>
      </c>
      <c r="C15" s="27">
        <v>2104</v>
      </c>
      <c r="D15" s="27">
        <v>1110</v>
      </c>
      <c r="E15" s="27">
        <v>994</v>
      </c>
    </row>
    <row r="16" spans="1:5" ht="21.95" customHeight="1" x14ac:dyDescent="0.25">
      <c r="A16" s="23">
        <v>4</v>
      </c>
      <c r="B16" s="27" t="s">
        <v>1235</v>
      </c>
      <c r="C16" s="27">
        <v>1820</v>
      </c>
      <c r="D16" s="27">
        <v>1020</v>
      </c>
      <c r="E16" s="27">
        <v>800</v>
      </c>
    </row>
    <row r="17" spans="1:5" ht="21.95" customHeight="1" x14ac:dyDescent="0.25">
      <c r="A17" s="23">
        <v>5</v>
      </c>
      <c r="B17" s="27" t="s">
        <v>558</v>
      </c>
      <c r="C17" s="27">
        <v>462</v>
      </c>
      <c r="D17" s="27">
        <v>220</v>
      </c>
      <c r="E17" s="27">
        <v>242</v>
      </c>
    </row>
    <row r="18" spans="1:5" ht="21.95" customHeight="1" x14ac:dyDescent="0.25">
      <c r="A18" s="23">
        <v>6</v>
      </c>
      <c r="B18" s="27" t="s">
        <v>992</v>
      </c>
      <c r="C18" s="27">
        <v>1324</v>
      </c>
      <c r="D18" s="27">
        <v>663</v>
      </c>
      <c r="E18" s="27">
        <v>661</v>
      </c>
    </row>
    <row r="19" spans="1:5" ht="21.95" customHeight="1" x14ac:dyDescent="0.25">
      <c r="A19" s="23">
        <v>7</v>
      </c>
      <c r="B19" s="27" t="s">
        <v>1236</v>
      </c>
      <c r="C19" s="27">
        <v>623</v>
      </c>
      <c r="D19" s="27">
        <v>348</v>
      </c>
      <c r="E19" s="27">
        <v>275</v>
      </c>
    </row>
    <row r="20" spans="1:5" ht="21.95" customHeight="1" x14ac:dyDescent="0.25">
      <c r="A20" s="23">
        <v>8</v>
      </c>
      <c r="B20" s="27" t="s">
        <v>1237</v>
      </c>
      <c r="C20" s="27">
        <v>1935</v>
      </c>
      <c r="D20" s="27">
        <v>1033</v>
      </c>
      <c r="E20" s="27">
        <v>902</v>
      </c>
    </row>
    <row r="21" spans="1:5" ht="21.95" customHeight="1" x14ac:dyDescent="0.25">
      <c r="A21" s="23">
        <v>9</v>
      </c>
      <c r="B21" s="27" t="s">
        <v>1238</v>
      </c>
      <c r="C21" s="27">
        <v>1258</v>
      </c>
      <c r="D21" s="27">
        <v>670</v>
      </c>
      <c r="E21" s="27">
        <v>588</v>
      </c>
    </row>
    <row r="22" spans="1:5" ht="21.95" customHeight="1" x14ac:dyDescent="0.25">
      <c r="A22" s="23">
        <v>10</v>
      </c>
      <c r="B22" s="27" t="s">
        <v>1239</v>
      </c>
      <c r="C22" s="27">
        <v>7453</v>
      </c>
      <c r="D22" s="27">
        <v>3921</v>
      </c>
      <c r="E22" s="27">
        <v>3532</v>
      </c>
    </row>
    <row r="23" spans="1:5" ht="21.95" customHeight="1" x14ac:dyDescent="0.25">
      <c r="A23" s="23">
        <v>11</v>
      </c>
      <c r="B23" s="27" t="s">
        <v>1240</v>
      </c>
      <c r="C23" s="27">
        <v>2017</v>
      </c>
      <c r="D23" s="27">
        <v>1050</v>
      </c>
      <c r="E23" s="27">
        <v>967</v>
      </c>
    </row>
    <row r="24" spans="1:5" ht="21.95" customHeight="1" x14ac:dyDescent="0.25">
      <c r="A24" s="23">
        <v>12</v>
      </c>
      <c r="B24" s="27" t="s">
        <v>1241</v>
      </c>
      <c r="C24" s="27">
        <v>1193</v>
      </c>
      <c r="D24" s="27">
        <v>678</v>
      </c>
      <c r="E24" s="27">
        <v>515</v>
      </c>
    </row>
    <row r="25" spans="1:5" ht="21.95" customHeight="1" x14ac:dyDescent="0.25">
      <c r="A25" s="23">
        <v>13</v>
      </c>
      <c r="B25" s="27" t="s">
        <v>364</v>
      </c>
      <c r="C25" s="27">
        <v>788</v>
      </c>
      <c r="D25" s="27">
        <v>472</v>
      </c>
      <c r="E25" s="27">
        <v>316</v>
      </c>
    </row>
    <row r="26" spans="1:5" ht="21.95" customHeight="1" x14ac:dyDescent="0.25">
      <c r="A26" s="23">
        <v>14</v>
      </c>
      <c r="B26" s="27" t="s">
        <v>1242</v>
      </c>
      <c r="C26" s="27">
        <v>1024</v>
      </c>
      <c r="D26" s="27">
        <v>602</v>
      </c>
      <c r="E26" s="27">
        <v>422</v>
      </c>
    </row>
    <row r="27" spans="1:5" ht="21.95" customHeight="1" x14ac:dyDescent="0.25">
      <c r="A27" s="23">
        <v>15</v>
      </c>
      <c r="B27" s="27" t="s">
        <v>1243</v>
      </c>
      <c r="C27" s="27">
        <v>335</v>
      </c>
      <c r="D27" s="27">
        <v>202</v>
      </c>
      <c r="E27" s="27">
        <v>133</v>
      </c>
    </row>
    <row r="28" spans="1:5" ht="21.95" customHeight="1" x14ac:dyDescent="0.25">
      <c r="A28" s="23">
        <v>16</v>
      </c>
      <c r="B28" s="27" t="s">
        <v>1244</v>
      </c>
      <c r="C28" s="27">
        <v>227</v>
      </c>
      <c r="D28" s="27">
        <v>124</v>
      </c>
      <c r="E28" s="27">
        <v>103</v>
      </c>
    </row>
    <row r="29" spans="1:5" ht="21.95" customHeight="1" x14ac:dyDescent="0.25">
      <c r="A29" s="23">
        <v>17</v>
      </c>
      <c r="B29" s="27" t="s">
        <v>1245</v>
      </c>
      <c r="C29" s="27">
        <v>369</v>
      </c>
      <c r="D29" s="27">
        <v>195</v>
      </c>
      <c r="E29" s="27">
        <v>174</v>
      </c>
    </row>
    <row r="30" spans="1:5" ht="21.95" customHeight="1" x14ac:dyDescent="0.25">
      <c r="A30" s="23">
        <v>18</v>
      </c>
      <c r="B30" s="27" t="s">
        <v>1246</v>
      </c>
      <c r="C30" s="27">
        <v>871</v>
      </c>
      <c r="D30" s="27">
        <v>479</v>
      </c>
      <c r="E30" s="27">
        <v>392</v>
      </c>
    </row>
    <row r="31" spans="1:5" ht="21.95" customHeight="1" x14ac:dyDescent="0.25">
      <c r="A31" s="23">
        <v>19</v>
      </c>
      <c r="B31" s="27" t="s">
        <v>1247</v>
      </c>
      <c r="C31" s="27">
        <v>188</v>
      </c>
      <c r="D31" s="27">
        <v>101</v>
      </c>
      <c r="E31" s="27">
        <v>87</v>
      </c>
    </row>
    <row r="32" spans="1:5" ht="21.95" customHeight="1" x14ac:dyDescent="0.25">
      <c r="A32" s="23">
        <v>20</v>
      </c>
      <c r="B32" s="27" t="s">
        <v>992</v>
      </c>
      <c r="C32" s="27">
        <v>17140</v>
      </c>
      <c r="D32" s="27">
        <v>8932</v>
      </c>
      <c r="E32" s="27">
        <v>8208</v>
      </c>
    </row>
    <row r="33" spans="1:5" ht="21.95" customHeight="1" x14ac:dyDescent="0.25">
      <c r="A33" s="23">
        <v>21</v>
      </c>
      <c r="B33" s="27" t="s">
        <v>1248</v>
      </c>
      <c r="C33" s="27">
        <v>5689</v>
      </c>
      <c r="D33" s="27">
        <v>2961</v>
      </c>
      <c r="E33" s="27">
        <v>2728</v>
      </c>
    </row>
    <row r="34" spans="1:5" ht="21.95" customHeight="1" x14ac:dyDescent="0.25">
      <c r="A34" s="23">
        <v>22</v>
      </c>
      <c r="B34" s="27" t="s">
        <v>1240</v>
      </c>
      <c r="C34" s="27">
        <v>4425</v>
      </c>
      <c r="D34" s="27">
        <v>2337</v>
      </c>
      <c r="E34" s="27">
        <v>2088</v>
      </c>
    </row>
    <row r="35" spans="1:5" ht="21.95" customHeight="1" x14ac:dyDescent="0.25">
      <c r="A35" s="28">
        <v>23</v>
      </c>
      <c r="B35" s="29" t="s">
        <v>1249</v>
      </c>
      <c r="C35" s="29">
        <v>18216</v>
      </c>
      <c r="D35" s="29">
        <v>9359</v>
      </c>
      <c r="E35" s="29">
        <v>8857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Minesat District, Minesat Township"/>
  </hyperlinks>
  <pageMargins left="0.75" right="0.5" top="0.5" bottom="0.25" header="0.3" footer="0.3"/>
  <pageSetup paperSize="9" orientation="portrait" horizontalDpi="1200" verticalDpi="12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sqref="A1:E1"/>
    </sheetView>
  </sheetViews>
  <sheetFormatPr defaultRowHeight="15" x14ac:dyDescent="0.25"/>
  <cols>
    <col min="2" max="2" width="22.140625" customWidth="1"/>
    <col min="3" max="5" width="15.7109375" customWidth="1"/>
  </cols>
  <sheetData>
    <row r="1" spans="1:5" ht="18.75" x14ac:dyDescent="0.3">
      <c r="A1" s="180" t="s">
        <v>1405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10.5" customHeight="1" x14ac:dyDescent="0.25">
      <c r="A3" s="20"/>
      <c r="B3" s="20"/>
      <c r="C3" s="20"/>
      <c r="D3" s="20"/>
      <c r="E3" s="20"/>
    </row>
    <row r="4" spans="1:5" ht="15.75" x14ac:dyDescent="0.25">
      <c r="A4" s="173" t="s">
        <v>1339</v>
      </c>
      <c r="B4" s="181" t="s">
        <v>1422</v>
      </c>
      <c r="C4" s="174" t="s">
        <v>1340</v>
      </c>
      <c r="D4" s="175"/>
      <c r="E4" s="176"/>
    </row>
    <row r="5" spans="1:5" ht="15.75" x14ac:dyDescent="0.25">
      <c r="A5" s="181"/>
      <c r="B5" s="182"/>
      <c r="C5" s="65" t="s">
        <v>0</v>
      </c>
      <c r="D5" s="65" t="s">
        <v>1</v>
      </c>
      <c r="E5" s="65" t="s">
        <v>2</v>
      </c>
    </row>
    <row r="6" spans="1:5" ht="26.25" customHeight="1" x14ac:dyDescent="0.25">
      <c r="A6" s="48"/>
      <c r="B6" s="26" t="s">
        <v>0</v>
      </c>
      <c r="C6" s="26">
        <v>54149</v>
      </c>
      <c r="D6" s="26">
        <v>27430</v>
      </c>
      <c r="E6" s="26">
        <v>26719</v>
      </c>
    </row>
    <row r="7" spans="1:5" ht="14.25" customHeight="1" x14ac:dyDescent="0.25">
      <c r="A7" s="23"/>
      <c r="B7" s="24"/>
      <c r="C7" s="24"/>
      <c r="D7" s="24"/>
      <c r="E7" s="24"/>
    </row>
    <row r="8" spans="1:5" ht="15.75" x14ac:dyDescent="0.25">
      <c r="A8" s="23"/>
      <c r="B8" s="24" t="s">
        <v>1338</v>
      </c>
      <c r="C8" s="24">
        <f>SUM(C9:C11)</f>
        <v>6841</v>
      </c>
      <c r="D8" s="24">
        <f t="shared" ref="D8:E8" si="0">SUM(D9:D11)</f>
        <v>3596</v>
      </c>
      <c r="E8" s="24">
        <f t="shared" si="0"/>
        <v>3245</v>
      </c>
    </row>
    <row r="9" spans="1:5" ht="24.95" customHeight="1" x14ac:dyDescent="0.25">
      <c r="A9" s="23">
        <v>1</v>
      </c>
      <c r="B9" s="27" t="s">
        <v>1250</v>
      </c>
      <c r="C9" s="27">
        <v>3331</v>
      </c>
      <c r="D9" s="27">
        <v>1723</v>
      </c>
      <c r="E9" s="27">
        <v>1608</v>
      </c>
    </row>
    <row r="10" spans="1:5" ht="24.95" customHeight="1" x14ac:dyDescent="0.25">
      <c r="A10" s="23">
        <v>2</v>
      </c>
      <c r="B10" s="27" t="s">
        <v>1251</v>
      </c>
      <c r="C10" s="27">
        <v>2314</v>
      </c>
      <c r="D10" s="27">
        <v>1283</v>
      </c>
      <c r="E10" s="27">
        <v>1031</v>
      </c>
    </row>
    <row r="11" spans="1:5" ht="24.95" customHeight="1" x14ac:dyDescent="0.25">
      <c r="A11" s="23">
        <v>3</v>
      </c>
      <c r="B11" s="27" t="s">
        <v>1252</v>
      </c>
      <c r="C11" s="27">
        <v>1196</v>
      </c>
      <c r="D11" s="27">
        <v>590</v>
      </c>
      <c r="E11" s="27">
        <v>606</v>
      </c>
    </row>
    <row r="12" spans="1:5" ht="24.95" customHeight="1" x14ac:dyDescent="0.25">
      <c r="A12" s="23"/>
      <c r="B12" s="24" t="s">
        <v>1410</v>
      </c>
      <c r="C12" s="24">
        <f>SUM(C13:C29)</f>
        <v>47308</v>
      </c>
      <c r="D12" s="24">
        <f t="shared" ref="D12:E12" si="1">SUM(D13:D29)</f>
        <v>23834</v>
      </c>
      <c r="E12" s="24">
        <f t="shared" si="1"/>
        <v>23474</v>
      </c>
    </row>
    <row r="13" spans="1:5" ht="24.95" customHeight="1" x14ac:dyDescent="0.25">
      <c r="A13" s="23">
        <v>1</v>
      </c>
      <c r="B13" s="27" t="s">
        <v>1253</v>
      </c>
      <c r="C13" s="27">
        <v>3352</v>
      </c>
      <c r="D13" s="27">
        <v>1675</v>
      </c>
      <c r="E13" s="27">
        <v>1677</v>
      </c>
    </row>
    <row r="14" spans="1:5" ht="24.95" customHeight="1" x14ac:dyDescent="0.25">
      <c r="A14" s="23">
        <v>2</v>
      </c>
      <c r="B14" s="27" t="s">
        <v>1094</v>
      </c>
      <c r="C14" s="27">
        <v>2033</v>
      </c>
      <c r="D14" s="27">
        <v>1031</v>
      </c>
      <c r="E14" s="27">
        <v>1002</v>
      </c>
    </row>
    <row r="15" spans="1:5" ht="24.95" customHeight="1" x14ac:dyDescent="0.25">
      <c r="A15" s="23">
        <v>3</v>
      </c>
      <c r="B15" s="27" t="s">
        <v>1254</v>
      </c>
      <c r="C15" s="27">
        <v>695</v>
      </c>
      <c r="D15" s="27">
        <v>355</v>
      </c>
      <c r="E15" s="27">
        <v>340</v>
      </c>
    </row>
    <row r="16" spans="1:5" ht="24.95" customHeight="1" x14ac:dyDescent="0.25">
      <c r="A16" s="23">
        <v>4</v>
      </c>
      <c r="B16" s="27" t="s">
        <v>1255</v>
      </c>
      <c r="C16" s="27">
        <v>2034</v>
      </c>
      <c r="D16" s="27">
        <v>985</v>
      </c>
      <c r="E16" s="27">
        <v>1049</v>
      </c>
    </row>
    <row r="17" spans="1:5" ht="24.95" customHeight="1" x14ac:dyDescent="0.25">
      <c r="A17" s="23">
        <v>5</v>
      </c>
      <c r="B17" s="27" t="s">
        <v>1256</v>
      </c>
      <c r="C17" s="27">
        <v>2575</v>
      </c>
      <c r="D17" s="27">
        <v>1269</v>
      </c>
      <c r="E17" s="27">
        <v>1306</v>
      </c>
    </row>
    <row r="18" spans="1:5" ht="24.95" customHeight="1" x14ac:dyDescent="0.25">
      <c r="A18" s="23">
        <v>6</v>
      </c>
      <c r="B18" s="27" t="s">
        <v>1257</v>
      </c>
      <c r="C18" s="27">
        <v>4662</v>
      </c>
      <c r="D18" s="27">
        <v>2388</v>
      </c>
      <c r="E18" s="27">
        <v>2274</v>
      </c>
    </row>
    <row r="19" spans="1:5" ht="24.95" customHeight="1" x14ac:dyDescent="0.25">
      <c r="A19" s="23">
        <v>7</v>
      </c>
      <c r="B19" s="27" t="s">
        <v>1258</v>
      </c>
      <c r="C19" s="27">
        <v>1930</v>
      </c>
      <c r="D19" s="27">
        <v>988</v>
      </c>
      <c r="E19" s="27">
        <v>942</v>
      </c>
    </row>
    <row r="20" spans="1:5" ht="24.95" customHeight="1" x14ac:dyDescent="0.25">
      <c r="A20" s="23">
        <v>8</v>
      </c>
      <c r="B20" s="27" t="s">
        <v>1259</v>
      </c>
      <c r="C20" s="27">
        <v>1823</v>
      </c>
      <c r="D20" s="27">
        <v>884</v>
      </c>
      <c r="E20" s="27">
        <v>939</v>
      </c>
    </row>
    <row r="21" spans="1:5" ht="24.95" customHeight="1" x14ac:dyDescent="0.25">
      <c r="A21" s="23">
        <v>9</v>
      </c>
      <c r="B21" s="27" t="s">
        <v>1260</v>
      </c>
      <c r="C21" s="27">
        <v>2248</v>
      </c>
      <c r="D21" s="27">
        <v>1137</v>
      </c>
      <c r="E21" s="27">
        <v>1111</v>
      </c>
    </row>
    <row r="22" spans="1:5" ht="24.95" customHeight="1" x14ac:dyDescent="0.25">
      <c r="A22" s="23">
        <v>10</v>
      </c>
      <c r="B22" s="27" t="s">
        <v>1261</v>
      </c>
      <c r="C22" s="27">
        <v>1293</v>
      </c>
      <c r="D22" s="27">
        <v>683</v>
      </c>
      <c r="E22" s="27">
        <v>610</v>
      </c>
    </row>
    <row r="23" spans="1:5" ht="24.95" customHeight="1" x14ac:dyDescent="0.25">
      <c r="A23" s="23">
        <v>11</v>
      </c>
      <c r="B23" s="27" t="s">
        <v>1262</v>
      </c>
      <c r="C23" s="27">
        <v>2544</v>
      </c>
      <c r="D23" s="27">
        <v>1322</v>
      </c>
      <c r="E23" s="27">
        <v>1222</v>
      </c>
    </row>
    <row r="24" spans="1:5" ht="24.95" customHeight="1" x14ac:dyDescent="0.25">
      <c r="A24" s="23">
        <v>12</v>
      </c>
      <c r="B24" s="27" t="s">
        <v>456</v>
      </c>
      <c r="C24" s="27">
        <v>5325</v>
      </c>
      <c r="D24" s="27">
        <v>2670</v>
      </c>
      <c r="E24" s="27">
        <v>2655</v>
      </c>
    </row>
    <row r="25" spans="1:5" ht="24.95" customHeight="1" x14ac:dyDescent="0.25">
      <c r="A25" s="23">
        <v>13</v>
      </c>
      <c r="B25" s="27" t="s">
        <v>486</v>
      </c>
      <c r="C25" s="27">
        <v>3401</v>
      </c>
      <c r="D25" s="27">
        <v>1717</v>
      </c>
      <c r="E25" s="27">
        <v>1684</v>
      </c>
    </row>
    <row r="26" spans="1:5" ht="24.95" customHeight="1" x14ac:dyDescent="0.25">
      <c r="A26" s="23">
        <v>14</v>
      </c>
      <c r="B26" s="27" t="s">
        <v>1263</v>
      </c>
      <c r="C26" s="27">
        <v>5120</v>
      </c>
      <c r="D26" s="27">
        <v>2537</v>
      </c>
      <c r="E26" s="27">
        <v>2583</v>
      </c>
    </row>
    <row r="27" spans="1:5" ht="24.95" customHeight="1" x14ac:dyDescent="0.25">
      <c r="A27" s="23">
        <v>15</v>
      </c>
      <c r="B27" s="27" t="s">
        <v>1264</v>
      </c>
      <c r="C27" s="27">
        <v>3529</v>
      </c>
      <c r="D27" s="27">
        <v>1850</v>
      </c>
      <c r="E27" s="27">
        <v>1679</v>
      </c>
    </row>
    <row r="28" spans="1:5" ht="24.95" customHeight="1" x14ac:dyDescent="0.25">
      <c r="A28" s="23">
        <v>16</v>
      </c>
      <c r="B28" s="27" t="s">
        <v>1265</v>
      </c>
      <c r="C28" s="27">
        <v>1758</v>
      </c>
      <c r="D28" s="27">
        <v>866</v>
      </c>
      <c r="E28" s="27">
        <v>892</v>
      </c>
    </row>
    <row r="29" spans="1:5" ht="24.95" customHeight="1" x14ac:dyDescent="0.25">
      <c r="A29" s="28">
        <v>17</v>
      </c>
      <c r="B29" s="29" t="s">
        <v>1266</v>
      </c>
      <c r="C29" s="29">
        <v>2986</v>
      </c>
      <c r="D29" s="29">
        <v>1477</v>
      </c>
      <c r="E29" s="29">
        <v>1509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Minesat  District, Minepyin Township"/>
  </hyperlinks>
  <pageMargins left="0.75" right="0.5" top="0.5" bottom="0.25" header="0.3" footer="0.3"/>
  <pageSetup paperSize="9" orientation="portrait" horizontalDpi="1200" verticalDpi="12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F20" sqref="F20"/>
    </sheetView>
  </sheetViews>
  <sheetFormatPr defaultRowHeight="15" x14ac:dyDescent="0.25"/>
  <cols>
    <col min="2" max="2" width="26.42578125" customWidth="1"/>
    <col min="3" max="5" width="15.7109375" customWidth="1"/>
  </cols>
  <sheetData>
    <row r="1" spans="1:5" ht="18.75" x14ac:dyDescent="0.3">
      <c r="A1" s="180" t="s">
        <v>1416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12" customHeight="1" x14ac:dyDescent="0.25">
      <c r="A3" s="20"/>
      <c r="B3" s="20"/>
      <c r="C3" s="20"/>
      <c r="D3" s="20"/>
      <c r="E3" s="20"/>
    </row>
    <row r="4" spans="1:5" ht="15.75" x14ac:dyDescent="0.25">
      <c r="A4" s="173" t="s">
        <v>1339</v>
      </c>
      <c r="B4" s="181" t="s">
        <v>1422</v>
      </c>
      <c r="C4" s="174" t="s">
        <v>1340</v>
      </c>
      <c r="D4" s="175"/>
      <c r="E4" s="176"/>
    </row>
    <row r="5" spans="1:5" ht="15.75" x14ac:dyDescent="0.25">
      <c r="A5" s="181"/>
      <c r="B5" s="182"/>
      <c r="C5" s="65" t="s">
        <v>0</v>
      </c>
      <c r="D5" s="65" t="s">
        <v>1</v>
      </c>
      <c r="E5" s="65" t="s">
        <v>2</v>
      </c>
    </row>
    <row r="6" spans="1:5" ht="24.95" customHeight="1" x14ac:dyDescent="0.25">
      <c r="A6" s="48"/>
      <c r="B6" s="26" t="s">
        <v>0</v>
      </c>
      <c r="C6" s="26">
        <v>21994</v>
      </c>
      <c r="D6" s="26">
        <v>12018</v>
      </c>
      <c r="E6" s="26">
        <v>9976</v>
      </c>
    </row>
    <row r="7" spans="1:5" ht="10.5" customHeight="1" x14ac:dyDescent="0.25">
      <c r="A7" s="23"/>
      <c r="B7" s="24"/>
      <c r="C7" s="24"/>
      <c r="D7" s="24"/>
      <c r="E7" s="24"/>
    </row>
    <row r="8" spans="1:5" ht="24.95" customHeight="1" x14ac:dyDescent="0.25">
      <c r="A8" s="23"/>
      <c r="B8" s="24" t="s">
        <v>1338</v>
      </c>
      <c r="C8" s="24">
        <f>SUM(C9:C11)</f>
        <v>5819</v>
      </c>
      <c r="D8" s="24">
        <f>SUM(D9:D11)</f>
        <v>3240</v>
      </c>
      <c r="E8" s="24">
        <f>SUM(E9:E11)</f>
        <v>2579</v>
      </c>
    </row>
    <row r="9" spans="1:5" ht="24.95" customHeight="1" x14ac:dyDescent="0.25">
      <c r="A9" s="23">
        <v>1</v>
      </c>
      <c r="B9" s="27" t="s">
        <v>1267</v>
      </c>
      <c r="C9" s="27">
        <v>2344</v>
      </c>
      <c r="D9" s="27">
        <v>1302</v>
      </c>
      <c r="E9" s="27">
        <v>1042</v>
      </c>
    </row>
    <row r="10" spans="1:5" ht="24.95" customHeight="1" x14ac:dyDescent="0.25">
      <c r="A10" s="23">
        <v>2</v>
      </c>
      <c r="B10" s="27" t="s">
        <v>18</v>
      </c>
      <c r="C10" s="27">
        <v>2721</v>
      </c>
      <c r="D10" s="27">
        <v>1486</v>
      </c>
      <c r="E10" s="27">
        <v>1235</v>
      </c>
    </row>
    <row r="11" spans="1:5" ht="24.95" customHeight="1" x14ac:dyDescent="0.25">
      <c r="A11" s="23">
        <v>3</v>
      </c>
      <c r="B11" s="27" t="s">
        <v>1268</v>
      </c>
      <c r="C11" s="27">
        <v>754</v>
      </c>
      <c r="D11" s="27">
        <v>452</v>
      </c>
      <c r="E11" s="27">
        <v>302</v>
      </c>
    </row>
    <row r="12" spans="1:5" ht="24.95" customHeight="1" x14ac:dyDescent="0.25">
      <c r="A12" s="28"/>
      <c r="B12" s="186" t="s">
        <v>1410</v>
      </c>
      <c r="C12" s="186">
        <v>16175</v>
      </c>
      <c r="D12" s="186">
        <v>8778</v>
      </c>
      <c r="E12" s="186">
        <v>7397</v>
      </c>
    </row>
    <row r="13" spans="1:5" ht="24.95" customHeight="1" x14ac:dyDescent="0.25"/>
  </sheetData>
  <mergeCells count="4">
    <mergeCell ref="A1:E1"/>
    <mergeCell ref="A4:A5"/>
    <mergeCell ref="B4:B5"/>
    <mergeCell ref="C4:E4"/>
  </mergeCells>
  <hyperlinks>
    <hyperlink ref="A1:E1" location="'Link of Township'!A1" display="Shan State, Minesat  District, Minetung  Township"/>
  </hyperlinks>
  <pageMargins left="0.75" right="0.5" top="0.5" bottom="0.25" header="0.3" footer="0.3"/>
  <pageSetup paperSize="9" orientation="portrait" horizontalDpi="1200" verticalDpi="12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sqref="A1:E1"/>
    </sheetView>
  </sheetViews>
  <sheetFormatPr defaultRowHeight="15" x14ac:dyDescent="0.25"/>
  <cols>
    <col min="2" max="2" width="23.7109375" customWidth="1"/>
    <col min="3" max="5" width="15.7109375" customWidth="1"/>
  </cols>
  <sheetData>
    <row r="1" spans="1:5" ht="18.75" x14ac:dyDescent="0.3">
      <c r="A1" s="180" t="s">
        <v>1399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6" customHeight="1" x14ac:dyDescent="0.25">
      <c r="A3" s="20"/>
      <c r="B3" s="20"/>
      <c r="C3" s="20"/>
      <c r="D3" s="20"/>
      <c r="E3" s="20"/>
    </row>
    <row r="4" spans="1:5" ht="15.75" x14ac:dyDescent="0.25">
      <c r="A4" s="173" t="s">
        <v>1339</v>
      </c>
      <c r="B4" s="181" t="s">
        <v>1422</v>
      </c>
      <c r="C4" s="174" t="s">
        <v>1340</v>
      </c>
      <c r="D4" s="175"/>
      <c r="E4" s="176"/>
    </row>
    <row r="5" spans="1:5" ht="15.75" x14ac:dyDescent="0.25">
      <c r="A5" s="181"/>
      <c r="B5" s="182"/>
      <c r="C5" s="65" t="s">
        <v>0</v>
      </c>
      <c r="D5" s="65" t="s">
        <v>1</v>
      </c>
      <c r="E5" s="65" t="s">
        <v>2</v>
      </c>
    </row>
    <row r="6" spans="1:5" ht="26.25" customHeight="1" x14ac:dyDescent="0.25">
      <c r="A6" s="48"/>
      <c r="B6" s="26" t="s">
        <v>0</v>
      </c>
      <c r="C6" s="26">
        <v>18096</v>
      </c>
      <c r="D6" s="26">
        <v>9543</v>
      </c>
      <c r="E6" s="26">
        <v>8553</v>
      </c>
    </row>
    <row r="7" spans="1:5" ht="12.75" customHeight="1" x14ac:dyDescent="0.25">
      <c r="A7" s="23"/>
      <c r="B7" s="24"/>
      <c r="C7" s="24"/>
      <c r="D7" s="24"/>
      <c r="E7" s="24"/>
    </row>
    <row r="8" spans="1:5" ht="15.75" x14ac:dyDescent="0.25">
      <c r="A8" s="23"/>
      <c r="B8" s="24" t="s">
        <v>1338</v>
      </c>
      <c r="C8" s="24">
        <f>SUM(C9:C11)</f>
        <v>1441</v>
      </c>
      <c r="D8" s="24">
        <f t="shared" ref="D8:E8" si="0">SUM(D9:D11)</f>
        <v>790</v>
      </c>
      <c r="E8" s="24">
        <f t="shared" si="0"/>
        <v>651</v>
      </c>
    </row>
    <row r="9" spans="1:5" ht="24.95" customHeight="1" x14ac:dyDescent="0.25">
      <c r="A9" s="23">
        <v>1</v>
      </c>
      <c r="B9" s="27" t="s">
        <v>25</v>
      </c>
      <c r="C9" s="27">
        <v>450</v>
      </c>
      <c r="D9" s="27">
        <v>242</v>
      </c>
      <c r="E9" s="27">
        <v>208</v>
      </c>
    </row>
    <row r="10" spans="1:5" ht="24.95" customHeight="1" x14ac:dyDescent="0.25">
      <c r="A10" s="23">
        <v>2</v>
      </c>
      <c r="B10" s="27" t="s">
        <v>26</v>
      </c>
      <c r="C10" s="27">
        <v>672</v>
      </c>
      <c r="D10" s="27">
        <v>359</v>
      </c>
      <c r="E10" s="27">
        <v>313</v>
      </c>
    </row>
    <row r="11" spans="1:5" ht="24.95" customHeight="1" x14ac:dyDescent="0.25">
      <c r="A11" s="23">
        <v>3</v>
      </c>
      <c r="B11" s="27" t="s">
        <v>27</v>
      </c>
      <c r="C11" s="27">
        <v>319</v>
      </c>
      <c r="D11" s="27">
        <v>189</v>
      </c>
      <c r="E11" s="27">
        <v>130</v>
      </c>
    </row>
    <row r="12" spans="1:5" ht="24.95" customHeight="1" x14ac:dyDescent="0.25">
      <c r="A12" s="23"/>
      <c r="B12" s="24" t="s">
        <v>1410</v>
      </c>
      <c r="C12" s="24">
        <f>SUM(C13:C19)</f>
        <v>16655</v>
      </c>
      <c r="D12" s="24">
        <f t="shared" ref="D12:E12" si="1">SUM(D13:D19)</f>
        <v>8753</v>
      </c>
      <c r="E12" s="24">
        <f t="shared" si="1"/>
        <v>7902</v>
      </c>
    </row>
    <row r="13" spans="1:5" ht="24.95" customHeight="1" x14ac:dyDescent="0.25">
      <c r="A13" s="23">
        <v>1</v>
      </c>
      <c r="B13" s="27" t="s">
        <v>1269</v>
      </c>
      <c r="C13" s="27">
        <v>3086</v>
      </c>
      <c r="D13" s="27">
        <v>1608</v>
      </c>
      <c r="E13" s="27">
        <v>1478</v>
      </c>
    </row>
    <row r="14" spans="1:5" ht="24.95" customHeight="1" x14ac:dyDescent="0.25">
      <c r="A14" s="23">
        <v>2</v>
      </c>
      <c r="B14" s="27" t="s">
        <v>1270</v>
      </c>
      <c r="C14" s="27">
        <v>2780</v>
      </c>
      <c r="D14" s="27">
        <v>1427</v>
      </c>
      <c r="E14" s="27">
        <v>1353</v>
      </c>
    </row>
    <row r="15" spans="1:5" ht="24.95" customHeight="1" x14ac:dyDescent="0.25">
      <c r="A15" s="23">
        <v>3</v>
      </c>
      <c r="B15" s="27" t="s">
        <v>399</v>
      </c>
      <c r="C15" s="27">
        <v>3178</v>
      </c>
      <c r="D15" s="27">
        <v>1620</v>
      </c>
      <c r="E15" s="27">
        <v>1558</v>
      </c>
    </row>
    <row r="16" spans="1:5" ht="24.95" customHeight="1" x14ac:dyDescent="0.25">
      <c r="A16" s="23">
        <v>4</v>
      </c>
      <c r="B16" s="27" t="s">
        <v>1271</v>
      </c>
      <c r="C16" s="27">
        <v>1828</v>
      </c>
      <c r="D16" s="27">
        <v>971</v>
      </c>
      <c r="E16" s="27">
        <v>857</v>
      </c>
    </row>
    <row r="17" spans="1:5" ht="24.95" customHeight="1" x14ac:dyDescent="0.25">
      <c r="A17" s="23">
        <v>5</v>
      </c>
      <c r="B17" s="27" t="s">
        <v>1272</v>
      </c>
      <c r="C17" s="27">
        <v>842</v>
      </c>
      <c r="D17" s="27">
        <v>441</v>
      </c>
      <c r="E17" s="27">
        <v>401</v>
      </c>
    </row>
    <row r="18" spans="1:5" ht="24.95" customHeight="1" x14ac:dyDescent="0.25">
      <c r="A18" s="23">
        <v>6</v>
      </c>
      <c r="B18" s="27" t="s">
        <v>1273</v>
      </c>
      <c r="C18" s="27">
        <v>3318</v>
      </c>
      <c r="D18" s="27">
        <v>1837</v>
      </c>
      <c r="E18" s="27">
        <v>1481</v>
      </c>
    </row>
    <row r="19" spans="1:5" ht="24.95" customHeight="1" x14ac:dyDescent="0.25">
      <c r="A19" s="28">
        <v>7</v>
      </c>
      <c r="B19" s="29" t="s">
        <v>1274</v>
      </c>
      <c r="C19" s="29">
        <v>1623</v>
      </c>
      <c r="D19" s="29">
        <v>849</v>
      </c>
      <c r="E19" s="29">
        <v>774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Minesat  District, Minekoke(Sub-Township)"/>
  </hyperlinks>
  <pageMargins left="0.75" right="0.5" top="0.5" bottom="0.25" header="0.3" footer="0.3"/>
  <pageSetup paperSize="9" orientation="portrait" horizontalDpi="1200" verticalDpi="120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sqref="A1:E1"/>
    </sheetView>
  </sheetViews>
  <sheetFormatPr defaultRowHeight="15" x14ac:dyDescent="0.25"/>
  <cols>
    <col min="2" max="2" width="22.85546875" customWidth="1"/>
    <col min="3" max="5" width="15.7109375" customWidth="1"/>
  </cols>
  <sheetData>
    <row r="1" spans="1:5" ht="18.75" x14ac:dyDescent="0.3">
      <c r="A1" s="180" t="s">
        <v>1392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15.75" x14ac:dyDescent="0.25">
      <c r="A3" s="20"/>
      <c r="B3" s="20"/>
      <c r="C3" s="20"/>
      <c r="D3" s="20"/>
      <c r="E3" s="20"/>
    </row>
    <row r="4" spans="1:5" ht="15.75" x14ac:dyDescent="0.25">
      <c r="A4" s="173" t="s">
        <v>1339</v>
      </c>
      <c r="B4" s="181" t="s">
        <v>1422</v>
      </c>
      <c r="C4" s="174" t="s">
        <v>1340</v>
      </c>
      <c r="D4" s="175"/>
      <c r="E4" s="176"/>
    </row>
    <row r="5" spans="1:5" ht="15.75" x14ac:dyDescent="0.25">
      <c r="A5" s="181"/>
      <c r="B5" s="182"/>
      <c r="C5" s="65" t="s">
        <v>0</v>
      </c>
      <c r="D5" s="65" t="s">
        <v>1</v>
      </c>
      <c r="E5" s="65" t="s">
        <v>2</v>
      </c>
    </row>
    <row r="6" spans="1:5" ht="23.25" customHeight="1" x14ac:dyDescent="0.25">
      <c r="A6" s="44"/>
      <c r="B6" s="26" t="s">
        <v>0</v>
      </c>
      <c r="C6" s="44">
        <v>14684</v>
      </c>
      <c r="D6" s="44">
        <v>7562</v>
      </c>
      <c r="E6" s="44">
        <v>7122</v>
      </c>
    </row>
    <row r="7" spans="1:5" ht="9.75" customHeight="1" x14ac:dyDescent="0.25">
      <c r="A7" s="34"/>
      <c r="B7" s="31"/>
      <c r="C7" s="31"/>
      <c r="D7" s="31"/>
      <c r="E7" s="31"/>
    </row>
    <row r="8" spans="1:5" ht="24.95" customHeight="1" x14ac:dyDescent="0.25">
      <c r="A8" s="34"/>
      <c r="B8" s="31" t="s">
        <v>1338</v>
      </c>
      <c r="C8" s="31">
        <f>SUM(C9:C12)</f>
        <v>2065</v>
      </c>
      <c r="D8" s="31">
        <f t="shared" ref="D8:E8" si="0">SUM(D9:D12)</f>
        <v>1073</v>
      </c>
      <c r="E8" s="31">
        <f t="shared" si="0"/>
        <v>992</v>
      </c>
    </row>
    <row r="9" spans="1:5" ht="24.95" customHeight="1" x14ac:dyDescent="0.25">
      <c r="A9" s="34">
        <v>1</v>
      </c>
      <c r="B9" s="38" t="s">
        <v>25</v>
      </c>
      <c r="C9" s="38">
        <v>207</v>
      </c>
      <c r="D9" s="38">
        <v>103</v>
      </c>
      <c r="E9" s="38">
        <v>104</v>
      </c>
    </row>
    <row r="10" spans="1:5" ht="24.95" customHeight="1" x14ac:dyDescent="0.25">
      <c r="A10" s="34">
        <v>2</v>
      </c>
      <c r="B10" s="38" t="s">
        <v>26</v>
      </c>
      <c r="C10" s="38">
        <v>560</v>
      </c>
      <c r="D10" s="38">
        <v>286</v>
      </c>
      <c r="E10" s="38">
        <v>274</v>
      </c>
    </row>
    <row r="11" spans="1:5" ht="24.95" customHeight="1" x14ac:dyDescent="0.25">
      <c r="A11" s="34">
        <v>3</v>
      </c>
      <c r="B11" s="38" t="s">
        <v>27</v>
      </c>
      <c r="C11" s="38">
        <v>1020</v>
      </c>
      <c r="D11" s="38">
        <v>555</v>
      </c>
      <c r="E11" s="38">
        <v>465</v>
      </c>
    </row>
    <row r="12" spans="1:5" ht="24.95" customHeight="1" x14ac:dyDescent="0.25">
      <c r="A12" s="34">
        <v>4</v>
      </c>
      <c r="B12" s="38" t="s">
        <v>28</v>
      </c>
      <c r="C12" s="38">
        <v>278</v>
      </c>
      <c r="D12" s="38">
        <v>129</v>
      </c>
      <c r="E12" s="38">
        <v>149</v>
      </c>
    </row>
    <row r="13" spans="1:5" ht="24.95" customHeight="1" x14ac:dyDescent="0.25">
      <c r="A13" s="34"/>
      <c r="B13" s="31" t="s">
        <v>1410</v>
      </c>
      <c r="C13" s="31">
        <f>SUM(C14:C20)</f>
        <v>12619</v>
      </c>
      <c r="D13" s="31">
        <f t="shared" ref="D13:E13" si="1">SUM(D14:D20)</f>
        <v>6489</v>
      </c>
      <c r="E13" s="31">
        <f t="shared" si="1"/>
        <v>6130</v>
      </c>
    </row>
    <row r="14" spans="1:5" ht="24.95" customHeight="1" x14ac:dyDescent="0.25">
      <c r="A14" s="34">
        <v>1</v>
      </c>
      <c r="B14" s="38" t="s">
        <v>1275</v>
      </c>
      <c r="C14" s="38">
        <v>1563</v>
      </c>
      <c r="D14" s="38">
        <v>782</v>
      </c>
      <c r="E14" s="38">
        <v>781</v>
      </c>
    </row>
    <row r="15" spans="1:5" ht="24.95" customHeight="1" x14ac:dyDescent="0.25">
      <c r="A15" s="34">
        <v>2</v>
      </c>
      <c r="B15" s="38" t="s">
        <v>1276</v>
      </c>
      <c r="C15" s="38">
        <v>867</v>
      </c>
      <c r="D15" s="38">
        <v>440</v>
      </c>
      <c r="E15" s="38">
        <v>427</v>
      </c>
    </row>
    <row r="16" spans="1:5" ht="24.95" customHeight="1" x14ac:dyDescent="0.25">
      <c r="A16" s="34">
        <v>3</v>
      </c>
      <c r="B16" s="38" t="s">
        <v>1277</v>
      </c>
      <c r="C16" s="38">
        <v>2591</v>
      </c>
      <c r="D16" s="38">
        <v>1334</v>
      </c>
      <c r="E16" s="38">
        <v>1257</v>
      </c>
    </row>
    <row r="17" spans="1:5" ht="24.95" customHeight="1" x14ac:dyDescent="0.25">
      <c r="A17" s="34">
        <v>4</v>
      </c>
      <c r="B17" s="38" t="s">
        <v>1278</v>
      </c>
      <c r="C17" s="38">
        <v>2769</v>
      </c>
      <c r="D17" s="38">
        <v>1430</v>
      </c>
      <c r="E17" s="38">
        <v>1339</v>
      </c>
    </row>
    <row r="18" spans="1:5" ht="24.95" customHeight="1" x14ac:dyDescent="0.25">
      <c r="A18" s="34">
        <v>5</v>
      </c>
      <c r="B18" s="38" t="s">
        <v>1279</v>
      </c>
      <c r="C18" s="38">
        <v>1942</v>
      </c>
      <c r="D18" s="38">
        <v>1031</v>
      </c>
      <c r="E18" s="38">
        <v>911</v>
      </c>
    </row>
    <row r="19" spans="1:5" ht="24.95" customHeight="1" x14ac:dyDescent="0.25">
      <c r="A19" s="34">
        <v>6</v>
      </c>
      <c r="B19" s="38" t="s">
        <v>1280</v>
      </c>
      <c r="C19" s="38">
        <v>1308</v>
      </c>
      <c r="D19" s="38">
        <v>662</v>
      </c>
      <c r="E19" s="38">
        <v>646</v>
      </c>
    </row>
    <row r="20" spans="1:5" ht="24.95" customHeight="1" x14ac:dyDescent="0.25">
      <c r="A20" s="35">
        <v>7</v>
      </c>
      <c r="B20" s="45" t="s">
        <v>1281</v>
      </c>
      <c r="C20" s="45">
        <v>1579</v>
      </c>
      <c r="D20" s="45">
        <v>810</v>
      </c>
      <c r="E20" s="45">
        <v>769</v>
      </c>
    </row>
    <row r="21" spans="1:5" ht="15.75" x14ac:dyDescent="0.25">
      <c r="A21" s="76"/>
      <c r="B21" s="76"/>
      <c r="C21" s="76"/>
      <c r="D21" s="76"/>
      <c r="E21" s="76"/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Minesat  District, Tontar(Sub-Township)"/>
  </hyperlinks>
  <pageMargins left="0.75" right="0.5" top="0.5" bottom="0.25" header="0.3" footer="0.3"/>
  <pageSetup paperSize="9" orientation="portrait" horizontalDpi="1200" verticalDpi="120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G21" sqref="G21"/>
    </sheetView>
  </sheetViews>
  <sheetFormatPr defaultRowHeight="15" x14ac:dyDescent="0.25"/>
  <cols>
    <col min="1" max="1" width="7.85546875" customWidth="1"/>
    <col min="2" max="2" width="27.5703125" customWidth="1"/>
    <col min="3" max="5" width="15.7109375" customWidth="1"/>
  </cols>
  <sheetData>
    <row r="1" spans="1:5" ht="18.75" x14ac:dyDescent="0.3">
      <c r="A1" s="180" t="s">
        <v>1406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15.75" x14ac:dyDescent="0.25">
      <c r="A3" s="20"/>
      <c r="B3" s="20"/>
      <c r="C3" s="20"/>
      <c r="D3" s="20"/>
      <c r="E3" s="20"/>
    </row>
    <row r="4" spans="1:5" ht="15.75" x14ac:dyDescent="0.25">
      <c r="A4" s="173" t="s">
        <v>1339</v>
      </c>
      <c r="B4" s="181" t="s">
        <v>1422</v>
      </c>
      <c r="C4" s="174" t="s">
        <v>1340</v>
      </c>
      <c r="D4" s="175"/>
      <c r="E4" s="176"/>
    </row>
    <row r="5" spans="1:5" ht="15.75" x14ac:dyDescent="0.25">
      <c r="A5" s="181"/>
      <c r="B5" s="182"/>
      <c r="C5" s="65" t="s">
        <v>0</v>
      </c>
      <c r="D5" s="65" t="s">
        <v>1</v>
      </c>
      <c r="E5" s="65" t="s">
        <v>2</v>
      </c>
    </row>
    <row r="6" spans="1:5" ht="24.95" customHeight="1" x14ac:dyDescent="0.25">
      <c r="A6" s="48"/>
      <c r="B6" s="26" t="s">
        <v>0</v>
      </c>
      <c r="C6" s="26">
        <v>43819</v>
      </c>
      <c r="D6" s="26">
        <v>23806</v>
      </c>
      <c r="E6" s="26">
        <v>20013</v>
      </c>
    </row>
    <row r="7" spans="1:5" ht="10.5" customHeight="1" x14ac:dyDescent="0.25">
      <c r="A7" s="23"/>
      <c r="B7" s="24"/>
      <c r="C7" s="24"/>
      <c r="D7" s="24"/>
      <c r="E7" s="24"/>
    </row>
    <row r="8" spans="1:5" ht="24.95" customHeight="1" x14ac:dyDescent="0.25">
      <c r="A8" s="23"/>
      <c r="B8" s="24" t="s">
        <v>1338</v>
      </c>
      <c r="C8" s="24">
        <f>SUM(C9:C13)</f>
        <v>3201</v>
      </c>
      <c r="D8" s="24">
        <f t="shared" ref="D8:E8" si="0">SUM(D9:D13)</f>
        <v>1708</v>
      </c>
      <c r="E8" s="24">
        <f t="shared" si="0"/>
        <v>1493</v>
      </c>
    </row>
    <row r="9" spans="1:5" ht="24.95" customHeight="1" x14ac:dyDescent="0.25">
      <c r="A9" s="23">
        <v>1</v>
      </c>
      <c r="B9" s="27" t="s">
        <v>25</v>
      </c>
      <c r="C9" s="27">
        <v>718</v>
      </c>
      <c r="D9" s="27">
        <v>381</v>
      </c>
      <c r="E9" s="27">
        <v>337</v>
      </c>
    </row>
    <row r="10" spans="1:5" ht="24.95" customHeight="1" x14ac:dyDescent="0.25">
      <c r="A10" s="23">
        <v>2</v>
      </c>
      <c r="B10" s="27" t="s">
        <v>26</v>
      </c>
      <c r="C10" s="27">
        <v>465</v>
      </c>
      <c r="D10" s="27">
        <v>236</v>
      </c>
      <c r="E10" s="27">
        <v>229</v>
      </c>
    </row>
    <row r="11" spans="1:5" ht="24.95" customHeight="1" x14ac:dyDescent="0.25">
      <c r="A11" s="23">
        <v>3</v>
      </c>
      <c r="B11" s="27" t="s">
        <v>27</v>
      </c>
      <c r="C11" s="27">
        <v>1145</v>
      </c>
      <c r="D11" s="27">
        <v>653</v>
      </c>
      <c r="E11" s="27">
        <v>492</v>
      </c>
    </row>
    <row r="12" spans="1:5" ht="24.95" customHeight="1" x14ac:dyDescent="0.25">
      <c r="A12" s="23">
        <v>4</v>
      </c>
      <c r="B12" s="27" t="s">
        <v>28</v>
      </c>
      <c r="C12" s="27">
        <v>323</v>
      </c>
      <c r="D12" s="27">
        <v>163</v>
      </c>
      <c r="E12" s="27">
        <v>160</v>
      </c>
    </row>
    <row r="13" spans="1:5" ht="24.95" customHeight="1" x14ac:dyDescent="0.25">
      <c r="A13" s="23">
        <v>5</v>
      </c>
      <c r="B13" s="27" t="s">
        <v>29</v>
      </c>
      <c r="C13" s="27">
        <v>550</v>
      </c>
      <c r="D13" s="27">
        <v>275</v>
      </c>
      <c r="E13" s="27">
        <v>275</v>
      </c>
    </row>
    <row r="14" spans="1:5" ht="24.95" customHeight="1" x14ac:dyDescent="0.25">
      <c r="A14" s="28"/>
      <c r="B14" s="191" t="s">
        <v>1410</v>
      </c>
      <c r="C14" s="191">
        <v>40618</v>
      </c>
      <c r="D14" s="191">
        <v>22098</v>
      </c>
      <c r="E14" s="191">
        <v>18520</v>
      </c>
    </row>
    <row r="15" spans="1:5" ht="24.95" customHeight="1" x14ac:dyDescent="0.25"/>
    <row r="20" spans="6:6" x14ac:dyDescent="0.25">
      <c r="F20" s="190"/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Minesat  District, Ponparkyin(Sub- Township)"/>
  </hyperlinks>
  <pageMargins left="0.75" right="0.5" top="0.5" bottom="0.25" header="0.3" footer="0.3"/>
  <pageSetup paperSize="9" orientation="portrait" horizontalDpi="1200" verticalDpi="120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C15" sqref="C15"/>
    </sheetView>
  </sheetViews>
  <sheetFormatPr defaultRowHeight="15" x14ac:dyDescent="0.25"/>
  <cols>
    <col min="2" max="2" width="30.42578125" customWidth="1"/>
    <col min="3" max="5" width="15.7109375" customWidth="1"/>
  </cols>
  <sheetData>
    <row r="1" spans="1:5" ht="18.75" x14ac:dyDescent="0.3">
      <c r="A1" s="180" t="s">
        <v>1393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15.75" x14ac:dyDescent="0.25">
      <c r="A3" s="20"/>
      <c r="B3" s="20"/>
      <c r="C3" s="20"/>
      <c r="D3" s="20"/>
      <c r="E3" s="20"/>
    </row>
    <row r="4" spans="1:5" ht="15.75" x14ac:dyDescent="0.25">
      <c r="A4" s="173" t="s">
        <v>1339</v>
      </c>
      <c r="B4" s="181" t="s">
        <v>1422</v>
      </c>
      <c r="C4" s="174" t="s">
        <v>1340</v>
      </c>
      <c r="D4" s="175"/>
      <c r="E4" s="176"/>
    </row>
    <row r="5" spans="1:5" ht="15.75" x14ac:dyDescent="0.25">
      <c r="A5" s="181"/>
      <c r="B5" s="182"/>
      <c r="C5" s="65" t="s">
        <v>0</v>
      </c>
      <c r="D5" s="65" t="s">
        <v>1</v>
      </c>
      <c r="E5" s="65" t="s">
        <v>2</v>
      </c>
    </row>
    <row r="6" spans="1:5" s="10" customFormat="1" ht="26.25" customHeight="1" x14ac:dyDescent="0.25">
      <c r="A6" s="69"/>
      <c r="B6" s="26" t="s">
        <v>0</v>
      </c>
      <c r="C6" s="26">
        <v>4276</v>
      </c>
      <c r="D6" s="26">
        <v>2500</v>
      </c>
      <c r="E6" s="26">
        <v>1776</v>
      </c>
    </row>
    <row r="7" spans="1:5" s="10" customFormat="1" ht="9" customHeight="1" x14ac:dyDescent="0.25">
      <c r="A7" s="58"/>
      <c r="B7" s="60"/>
      <c r="C7" s="60"/>
      <c r="D7" s="60"/>
      <c r="E7" s="60"/>
    </row>
    <row r="8" spans="1:5" s="10" customFormat="1" ht="24.95" customHeight="1" x14ac:dyDescent="0.25">
      <c r="A8" s="58"/>
      <c r="B8" s="60" t="s">
        <v>1338</v>
      </c>
      <c r="C8" s="60">
        <f>SUM(C9:C11)</f>
        <v>404</v>
      </c>
      <c r="D8" s="60">
        <f t="shared" ref="D8:E8" si="0">SUM(D9:D11)</f>
        <v>279</v>
      </c>
      <c r="E8" s="60">
        <f t="shared" si="0"/>
        <v>125</v>
      </c>
    </row>
    <row r="9" spans="1:5" s="10" customFormat="1" ht="24.95" customHeight="1" x14ac:dyDescent="0.25">
      <c r="A9" s="58">
        <v>1</v>
      </c>
      <c r="B9" s="27" t="s">
        <v>25</v>
      </c>
      <c r="C9" s="27">
        <v>39</v>
      </c>
      <c r="D9" s="27">
        <v>21</v>
      </c>
      <c r="E9" s="27">
        <v>18</v>
      </c>
    </row>
    <row r="10" spans="1:5" s="10" customFormat="1" ht="24.95" customHeight="1" x14ac:dyDescent="0.25">
      <c r="A10" s="58">
        <v>2</v>
      </c>
      <c r="B10" s="27" t="s">
        <v>26</v>
      </c>
      <c r="C10" s="27">
        <v>93</v>
      </c>
      <c r="D10" s="27">
        <v>88</v>
      </c>
      <c r="E10" s="27">
        <v>5</v>
      </c>
    </row>
    <row r="11" spans="1:5" s="10" customFormat="1" ht="24.95" customHeight="1" x14ac:dyDescent="0.25">
      <c r="A11" s="58">
        <v>3</v>
      </c>
      <c r="B11" s="27" t="s">
        <v>27</v>
      </c>
      <c r="C11" s="27">
        <v>272</v>
      </c>
      <c r="D11" s="27">
        <v>170</v>
      </c>
      <c r="E11" s="27">
        <v>102</v>
      </c>
    </row>
    <row r="12" spans="1:5" s="10" customFormat="1" ht="24.95" customHeight="1" x14ac:dyDescent="0.25">
      <c r="A12" s="192"/>
      <c r="B12" s="193" t="s">
        <v>1410</v>
      </c>
      <c r="C12" s="193">
        <v>3872</v>
      </c>
      <c r="D12" s="193">
        <v>2221</v>
      </c>
      <c r="E12" s="193">
        <v>1651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Minesat  District,  Monehta(Sub- Township)"/>
  </hyperlinks>
  <pageMargins left="0.75" right="0.5" top="0.5" bottom="0.25" header="0.3" footer="0.3"/>
  <pageSetup paperSize="9" orientation="portrait" horizontalDpi="1200" verticalDpi="120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sqref="A1:E1"/>
    </sheetView>
  </sheetViews>
  <sheetFormatPr defaultRowHeight="15" x14ac:dyDescent="0.25"/>
  <cols>
    <col min="2" max="2" width="26" customWidth="1"/>
    <col min="3" max="5" width="15.7109375" customWidth="1"/>
    <col min="8" max="8" width="16" customWidth="1"/>
  </cols>
  <sheetData>
    <row r="1" spans="1:5" ht="18.75" x14ac:dyDescent="0.3">
      <c r="A1" s="180" t="s">
        <v>1394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15.75" x14ac:dyDescent="0.25">
      <c r="A3" s="20"/>
      <c r="B3" s="20"/>
      <c r="C3" s="20"/>
      <c r="D3" s="20"/>
      <c r="E3" s="20"/>
    </row>
    <row r="4" spans="1:5" ht="15.75" x14ac:dyDescent="0.25">
      <c r="A4" s="173" t="s">
        <v>1339</v>
      </c>
      <c r="B4" s="181" t="s">
        <v>1422</v>
      </c>
      <c r="C4" s="174" t="s">
        <v>1340</v>
      </c>
      <c r="D4" s="175"/>
      <c r="E4" s="176"/>
    </row>
    <row r="5" spans="1:5" ht="15.75" x14ac:dyDescent="0.25">
      <c r="A5" s="181"/>
      <c r="B5" s="182"/>
      <c r="C5" s="65" t="s">
        <v>0</v>
      </c>
      <c r="D5" s="65" t="s">
        <v>1</v>
      </c>
      <c r="E5" s="65" t="s">
        <v>2</v>
      </c>
    </row>
    <row r="6" spans="1:5" ht="15.75" x14ac:dyDescent="0.25">
      <c r="A6" s="48"/>
      <c r="B6" s="26" t="s">
        <v>0</v>
      </c>
      <c r="C6" s="26">
        <v>148021</v>
      </c>
      <c r="D6" s="26">
        <v>74827</v>
      </c>
      <c r="E6" s="26">
        <v>73194</v>
      </c>
    </row>
    <row r="7" spans="1:5" ht="7.5" customHeight="1" x14ac:dyDescent="0.25">
      <c r="A7" s="23"/>
      <c r="B7" s="24"/>
      <c r="C7" s="24"/>
      <c r="D7" s="24"/>
      <c r="E7" s="24"/>
    </row>
    <row r="8" spans="1:5" ht="15.75" x14ac:dyDescent="0.25">
      <c r="A8" s="23"/>
      <c r="B8" s="24" t="s">
        <v>1338</v>
      </c>
      <c r="C8" s="24">
        <f>SUM(C9:C14)</f>
        <v>51553</v>
      </c>
      <c r="D8" s="24">
        <f t="shared" ref="D8:E8" si="0">SUM(D9:D14)</f>
        <v>25146</v>
      </c>
      <c r="E8" s="24">
        <f t="shared" si="0"/>
        <v>26407</v>
      </c>
    </row>
    <row r="9" spans="1:5" ht="24.95" customHeight="1" x14ac:dyDescent="0.25">
      <c r="A9" s="23">
        <v>1</v>
      </c>
      <c r="B9" s="27" t="s">
        <v>1282</v>
      </c>
      <c r="C9" s="27">
        <v>9048</v>
      </c>
      <c r="D9" s="27">
        <v>4439</v>
      </c>
      <c r="E9" s="27">
        <v>4609</v>
      </c>
    </row>
    <row r="10" spans="1:5" ht="24.95" customHeight="1" x14ac:dyDescent="0.25">
      <c r="A10" s="23">
        <v>2</v>
      </c>
      <c r="B10" s="27" t="s">
        <v>1283</v>
      </c>
      <c r="C10" s="27">
        <v>1537</v>
      </c>
      <c r="D10" s="27">
        <v>668</v>
      </c>
      <c r="E10" s="27">
        <v>869</v>
      </c>
    </row>
    <row r="11" spans="1:5" ht="24.95" customHeight="1" x14ac:dyDescent="0.25">
      <c r="A11" s="23">
        <v>3</v>
      </c>
      <c r="B11" s="27" t="s">
        <v>1228</v>
      </c>
      <c r="C11" s="27">
        <v>9998</v>
      </c>
      <c r="D11" s="27">
        <v>5113</v>
      </c>
      <c r="E11" s="27">
        <v>4885</v>
      </c>
    </row>
    <row r="12" spans="1:5" ht="24.95" customHeight="1" x14ac:dyDescent="0.25">
      <c r="A12" s="23">
        <v>4</v>
      </c>
      <c r="B12" s="27" t="s">
        <v>1284</v>
      </c>
      <c r="C12" s="27">
        <v>7937</v>
      </c>
      <c r="D12" s="27">
        <v>3788</v>
      </c>
      <c r="E12" s="27">
        <v>4149</v>
      </c>
    </row>
    <row r="13" spans="1:5" ht="24.95" customHeight="1" x14ac:dyDescent="0.25">
      <c r="A13" s="23">
        <v>5</v>
      </c>
      <c r="B13" s="27" t="s">
        <v>1285</v>
      </c>
      <c r="C13" s="27">
        <v>16787</v>
      </c>
      <c r="D13" s="27">
        <v>8030</v>
      </c>
      <c r="E13" s="27">
        <v>8757</v>
      </c>
    </row>
    <row r="14" spans="1:5" ht="24.95" customHeight="1" x14ac:dyDescent="0.25">
      <c r="A14" s="23">
        <v>6</v>
      </c>
      <c r="B14" s="27" t="s">
        <v>1286</v>
      </c>
      <c r="C14" s="27">
        <v>6246</v>
      </c>
      <c r="D14" s="27">
        <v>3108</v>
      </c>
      <c r="E14" s="27">
        <v>3138</v>
      </c>
    </row>
    <row r="15" spans="1:5" ht="24.95" customHeight="1" x14ac:dyDescent="0.25">
      <c r="A15" s="23"/>
      <c r="B15" s="24" t="s">
        <v>1410</v>
      </c>
      <c r="C15" s="24">
        <f>SUM(C16:C22)</f>
        <v>96468</v>
      </c>
      <c r="D15" s="24">
        <f t="shared" ref="D15:E15" si="1">SUM(D16:D22)</f>
        <v>49681</v>
      </c>
      <c r="E15" s="24">
        <f t="shared" si="1"/>
        <v>46787</v>
      </c>
    </row>
    <row r="16" spans="1:5" ht="24.95" customHeight="1" x14ac:dyDescent="0.25">
      <c r="A16" s="23">
        <v>1</v>
      </c>
      <c r="B16" s="27" t="s">
        <v>1287</v>
      </c>
      <c r="C16" s="27">
        <v>9802</v>
      </c>
      <c r="D16" s="27">
        <v>5217</v>
      </c>
      <c r="E16" s="27">
        <v>4585</v>
      </c>
    </row>
    <row r="17" spans="1:5" ht="24.95" customHeight="1" x14ac:dyDescent="0.25">
      <c r="A17" s="23">
        <v>2</v>
      </c>
      <c r="B17" s="27" t="s">
        <v>1288</v>
      </c>
      <c r="C17" s="27">
        <v>33339</v>
      </c>
      <c r="D17" s="27">
        <v>17205</v>
      </c>
      <c r="E17" s="27">
        <v>16134</v>
      </c>
    </row>
    <row r="18" spans="1:5" ht="24.95" customHeight="1" x14ac:dyDescent="0.25">
      <c r="A18" s="23">
        <v>3</v>
      </c>
      <c r="B18" s="27" t="s">
        <v>1289</v>
      </c>
      <c r="C18" s="27">
        <v>5462</v>
      </c>
      <c r="D18" s="27">
        <v>2897</v>
      </c>
      <c r="E18" s="27">
        <v>2565</v>
      </c>
    </row>
    <row r="19" spans="1:5" ht="24.95" customHeight="1" x14ac:dyDescent="0.25">
      <c r="A19" s="23">
        <v>4</v>
      </c>
      <c r="B19" s="27" t="s">
        <v>1290</v>
      </c>
      <c r="C19" s="27">
        <v>20037</v>
      </c>
      <c r="D19" s="27">
        <v>10308</v>
      </c>
      <c r="E19" s="27">
        <v>9729</v>
      </c>
    </row>
    <row r="20" spans="1:5" ht="24.95" customHeight="1" x14ac:dyDescent="0.25">
      <c r="A20" s="23">
        <v>5</v>
      </c>
      <c r="B20" s="27" t="s">
        <v>1291</v>
      </c>
      <c r="C20" s="27">
        <v>9713</v>
      </c>
      <c r="D20" s="27">
        <v>4914</v>
      </c>
      <c r="E20" s="27">
        <v>4799</v>
      </c>
    </row>
    <row r="21" spans="1:5" ht="24.95" customHeight="1" x14ac:dyDescent="0.25">
      <c r="A21" s="23">
        <v>6</v>
      </c>
      <c r="B21" s="27" t="s">
        <v>1292</v>
      </c>
      <c r="C21" s="27">
        <v>8511</v>
      </c>
      <c r="D21" s="27">
        <v>4342</v>
      </c>
      <c r="E21" s="27">
        <v>4169</v>
      </c>
    </row>
    <row r="22" spans="1:5" ht="24.95" customHeight="1" x14ac:dyDescent="0.25">
      <c r="A22" s="28">
        <v>7</v>
      </c>
      <c r="B22" s="29" t="s">
        <v>1293</v>
      </c>
      <c r="C22" s="29">
        <v>9604</v>
      </c>
      <c r="D22" s="29">
        <v>4798</v>
      </c>
      <c r="E22" s="29">
        <v>4806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Tachileik  District, Tachileik Township"/>
  </hyperlinks>
  <pageMargins left="0.75" right="0.5" top="0.5" bottom="0.25" header="0.3" footer="0.3"/>
  <pageSetup paperSize="9" orientation="portrait" horizontalDpi="1200" verticalDpi="120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sqref="A1:E1"/>
    </sheetView>
  </sheetViews>
  <sheetFormatPr defaultRowHeight="15" x14ac:dyDescent="0.25"/>
  <cols>
    <col min="2" max="2" width="26.7109375" customWidth="1"/>
    <col min="3" max="5" width="15.7109375" customWidth="1"/>
  </cols>
  <sheetData>
    <row r="1" spans="1:5" ht="18.75" x14ac:dyDescent="0.3">
      <c r="A1" s="180" t="s">
        <v>1395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15.75" x14ac:dyDescent="0.25">
      <c r="A3" s="20"/>
      <c r="B3" s="20"/>
      <c r="C3" s="20"/>
      <c r="D3" s="20"/>
      <c r="E3" s="20"/>
    </row>
    <row r="4" spans="1:5" ht="15.75" x14ac:dyDescent="0.25">
      <c r="A4" s="173" t="s">
        <v>1339</v>
      </c>
      <c r="B4" s="181" t="s">
        <v>1422</v>
      </c>
      <c r="C4" s="174" t="s">
        <v>1340</v>
      </c>
      <c r="D4" s="175"/>
      <c r="E4" s="176"/>
    </row>
    <row r="5" spans="1:5" ht="15.75" x14ac:dyDescent="0.25">
      <c r="A5" s="181"/>
      <c r="B5" s="182"/>
      <c r="C5" s="65" t="s">
        <v>0</v>
      </c>
      <c r="D5" s="65" t="s">
        <v>1</v>
      </c>
      <c r="E5" s="65" t="s">
        <v>2</v>
      </c>
    </row>
    <row r="6" spans="1:5" ht="27" customHeight="1" x14ac:dyDescent="0.25">
      <c r="A6" s="48"/>
      <c r="B6" s="26" t="s">
        <v>0</v>
      </c>
      <c r="C6" s="26">
        <v>18248</v>
      </c>
      <c r="D6" s="26">
        <v>9503</v>
      </c>
      <c r="E6" s="26">
        <v>8745</v>
      </c>
    </row>
    <row r="7" spans="1:5" ht="9.75" customHeight="1" x14ac:dyDescent="0.25">
      <c r="A7" s="23"/>
      <c r="B7" s="24"/>
      <c r="C7" s="24"/>
      <c r="D7" s="24"/>
      <c r="E7" s="24"/>
    </row>
    <row r="8" spans="1:5" ht="24.95" customHeight="1" x14ac:dyDescent="0.25">
      <c r="A8" s="23"/>
      <c r="B8" s="24" t="s">
        <v>1338</v>
      </c>
      <c r="C8" s="24">
        <f>SUM(C9:C12)</f>
        <v>3969</v>
      </c>
      <c r="D8" s="24">
        <f t="shared" ref="D8:E8" si="0">SUM(D9:D12)</f>
        <v>2066</v>
      </c>
      <c r="E8" s="24">
        <f t="shared" si="0"/>
        <v>1903</v>
      </c>
    </row>
    <row r="9" spans="1:5" ht="24.95" customHeight="1" x14ac:dyDescent="0.25">
      <c r="A9" s="23">
        <v>1</v>
      </c>
      <c r="B9" s="27" t="s">
        <v>25</v>
      </c>
      <c r="C9" s="27">
        <v>919</v>
      </c>
      <c r="D9" s="27">
        <v>459</v>
      </c>
      <c r="E9" s="27">
        <v>460</v>
      </c>
    </row>
    <row r="10" spans="1:5" ht="24.95" customHeight="1" x14ac:dyDescent="0.25">
      <c r="A10" s="23">
        <v>2</v>
      </c>
      <c r="B10" s="27" t="s">
        <v>26</v>
      </c>
      <c r="C10" s="27">
        <v>784</v>
      </c>
      <c r="D10" s="27">
        <v>415</v>
      </c>
      <c r="E10" s="27">
        <v>369</v>
      </c>
    </row>
    <row r="11" spans="1:5" ht="24.95" customHeight="1" x14ac:dyDescent="0.25">
      <c r="A11" s="23">
        <v>3</v>
      </c>
      <c r="B11" s="27" t="s">
        <v>27</v>
      </c>
      <c r="C11" s="27">
        <v>1222</v>
      </c>
      <c r="D11" s="27">
        <v>592</v>
      </c>
      <c r="E11" s="27">
        <v>630</v>
      </c>
    </row>
    <row r="12" spans="1:5" ht="24.95" customHeight="1" x14ac:dyDescent="0.25">
      <c r="A12" s="23">
        <v>4</v>
      </c>
      <c r="B12" s="27" t="s">
        <v>28</v>
      </c>
      <c r="C12" s="27">
        <v>1044</v>
      </c>
      <c r="D12" s="27">
        <v>600</v>
      </c>
      <c r="E12" s="27">
        <v>444</v>
      </c>
    </row>
    <row r="13" spans="1:5" ht="24.95" customHeight="1" x14ac:dyDescent="0.25">
      <c r="A13" s="23"/>
      <c r="B13" s="49" t="s">
        <v>1410</v>
      </c>
      <c r="C13" s="49">
        <f>SUM(C14:C16)</f>
        <v>14279</v>
      </c>
      <c r="D13" s="49">
        <f t="shared" ref="D13:E13" si="1">SUM(D14:D16)</f>
        <v>7437</v>
      </c>
      <c r="E13" s="49">
        <f t="shared" si="1"/>
        <v>6842</v>
      </c>
    </row>
    <row r="14" spans="1:5" ht="24.95" customHeight="1" x14ac:dyDescent="0.25">
      <c r="A14" s="23">
        <v>1</v>
      </c>
      <c r="B14" s="27" t="s">
        <v>1294</v>
      </c>
      <c r="C14" s="27">
        <v>8222</v>
      </c>
      <c r="D14" s="27">
        <v>4298</v>
      </c>
      <c r="E14" s="27">
        <v>3924</v>
      </c>
    </row>
    <row r="15" spans="1:5" ht="24.95" customHeight="1" x14ac:dyDescent="0.25">
      <c r="A15" s="23">
        <v>2</v>
      </c>
      <c r="B15" s="27" t="s">
        <v>1295</v>
      </c>
      <c r="C15" s="27">
        <v>3404</v>
      </c>
      <c r="D15" s="27">
        <v>1764</v>
      </c>
      <c r="E15" s="27">
        <v>1640</v>
      </c>
    </row>
    <row r="16" spans="1:5" ht="24.95" customHeight="1" x14ac:dyDescent="0.25">
      <c r="A16" s="28">
        <v>3</v>
      </c>
      <c r="B16" s="29" t="s">
        <v>1296</v>
      </c>
      <c r="C16" s="29">
        <v>2653</v>
      </c>
      <c r="D16" s="29">
        <v>1375</v>
      </c>
      <c r="E16" s="29">
        <v>1278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Tachileik  District, Talay(Sub- Township)"/>
  </hyperlinks>
  <pageMargins left="0.75" right="0.5" top="0.5" bottom="0.25" header="0.3" footer="0.3"/>
  <pageSetup paperSize="9" orientation="portrait" horizontalDpi="1200" verticalDpi="120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E1"/>
    </sheetView>
  </sheetViews>
  <sheetFormatPr defaultRowHeight="15" x14ac:dyDescent="0.25"/>
  <cols>
    <col min="2" max="2" width="26.85546875" customWidth="1"/>
    <col min="3" max="5" width="13.7109375" customWidth="1"/>
  </cols>
  <sheetData>
    <row r="1" spans="1:5" ht="18.75" x14ac:dyDescent="0.3">
      <c r="A1" s="180" t="s">
        <v>1407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15.75" x14ac:dyDescent="0.25">
      <c r="A3" s="20"/>
      <c r="B3" s="20"/>
      <c r="C3" s="20"/>
      <c r="D3" s="20"/>
      <c r="E3" s="20"/>
    </row>
    <row r="4" spans="1:5" ht="15.75" x14ac:dyDescent="0.25">
      <c r="A4" s="173" t="s">
        <v>1339</v>
      </c>
      <c r="B4" s="181" t="s">
        <v>1422</v>
      </c>
      <c r="C4" s="174" t="s">
        <v>1340</v>
      </c>
      <c r="D4" s="175"/>
      <c r="E4" s="176"/>
    </row>
    <row r="5" spans="1:5" ht="15.75" x14ac:dyDescent="0.25">
      <c r="A5" s="181"/>
      <c r="B5" s="182"/>
      <c r="C5" s="65" t="s">
        <v>0</v>
      </c>
      <c r="D5" s="65" t="s">
        <v>1</v>
      </c>
      <c r="E5" s="65" t="s">
        <v>2</v>
      </c>
    </row>
    <row r="6" spans="1:5" ht="27.75" customHeight="1" x14ac:dyDescent="0.25">
      <c r="A6" s="48"/>
      <c r="B6" s="26" t="s">
        <v>0</v>
      </c>
      <c r="C6" s="26">
        <v>11044</v>
      </c>
      <c r="D6" s="26">
        <v>5794</v>
      </c>
      <c r="E6" s="26">
        <v>5250</v>
      </c>
    </row>
    <row r="7" spans="1:5" ht="12" customHeight="1" x14ac:dyDescent="0.25">
      <c r="A7" s="23"/>
      <c r="B7" s="24"/>
      <c r="C7" s="24"/>
      <c r="D7" s="24"/>
      <c r="E7" s="24"/>
    </row>
    <row r="8" spans="1:5" ht="24.95" customHeight="1" x14ac:dyDescent="0.25">
      <c r="A8" s="23"/>
      <c r="B8" s="24" t="s">
        <v>1338</v>
      </c>
      <c r="C8" s="24">
        <f>SUM(C9:C11)</f>
        <v>3245</v>
      </c>
      <c r="D8" s="24">
        <f t="shared" ref="D8:E8" si="0">SUM(D9:D11)</f>
        <v>1762</v>
      </c>
      <c r="E8" s="24">
        <f t="shared" si="0"/>
        <v>1483</v>
      </c>
    </row>
    <row r="9" spans="1:5" ht="24.95" customHeight="1" x14ac:dyDescent="0.25">
      <c r="A9" s="23">
        <v>1</v>
      </c>
      <c r="B9" s="27" t="s">
        <v>25</v>
      </c>
      <c r="C9" s="27">
        <v>1018</v>
      </c>
      <c r="D9" s="27">
        <v>534</v>
      </c>
      <c r="E9" s="27">
        <v>484</v>
      </c>
    </row>
    <row r="10" spans="1:5" ht="24.95" customHeight="1" x14ac:dyDescent="0.25">
      <c r="A10" s="23">
        <v>2</v>
      </c>
      <c r="B10" s="27" t="s">
        <v>26</v>
      </c>
      <c r="C10" s="27">
        <v>292</v>
      </c>
      <c r="D10" s="27">
        <v>160</v>
      </c>
      <c r="E10" s="27">
        <v>132</v>
      </c>
    </row>
    <row r="11" spans="1:5" ht="24.95" customHeight="1" x14ac:dyDescent="0.25">
      <c r="A11" s="23">
        <v>3</v>
      </c>
      <c r="B11" s="27" t="s">
        <v>27</v>
      </c>
      <c r="C11" s="27">
        <v>1935</v>
      </c>
      <c r="D11" s="27">
        <v>1068</v>
      </c>
      <c r="E11" s="27">
        <v>867</v>
      </c>
    </row>
    <row r="12" spans="1:5" ht="24.95" customHeight="1" x14ac:dyDescent="0.25">
      <c r="A12" s="23"/>
      <c r="B12" s="24" t="s">
        <v>1410</v>
      </c>
      <c r="C12" s="24">
        <f>SUM(C13:C15)</f>
        <v>7799</v>
      </c>
      <c r="D12" s="24">
        <f t="shared" ref="D12:E12" si="1">SUM(D13:D15)</f>
        <v>4032</v>
      </c>
      <c r="E12" s="24">
        <f t="shared" si="1"/>
        <v>3767</v>
      </c>
    </row>
    <row r="13" spans="1:5" ht="24.95" customHeight="1" x14ac:dyDescent="0.25">
      <c r="A13" s="23">
        <v>1</v>
      </c>
      <c r="B13" s="27" t="s">
        <v>1297</v>
      </c>
      <c r="C13" s="27">
        <v>3548</v>
      </c>
      <c r="D13" s="27">
        <v>1842</v>
      </c>
      <c r="E13" s="27">
        <v>1706</v>
      </c>
    </row>
    <row r="14" spans="1:5" ht="24.95" customHeight="1" x14ac:dyDescent="0.25">
      <c r="A14" s="23">
        <v>2</v>
      </c>
      <c r="B14" s="27" t="s">
        <v>1298</v>
      </c>
      <c r="C14" s="27">
        <v>3042</v>
      </c>
      <c r="D14" s="27">
        <v>1561</v>
      </c>
      <c r="E14" s="27">
        <v>1481</v>
      </c>
    </row>
    <row r="15" spans="1:5" ht="24.95" customHeight="1" x14ac:dyDescent="0.25">
      <c r="A15" s="28">
        <v>3</v>
      </c>
      <c r="B15" s="29" t="s">
        <v>1299</v>
      </c>
      <c r="C15" s="29">
        <v>1209</v>
      </c>
      <c r="D15" s="29">
        <v>629</v>
      </c>
      <c r="E15" s="29">
        <v>580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Tachileik  District, Kenglat(Sub-Township)"/>
  </hyperlinks>
  <pageMargins left="0.75" right="0.5" top="0.5" bottom="0.25" header="0.3" footer="0.3"/>
  <pageSetup paperSize="9" orientation="portrait" horizontalDpi="1200" verticalDpi="120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sqref="A1:E1"/>
    </sheetView>
  </sheetViews>
  <sheetFormatPr defaultRowHeight="15" x14ac:dyDescent="0.25"/>
  <cols>
    <col min="2" max="2" width="37.85546875" customWidth="1"/>
    <col min="3" max="5" width="13.7109375" customWidth="1"/>
  </cols>
  <sheetData>
    <row r="1" spans="1:5" ht="18.75" x14ac:dyDescent="0.3">
      <c r="A1" s="180" t="s">
        <v>1396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15.75" x14ac:dyDescent="0.25">
      <c r="A3" s="20"/>
      <c r="B3" s="20"/>
      <c r="C3" s="20"/>
      <c r="D3" s="20"/>
      <c r="E3" s="20"/>
    </row>
    <row r="4" spans="1:5" ht="15.75" x14ac:dyDescent="0.25">
      <c r="A4" s="173" t="s">
        <v>1339</v>
      </c>
      <c r="B4" s="181" t="s">
        <v>1422</v>
      </c>
      <c r="C4" s="174" t="s">
        <v>1340</v>
      </c>
      <c r="D4" s="175"/>
      <c r="E4" s="176"/>
    </row>
    <row r="5" spans="1:5" ht="15.75" x14ac:dyDescent="0.25">
      <c r="A5" s="181"/>
      <c r="B5" s="182"/>
      <c r="C5" s="65" t="s">
        <v>0</v>
      </c>
      <c r="D5" s="65" t="s">
        <v>1</v>
      </c>
      <c r="E5" s="65" t="s">
        <v>2</v>
      </c>
    </row>
    <row r="6" spans="1:5" ht="25.5" customHeight="1" x14ac:dyDescent="0.25">
      <c r="A6" s="48"/>
      <c r="B6" s="26" t="s">
        <v>0</v>
      </c>
      <c r="C6" s="26">
        <v>30556</v>
      </c>
      <c r="D6" s="26">
        <v>16209</v>
      </c>
      <c r="E6" s="26">
        <v>14347</v>
      </c>
    </row>
    <row r="7" spans="1:5" ht="10.5" customHeight="1" x14ac:dyDescent="0.25">
      <c r="A7" s="23"/>
      <c r="B7" s="24"/>
      <c r="C7" s="24"/>
      <c r="D7" s="24"/>
      <c r="E7" s="24"/>
    </row>
    <row r="8" spans="1:5" ht="24.95" customHeight="1" x14ac:dyDescent="0.25">
      <c r="A8" s="23"/>
      <c r="B8" s="24" t="s">
        <v>1338</v>
      </c>
      <c r="C8" s="24">
        <f>SUM(C9:C11)</f>
        <v>6074</v>
      </c>
      <c r="D8" s="24">
        <f t="shared" ref="D8:E8" si="0">SUM(D9:D11)</f>
        <v>3251</v>
      </c>
      <c r="E8" s="24">
        <f t="shared" si="0"/>
        <v>2823</v>
      </c>
    </row>
    <row r="9" spans="1:5" ht="24.95" customHeight="1" x14ac:dyDescent="0.25">
      <c r="A9" s="23">
        <v>1</v>
      </c>
      <c r="B9" s="27" t="s">
        <v>1268</v>
      </c>
      <c r="C9" s="27">
        <v>1773</v>
      </c>
      <c r="D9" s="27">
        <v>1005</v>
      </c>
      <c r="E9" s="27">
        <v>768</v>
      </c>
    </row>
    <row r="10" spans="1:5" ht="24.95" customHeight="1" x14ac:dyDescent="0.25">
      <c r="A10" s="23">
        <v>2</v>
      </c>
      <c r="B10" s="27" t="s">
        <v>184</v>
      </c>
      <c r="C10" s="27">
        <v>3458</v>
      </c>
      <c r="D10" s="27">
        <v>1830</v>
      </c>
      <c r="E10" s="27">
        <v>1628</v>
      </c>
    </row>
    <row r="11" spans="1:5" ht="24.95" customHeight="1" x14ac:dyDescent="0.25">
      <c r="A11" s="23">
        <v>3</v>
      </c>
      <c r="B11" s="27" t="s">
        <v>1300</v>
      </c>
      <c r="C11" s="27">
        <v>843</v>
      </c>
      <c r="D11" s="27">
        <v>416</v>
      </c>
      <c r="E11" s="27">
        <v>427</v>
      </c>
    </row>
    <row r="12" spans="1:5" ht="24.95" customHeight="1" x14ac:dyDescent="0.25">
      <c r="A12" s="23"/>
      <c r="B12" s="24" t="s">
        <v>1410</v>
      </c>
      <c r="C12" s="24">
        <f>SUM(C13:C33)</f>
        <v>24482</v>
      </c>
      <c r="D12" s="24">
        <f t="shared" ref="D12:E12" si="1">SUM(D13:D33)</f>
        <v>12958</v>
      </c>
      <c r="E12" s="24">
        <f t="shared" si="1"/>
        <v>11524</v>
      </c>
    </row>
    <row r="13" spans="1:5" ht="24.95" customHeight="1" x14ac:dyDescent="0.25">
      <c r="A13" s="23">
        <v>1</v>
      </c>
      <c r="B13" s="27" t="s">
        <v>1301</v>
      </c>
      <c r="C13" s="27">
        <v>3206</v>
      </c>
      <c r="D13" s="27">
        <v>1689</v>
      </c>
      <c r="E13" s="27">
        <v>1517</v>
      </c>
    </row>
    <row r="14" spans="1:5" ht="24.95" customHeight="1" x14ac:dyDescent="0.25">
      <c r="A14" s="23">
        <v>2</v>
      </c>
      <c r="B14" s="27" t="s">
        <v>411</v>
      </c>
      <c r="C14" s="27">
        <v>2420</v>
      </c>
      <c r="D14" s="27">
        <v>1427</v>
      </c>
      <c r="E14" s="27">
        <v>993</v>
      </c>
    </row>
    <row r="15" spans="1:5" ht="24.95" customHeight="1" x14ac:dyDescent="0.25">
      <c r="A15" s="23">
        <v>3</v>
      </c>
      <c r="B15" s="27" t="s">
        <v>1302</v>
      </c>
      <c r="C15" s="27">
        <v>1387</v>
      </c>
      <c r="D15" s="27">
        <v>718</v>
      </c>
      <c r="E15" s="27">
        <v>669</v>
      </c>
    </row>
    <row r="16" spans="1:5" ht="24.95" customHeight="1" x14ac:dyDescent="0.25">
      <c r="A16" s="23">
        <v>4</v>
      </c>
      <c r="B16" s="27" t="s">
        <v>1303</v>
      </c>
      <c r="C16" s="27">
        <v>1368</v>
      </c>
      <c r="D16" s="27">
        <v>715</v>
      </c>
      <c r="E16" s="27">
        <v>653</v>
      </c>
    </row>
    <row r="17" spans="1:5" ht="24.95" customHeight="1" x14ac:dyDescent="0.25">
      <c r="A17" s="23">
        <v>5</v>
      </c>
      <c r="B17" s="27" t="s">
        <v>1304</v>
      </c>
      <c r="C17" s="27">
        <v>970</v>
      </c>
      <c r="D17" s="27">
        <v>509</v>
      </c>
      <c r="E17" s="27">
        <v>461</v>
      </c>
    </row>
    <row r="18" spans="1:5" ht="24.95" customHeight="1" x14ac:dyDescent="0.25">
      <c r="A18" s="23">
        <v>6</v>
      </c>
      <c r="B18" s="27" t="s">
        <v>1305</v>
      </c>
      <c r="C18" s="27">
        <v>1144</v>
      </c>
      <c r="D18" s="27">
        <v>611</v>
      </c>
      <c r="E18" s="27">
        <v>533</v>
      </c>
    </row>
    <row r="19" spans="1:5" ht="24.95" customHeight="1" x14ac:dyDescent="0.25">
      <c r="A19" s="23">
        <v>7</v>
      </c>
      <c r="B19" s="27" t="s">
        <v>1306</v>
      </c>
      <c r="C19" s="27">
        <v>137</v>
      </c>
      <c r="D19" s="27">
        <v>68</v>
      </c>
      <c r="E19" s="27">
        <v>69</v>
      </c>
    </row>
    <row r="20" spans="1:5" ht="24.95" customHeight="1" x14ac:dyDescent="0.25">
      <c r="A20" s="23">
        <v>8</v>
      </c>
      <c r="B20" s="27" t="s">
        <v>1307</v>
      </c>
      <c r="C20" s="27">
        <v>810</v>
      </c>
      <c r="D20" s="27">
        <v>408</v>
      </c>
      <c r="E20" s="27">
        <v>402</v>
      </c>
    </row>
    <row r="21" spans="1:5" ht="24.95" customHeight="1" x14ac:dyDescent="0.25">
      <c r="A21" s="23">
        <v>9</v>
      </c>
      <c r="B21" s="27" t="s">
        <v>1308</v>
      </c>
      <c r="C21" s="27">
        <v>253</v>
      </c>
      <c r="D21" s="27">
        <v>143</v>
      </c>
      <c r="E21" s="27">
        <v>110</v>
      </c>
    </row>
    <row r="22" spans="1:5" ht="24.95" customHeight="1" x14ac:dyDescent="0.25">
      <c r="A22" s="23">
        <v>10</v>
      </c>
      <c r="B22" s="27" t="s">
        <v>742</v>
      </c>
      <c r="C22" s="27">
        <v>379</v>
      </c>
      <c r="D22" s="27">
        <v>212</v>
      </c>
      <c r="E22" s="27">
        <v>167</v>
      </c>
    </row>
    <row r="23" spans="1:5" ht="24.95" customHeight="1" x14ac:dyDescent="0.25">
      <c r="A23" s="23">
        <v>11</v>
      </c>
      <c r="B23" s="27" t="s">
        <v>1309</v>
      </c>
      <c r="C23" s="27">
        <v>366</v>
      </c>
      <c r="D23" s="27">
        <v>191</v>
      </c>
      <c r="E23" s="27">
        <v>175</v>
      </c>
    </row>
    <row r="24" spans="1:5" ht="24.95" customHeight="1" x14ac:dyDescent="0.25">
      <c r="A24" s="23">
        <v>12</v>
      </c>
      <c r="B24" s="27" t="s">
        <v>1310</v>
      </c>
      <c r="C24" s="27">
        <v>239</v>
      </c>
      <c r="D24" s="27">
        <v>118</v>
      </c>
      <c r="E24" s="27">
        <v>121</v>
      </c>
    </row>
    <row r="25" spans="1:5" ht="24.95" customHeight="1" x14ac:dyDescent="0.25">
      <c r="A25" s="23">
        <v>13</v>
      </c>
      <c r="B25" s="27" t="s">
        <v>698</v>
      </c>
      <c r="C25" s="27">
        <v>1283</v>
      </c>
      <c r="D25" s="27">
        <v>647</v>
      </c>
      <c r="E25" s="27">
        <v>636</v>
      </c>
    </row>
    <row r="26" spans="1:5" ht="24.95" customHeight="1" x14ac:dyDescent="0.25">
      <c r="A26" s="23">
        <v>14</v>
      </c>
      <c r="B26" s="27" t="s">
        <v>1311</v>
      </c>
      <c r="C26" s="27">
        <v>1374</v>
      </c>
      <c r="D26" s="27">
        <v>701</v>
      </c>
      <c r="E26" s="27">
        <v>673</v>
      </c>
    </row>
    <row r="27" spans="1:5" ht="24.95" customHeight="1" x14ac:dyDescent="0.25">
      <c r="A27" s="23">
        <v>15</v>
      </c>
      <c r="B27" s="27" t="s">
        <v>1312</v>
      </c>
      <c r="C27" s="27">
        <v>1649</v>
      </c>
      <c r="D27" s="27">
        <v>871</v>
      </c>
      <c r="E27" s="27">
        <v>778</v>
      </c>
    </row>
    <row r="28" spans="1:5" ht="24.95" customHeight="1" x14ac:dyDescent="0.25">
      <c r="A28" s="23">
        <v>16</v>
      </c>
      <c r="B28" s="27" t="s">
        <v>1289</v>
      </c>
      <c r="C28" s="27">
        <v>2063</v>
      </c>
      <c r="D28" s="27">
        <v>1072</v>
      </c>
      <c r="E28" s="27">
        <v>991</v>
      </c>
    </row>
    <row r="29" spans="1:5" ht="24.95" customHeight="1" x14ac:dyDescent="0.25">
      <c r="A29" s="23">
        <v>17</v>
      </c>
      <c r="B29" s="27" t="s">
        <v>1313</v>
      </c>
      <c r="C29" s="27">
        <v>389</v>
      </c>
      <c r="D29" s="27">
        <v>192</v>
      </c>
      <c r="E29" s="27">
        <v>197</v>
      </c>
    </row>
    <row r="30" spans="1:5" ht="24.95" customHeight="1" x14ac:dyDescent="0.25">
      <c r="A30" s="23">
        <v>18</v>
      </c>
      <c r="B30" s="27" t="s">
        <v>1314</v>
      </c>
      <c r="C30" s="27">
        <v>497</v>
      </c>
      <c r="D30" s="27">
        <v>264</v>
      </c>
      <c r="E30" s="27">
        <v>233</v>
      </c>
    </row>
    <row r="31" spans="1:5" ht="24.95" customHeight="1" x14ac:dyDescent="0.25">
      <c r="A31" s="23">
        <v>19</v>
      </c>
      <c r="B31" s="27" t="s">
        <v>867</v>
      </c>
      <c r="C31" s="27">
        <v>168</v>
      </c>
      <c r="D31" s="27">
        <v>106</v>
      </c>
      <c r="E31" s="27">
        <v>62</v>
      </c>
    </row>
    <row r="32" spans="1:5" ht="24.95" customHeight="1" x14ac:dyDescent="0.25">
      <c r="A32" s="23">
        <v>20</v>
      </c>
      <c r="B32" s="70" t="s">
        <v>1315</v>
      </c>
      <c r="C32" s="70">
        <v>187</v>
      </c>
      <c r="D32" s="70">
        <v>86</v>
      </c>
      <c r="E32" s="70">
        <v>101</v>
      </c>
    </row>
    <row r="33" spans="1:5" ht="24.95" customHeight="1" x14ac:dyDescent="0.25">
      <c r="A33" s="28">
        <v>21</v>
      </c>
      <c r="B33" s="56" t="s">
        <v>716</v>
      </c>
      <c r="C33" s="56">
        <v>4193</v>
      </c>
      <c r="D33" s="56">
        <v>2210</v>
      </c>
      <c r="E33" s="56">
        <v>1983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Minephyat  District,  Minephyat Township"/>
  </hyperlinks>
  <pageMargins left="0.75" right="0.5" top="0.5" bottom="0.25" header="0.3" footer="0.3"/>
  <pageSetup paperSize="9" orientation="portrait" horizontalDpi="1200" verticalDpi="120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sqref="A1:E1"/>
    </sheetView>
  </sheetViews>
  <sheetFormatPr defaultRowHeight="15" x14ac:dyDescent="0.25"/>
  <cols>
    <col min="2" max="2" width="25.7109375" customWidth="1"/>
    <col min="3" max="5" width="15.7109375" customWidth="1"/>
  </cols>
  <sheetData>
    <row r="1" spans="1:5" ht="18.75" x14ac:dyDescent="0.3">
      <c r="A1" s="180" t="s">
        <v>1397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15.75" x14ac:dyDescent="0.25">
      <c r="A3" s="20"/>
      <c r="B3" s="20"/>
      <c r="C3" s="20"/>
      <c r="D3" s="20"/>
      <c r="E3" s="20"/>
    </row>
    <row r="4" spans="1:5" ht="15.75" x14ac:dyDescent="0.25">
      <c r="A4" s="173" t="s">
        <v>1339</v>
      </c>
      <c r="B4" s="181" t="s">
        <v>1422</v>
      </c>
      <c r="C4" s="174" t="s">
        <v>1340</v>
      </c>
      <c r="D4" s="175"/>
      <c r="E4" s="176"/>
    </row>
    <row r="5" spans="1:5" ht="15.75" x14ac:dyDescent="0.25">
      <c r="A5" s="181"/>
      <c r="B5" s="182"/>
      <c r="C5" s="65" t="s">
        <v>0</v>
      </c>
      <c r="D5" s="65" t="s">
        <v>1</v>
      </c>
      <c r="E5" s="65" t="s">
        <v>2</v>
      </c>
    </row>
    <row r="6" spans="1:5" ht="27.75" customHeight="1" x14ac:dyDescent="0.25">
      <c r="A6" s="48"/>
      <c r="B6" s="26" t="s">
        <v>0</v>
      </c>
      <c r="C6" s="26">
        <v>27559</v>
      </c>
      <c r="D6" s="26">
        <v>14410</v>
      </c>
      <c r="E6" s="26">
        <v>13149</v>
      </c>
    </row>
    <row r="7" spans="1:5" ht="10.5" customHeight="1" x14ac:dyDescent="0.25">
      <c r="A7" s="23"/>
      <c r="B7" s="24"/>
      <c r="C7" s="24"/>
      <c r="D7" s="24"/>
      <c r="E7" s="24"/>
    </row>
    <row r="8" spans="1:5" ht="24.95" customHeight="1" x14ac:dyDescent="0.25">
      <c r="A8" s="23"/>
      <c r="B8" s="24" t="s">
        <v>1338</v>
      </c>
      <c r="C8" s="24">
        <f>SUM(C9:C17)</f>
        <v>4880</v>
      </c>
      <c r="D8" s="24">
        <f t="shared" ref="D8:E8" si="0">SUM(D9:D17)</f>
        <v>2483</v>
      </c>
      <c r="E8" s="24">
        <f t="shared" si="0"/>
        <v>2397</v>
      </c>
    </row>
    <row r="9" spans="1:5" ht="24.95" customHeight="1" x14ac:dyDescent="0.25">
      <c r="A9" s="23">
        <v>1</v>
      </c>
      <c r="B9" s="27" t="s">
        <v>25</v>
      </c>
      <c r="C9" s="27">
        <v>640</v>
      </c>
      <c r="D9" s="27">
        <v>304</v>
      </c>
      <c r="E9" s="27">
        <v>336</v>
      </c>
    </row>
    <row r="10" spans="1:5" ht="24.95" customHeight="1" x14ac:dyDescent="0.25">
      <c r="A10" s="23">
        <v>2</v>
      </c>
      <c r="B10" s="27" t="s">
        <v>26</v>
      </c>
      <c r="C10" s="27">
        <v>992</v>
      </c>
      <c r="D10" s="27">
        <v>512</v>
      </c>
      <c r="E10" s="27">
        <v>480</v>
      </c>
    </row>
    <row r="11" spans="1:5" ht="24.95" customHeight="1" x14ac:dyDescent="0.25">
      <c r="A11" s="23">
        <v>3</v>
      </c>
      <c r="B11" s="27" t="s">
        <v>27</v>
      </c>
      <c r="C11" s="27">
        <v>392</v>
      </c>
      <c r="D11" s="27">
        <v>193</v>
      </c>
      <c r="E11" s="27">
        <v>199</v>
      </c>
    </row>
    <row r="12" spans="1:5" ht="24.95" customHeight="1" x14ac:dyDescent="0.25">
      <c r="A12" s="23">
        <v>4</v>
      </c>
      <c r="B12" s="27" t="s">
        <v>28</v>
      </c>
      <c r="C12" s="27">
        <v>543</v>
      </c>
      <c r="D12" s="27">
        <v>277</v>
      </c>
      <c r="E12" s="27">
        <v>266</v>
      </c>
    </row>
    <row r="13" spans="1:5" ht="24.95" customHeight="1" x14ac:dyDescent="0.25">
      <c r="A13" s="23">
        <v>5</v>
      </c>
      <c r="B13" s="27" t="s">
        <v>29</v>
      </c>
      <c r="C13" s="27">
        <v>424</v>
      </c>
      <c r="D13" s="27">
        <v>215</v>
      </c>
      <c r="E13" s="27">
        <v>209</v>
      </c>
    </row>
    <row r="14" spans="1:5" ht="24.95" customHeight="1" x14ac:dyDescent="0.25">
      <c r="A14" s="23">
        <v>6</v>
      </c>
      <c r="B14" s="27" t="s">
        <v>30</v>
      </c>
      <c r="C14" s="27">
        <v>215</v>
      </c>
      <c r="D14" s="27">
        <v>112</v>
      </c>
      <c r="E14" s="27">
        <v>103</v>
      </c>
    </row>
    <row r="15" spans="1:5" ht="24.95" customHeight="1" x14ac:dyDescent="0.25">
      <c r="A15" s="23">
        <v>7</v>
      </c>
      <c r="B15" s="27" t="s">
        <v>31</v>
      </c>
      <c r="C15" s="27">
        <v>558</v>
      </c>
      <c r="D15" s="27">
        <v>285</v>
      </c>
      <c r="E15" s="27">
        <v>273</v>
      </c>
    </row>
    <row r="16" spans="1:5" ht="24.95" customHeight="1" x14ac:dyDescent="0.25">
      <c r="A16" s="23">
        <v>8</v>
      </c>
      <c r="B16" s="27" t="s">
        <v>32</v>
      </c>
      <c r="C16" s="27">
        <v>784</v>
      </c>
      <c r="D16" s="27">
        <v>397</v>
      </c>
      <c r="E16" s="27">
        <v>387</v>
      </c>
    </row>
    <row r="17" spans="1:5" ht="24.95" customHeight="1" x14ac:dyDescent="0.25">
      <c r="A17" s="23">
        <v>9</v>
      </c>
      <c r="B17" s="27" t="s">
        <v>33</v>
      </c>
      <c r="C17" s="27">
        <v>332</v>
      </c>
      <c r="D17" s="27">
        <v>188</v>
      </c>
      <c r="E17" s="27">
        <v>144</v>
      </c>
    </row>
    <row r="18" spans="1:5" ht="24.95" customHeight="1" x14ac:dyDescent="0.25">
      <c r="A18" s="23"/>
      <c r="B18" s="24" t="s">
        <v>1410</v>
      </c>
      <c r="C18" s="24">
        <f>SUM(C19:C27)</f>
        <v>22679</v>
      </c>
      <c r="D18" s="24">
        <f t="shared" ref="D18:E18" si="1">SUM(D19:D27)</f>
        <v>11927</v>
      </c>
      <c r="E18" s="24">
        <f t="shared" si="1"/>
        <v>10752</v>
      </c>
    </row>
    <row r="19" spans="1:5" ht="24.95" customHeight="1" x14ac:dyDescent="0.25">
      <c r="A19" s="23">
        <v>1</v>
      </c>
      <c r="B19" s="27" t="s">
        <v>1316</v>
      </c>
      <c r="C19" s="27">
        <v>4045</v>
      </c>
      <c r="D19" s="27">
        <v>2067</v>
      </c>
      <c r="E19" s="27">
        <v>1978</v>
      </c>
    </row>
    <row r="20" spans="1:5" ht="24.95" customHeight="1" x14ac:dyDescent="0.25">
      <c r="A20" s="23">
        <v>2</v>
      </c>
      <c r="B20" s="27" t="s">
        <v>1317</v>
      </c>
      <c r="C20" s="27">
        <v>4006</v>
      </c>
      <c r="D20" s="27">
        <v>2085</v>
      </c>
      <c r="E20" s="27">
        <v>1921</v>
      </c>
    </row>
    <row r="21" spans="1:5" ht="24.95" customHeight="1" x14ac:dyDescent="0.25">
      <c r="A21" s="23">
        <v>3</v>
      </c>
      <c r="B21" s="27" t="s">
        <v>1273</v>
      </c>
      <c r="C21" s="27">
        <v>1958</v>
      </c>
      <c r="D21" s="27">
        <v>1001</v>
      </c>
      <c r="E21" s="27">
        <v>957</v>
      </c>
    </row>
    <row r="22" spans="1:5" ht="24.95" customHeight="1" x14ac:dyDescent="0.25">
      <c r="A22" s="23">
        <v>4</v>
      </c>
      <c r="B22" s="27" t="s">
        <v>1318</v>
      </c>
      <c r="C22" s="27">
        <v>4350</v>
      </c>
      <c r="D22" s="27">
        <v>2371</v>
      </c>
      <c r="E22" s="27">
        <v>1979</v>
      </c>
    </row>
    <row r="23" spans="1:5" ht="24.95" customHeight="1" x14ac:dyDescent="0.25">
      <c r="A23" s="23">
        <v>5</v>
      </c>
      <c r="B23" s="27" t="s">
        <v>1319</v>
      </c>
      <c r="C23" s="27">
        <v>4136</v>
      </c>
      <c r="D23" s="27">
        <v>2172</v>
      </c>
      <c r="E23" s="27">
        <v>1964</v>
      </c>
    </row>
    <row r="24" spans="1:5" ht="24.95" customHeight="1" x14ac:dyDescent="0.25">
      <c r="A24" s="23">
        <v>6</v>
      </c>
      <c r="B24" s="27" t="s">
        <v>1320</v>
      </c>
      <c r="C24" s="27">
        <v>2808</v>
      </c>
      <c r="D24" s="27">
        <v>1459</v>
      </c>
      <c r="E24" s="27">
        <v>1349</v>
      </c>
    </row>
    <row r="25" spans="1:5" ht="24.95" customHeight="1" x14ac:dyDescent="0.25">
      <c r="A25" s="23">
        <v>7</v>
      </c>
      <c r="B25" s="27" t="s">
        <v>1321</v>
      </c>
      <c r="C25" s="27">
        <v>651</v>
      </c>
      <c r="D25" s="27">
        <v>354</v>
      </c>
      <c r="E25" s="27">
        <v>297</v>
      </c>
    </row>
    <row r="26" spans="1:5" ht="24.95" customHeight="1" x14ac:dyDescent="0.25">
      <c r="A26" s="23">
        <v>8</v>
      </c>
      <c r="B26" s="27" t="s">
        <v>1322</v>
      </c>
      <c r="C26" s="27">
        <v>658</v>
      </c>
      <c r="D26" s="27">
        <v>378</v>
      </c>
      <c r="E26" s="27">
        <v>280</v>
      </c>
    </row>
    <row r="27" spans="1:5" ht="24.95" customHeight="1" x14ac:dyDescent="0.25">
      <c r="A27" s="28">
        <v>9</v>
      </c>
      <c r="B27" s="29" t="s">
        <v>1323</v>
      </c>
      <c r="C27" s="29">
        <v>67</v>
      </c>
      <c r="D27" s="29">
        <v>40</v>
      </c>
      <c r="E27" s="29">
        <v>27</v>
      </c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Minephyat  District, Mineyaung Township"/>
  </hyperlinks>
  <pageMargins left="0.75" right="0.5" top="0.5" bottom="0.25" header="0.3" footer="0.3"/>
  <pageSetup paperSize="9" orientation="portrait" horizontalDpi="1200" verticalDpi="120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workbookViewId="0">
      <selection sqref="A1:E1"/>
    </sheetView>
  </sheetViews>
  <sheetFormatPr defaultRowHeight="15" x14ac:dyDescent="0.25"/>
  <cols>
    <col min="1" max="1" width="8.85546875" customWidth="1"/>
    <col min="2" max="2" width="31.85546875" customWidth="1"/>
    <col min="3" max="5" width="15.7109375" customWidth="1"/>
    <col min="14" max="14" width="16.42578125" customWidth="1"/>
  </cols>
  <sheetData>
    <row r="1" spans="1:5" ht="18.75" x14ac:dyDescent="0.3">
      <c r="A1" s="180" t="s">
        <v>1398</v>
      </c>
      <c r="B1" s="180"/>
      <c r="C1" s="180"/>
      <c r="D1" s="180"/>
      <c r="E1" s="180"/>
    </row>
    <row r="2" spans="1:5" ht="15.75" x14ac:dyDescent="0.25">
      <c r="A2" s="20"/>
      <c r="B2" s="20"/>
      <c r="C2" s="20"/>
      <c r="D2" s="20"/>
      <c r="E2" s="74" t="s">
        <v>1341</v>
      </c>
    </row>
    <row r="3" spans="1:5" ht="9" customHeight="1" x14ac:dyDescent="0.25">
      <c r="A3" s="20"/>
      <c r="B3" s="20"/>
      <c r="C3" s="20"/>
      <c r="D3" s="20"/>
      <c r="E3" s="20"/>
    </row>
    <row r="4" spans="1:5" ht="15.75" x14ac:dyDescent="0.25">
      <c r="A4" s="173" t="s">
        <v>1339</v>
      </c>
      <c r="B4" s="181" t="s">
        <v>1422</v>
      </c>
      <c r="C4" s="174" t="s">
        <v>1340</v>
      </c>
      <c r="D4" s="175"/>
      <c r="E4" s="176"/>
    </row>
    <row r="5" spans="1:5" ht="15.75" x14ac:dyDescent="0.25">
      <c r="A5" s="181"/>
      <c r="B5" s="182"/>
      <c r="C5" s="65" t="s">
        <v>0</v>
      </c>
      <c r="D5" s="65" t="s">
        <v>1</v>
      </c>
      <c r="E5" s="65" t="s">
        <v>2</v>
      </c>
    </row>
    <row r="6" spans="1:5" ht="30.75" customHeight="1" x14ac:dyDescent="0.25">
      <c r="A6" s="48"/>
      <c r="B6" s="26" t="s">
        <v>0</v>
      </c>
      <c r="C6" s="26">
        <v>52331</v>
      </c>
      <c r="D6" s="26">
        <v>27464</v>
      </c>
      <c r="E6" s="26">
        <v>24867</v>
      </c>
    </row>
    <row r="7" spans="1:5" ht="6.75" customHeight="1" x14ac:dyDescent="0.25">
      <c r="A7" s="23"/>
      <c r="B7" s="24"/>
      <c r="C7" s="24"/>
      <c r="D7" s="24"/>
      <c r="E7" s="24"/>
    </row>
    <row r="8" spans="1:5" ht="24.95" customHeight="1" x14ac:dyDescent="0.25">
      <c r="A8" s="23"/>
      <c r="B8" s="24" t="s">
        <v>1338</v>
      </c>
      <c r="C8" s="24">
        <f>SUM(C9)</f>
        <v>972</v>
      </c>
      <c r="D8" s="24">
        <f t="shared" ref="D8:E8" si="0">SUM(D9)</f>
        <v>514</v>
      </c>
      <c r="E8" s="24">
        <f t="shared" si="0"/>
        <v>458</v>
      </c>
    </row>
    <row r="9" spans="1:5" ht="24.95" customHeight="1" x14ac:dyDescent="0.25">
      <c r="A9" s="23">
        <v>1</v>
      </c>
      <c r="B9" s="27" t="s">
        <v>1324</v>
      </c>
      <c r="C9" s="27">
        <v>972</v>
      </c>
      <c r="D9" s="27">
        <v>514</v>
      </c>
      <c r="E9" s="27">
        <v>458</v>
      </c>
    </row>
    <row r="10" spans="1:5" ht="24.95" customHeight="1" x14ac:dyDescent="0.25">
      <c r="A10" s="23"/>
      <c r="B10" s="23"/>
      <c r="C10" s="23"/>
      <c r="D10" s="23"/>
      <c r="E10" s="23"/>
    </row>
    <row r="11" spans="1:5" ht="24.95" customHeight="1" x14ac:dyDescent="0.25">
      <c r="A11" s="23"/>
      <c r="B11" s="24" t="s">
        <v>1410</v>
      </c>
      <c r="C11" s="24">
        <f>SUM(C12:C25)</f>
        <v>51359</v>
      </c>
      <c r="D11" s="24">
        <f t="shared" ref="D11:E11" si="1">SUM(D12:D25)</f>
        <v>26950</v>
      </c>
      <c r="E11" s="24">
        <f t="shared" si="1"/>
        <v>24409</v>
      </c>
    </row>
    <row r="12" spans="1:5" ht="24.95" customHeight="1" x14ac:dyDescent="0.25">
      <c r="A12" s="23">
        <v>1</v>
      </c>
      <c r="B12" s="27" t="s">
        <v>1325</v>
      </c>
      <c r="C12" s="27">
        <v>1954</v>
      </c>
      <c r="D12" s="27">
        <v>1117</v>
      </c>
      <c r="E12" s="27">
        <v>837</v>
      </c>
    </row>
    <row r="13" spans="1:5" ht="24.95" customHeight="1" x14ac:dyDescent="0.25">
      <c r="A13" s="23">
        <v>2</v>
      </c>
      <c r="B13" s="27" t="s">
        <v>1326</v>
      </c>
      <c r="C13" s="27">
        <v>350</v>
      </c>
      <c r="D13" s="27">
        <v>181</v>
      </c>
      <c r="E13" s="27">
        <v>169</v>
      </c>
    </row>
    <row r="14" spans="1:5" ht="24.95" customHeight="1" x14ac:dyDescent="0.25">
      <c r="A14" s="23">
        <v>3</v>
      </c>
      <c r="B14" s="27" t="s">
        <v>1225</v>
      </c>
      <c r="C14" s="27">
        <v>610</v>
      </c>
      <c r="D14" s="27">
        <v>322</v>
      </c>
      <c r="E14" s="27">
        <v>288</v>
      </c>
    </row>
    <row r="15" spans="1:5" ht="24.95" customHeight="1" x14ac:dyDescent="0.25">
      <c r="A15" s="23">
        <v>4</v>
      </c>
      <c r="B15" s="27" t="s">
        <v>1327</v>
      </c>
      <c r="C15" s="27">
        <v>7803</v>
      </c>
      <c r="D15" s="27">
        <v>4110</v>
      </c>
      <c r="E15" s="27">
        <v>3693</v>
      </c>
    </row>
    <row r="16" spans="1:5" ht="24.95" customHeight="1" x14ac:dyDescent="0.25">
      <c r="A16" s="23">
        <v>5</v>
      </c>
      <c r="B16" s="27" t="s">
        <v>1328</v>
      </c>
      <c r="C16" s="27">
        <v>4180</v>
      </c>
      <c r="D16" s="27">
        <v>2190</v>
      </c>
      <c r="E16" s="27">
        <v>1990</v>
      </c>
    </row>
    <row r="17" spans="1:5" ht="24.95" customHeight="1" x14ac:dyDescent="0.25">
      <c r="A17" s="23">
        <v>6</v>
      </c>
      <c r="B17" s="27" t="s">
        <v>1329</v>
      </c>
      <c r="C17" s="27">
        <v>889</v>
      </c>
      <c r="D17" s="27">
        <v>489</v>
      </c>
      <c r="E17" s="27">
        <v>400</v>
      </c>
    </row>
    <row r="18" spans="1:5" ht="24.95" customHeight="1" x14ac:dyDescent="0.25">
      <c r="A18" s="23">
        <v>7</v>
      </c>
      <c r="B18" s="27" t="s">
        <v>1330</v>
      </c>
      <c r="C18" s="27">
        <v>3430</v>
      </c>
      <c r="D18" s="27">
        <v>1793</v>
      </c>
      <c r="E18" s="27">
        <v>1637</v>
      </c>
    </row>
    <row r="19" spans="1:5" ht="24.95" customHeight="1" x14ac:dyDescent="0.25">
      <c r="A19" s="23">
        <v>8</v>
      </c>
      <c r="B19" s="27" t="s">
        <v>1331</v>
      </c>
      <c r="C19" s="27">
        <v>7634</v>
      </c>
      <c r="D19" s="27">
        <v>3882</v>
      </c>
      <c r="E19" s="27">
        <v>3752</v>
      </c>
    </row>
    <row r="20" spans="1:5" ht="24.95" customHeight="1" x14ac:dyDescent="0.25">
      <c r="A20" s="23">
        <v>9</v>
      </c>
      <c r="B20" s="27" t="s">
        <v>1332</v>
      </c>
      <c r="C20" s="27">
        <v>4300</v>
      </c>
      <c r="D20" s="27">
        <v>2258</v>
      </c>
      <c r="E20" s="27">
        <v>2042</v>
      </c>
    </row>
    <row r="21" spans="1:5" ht="24.95" customHeight="1" x14ac:dyDescent="0.25">
      <c r="A21" s="23">
        <v>10</v>
      </c>
      <c r="B21" s="27" t="s">
        <v>1333</v>
      </c>
      <c r="C21" s="27">
        <v>2226</v>
      </c>
      <c r="D21" s="27">
        <v>1166</v>
      </c>
      <c r="E21" s="27">
        <v>1060</v>
      </c>
    </row>
    <row r="22" spans="1:5" ht="24.95" customHeight="1" x14ac:dyDescent="0.25">
      <c r="A22" s="23">
        <v>11</v>
      </c>
      <c r="B22" s="27" t="s">
        <v>1334</v>
      </c>
      <c r="C22" s="27">
        <v>6123</v>
      </c>
      <c r="D22" s="27">
        <v>3218</v>
      </c>
      <c r="E22" s="27">
        <v>2905</v>
      </c>
    </row>
    <row r="23" spans="1:5" ht="24.95" customHeight="1" x14ac:dyDescent="0.25">
      <c r="A23" s="23">
        <v>12</v>
      </c>
      <c r="B23" s="27" t="s">
        <v>1335</v>
      </c>
      <c r="C23" s="27">
        <v>4380</v>
      </c>
      <c r="D23" s="27">
        <v>2280</v>
      </c>
      <c r="E23" s="27">
        <v>2100</v>
      </c>
    </row>
    <row r="24" spans="1:5" ht="24.95" customHeight="1" x14ac:dyDescent="0.25">
      <c r="A24" s="23">
        <v>13</v>
      </c>
      <c r="B24" s="27" t="s">
        <v>1336</v>
      </c>
      <c r="C24" s="27">
        <v>4227</v>
      </c>
      <c r="D24" s="27">
        <v>2186</v>
      </c>
      <c r="E24" s="27">
        <v>2041</v>
      </c>
    </row>
    <row r="25" spans="1:5" ht="24.95" customHeight="1" x14ac:dyDescent="0.25">
      <c r="A25" s="28">
        <v>14</v>
      </c>
      <c r="B25" s="29" t="s">
        <v>1337</v>
      </c>
      <c r="C25" s="29">
        <v>3253</v>
      </c>
      <c r="D25" s="29">
        <v>1758</v>
      </c>
      <c r="E25" s="29">
        <v>1495</v>
      </c>
    </row>
    <row r="26" spans="1:5" x14ac:dyDescent="0.25">
      <c r="B26" s="9"/>
      <c r="C26" s="9"/>
      <c r="D26" s="9"/>
      <c r="E26" s="9"/>
    </row>
    <row r="27" spans="1:5" x14ac:dyDescent="0.25">
      <c r="B27" s="9"/>
      <c r="C27" s="9"/>
      <c r="D27" s="9"/>
      <c r="E27" s="9"/>
    </row>
    <row r="28" spans="1:5" x14ac:dyDescent="0.25">
      <c r="B28" s="9"/>
      <c r="C28" s="9"/>
      <c r="D28" s="9"/>
      <c r="E28" s="9"/>
    </row>
  </sheetData>
  <mergeCells count="4">
    <mergeCell ref="A1:E1"/>
    <mergeCell ref="A4:A5"/>
    <mergeCell ref="B4:B5"/>
    <mergeCell ref="C4:E4"/>
  </mergeCells>
  <hyperlinks>
    <hyperlink ref="A1:E1" location="'Link of Township'!A1" display="Shan State, Minephyat  District, Mineyu(Sub- Township)"/>
  </hyperlinks>
  <pageMargins left="0.75" right="0.5" top="0.5" bottom="0.25" header="0.3" footer="0.3"/>
  <pageSetup paperSize="9" orientation="portrait" horizontalDpi="1200" verticalDpi="120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21" sqref="M21"/>
    </sheetView>
  </sheetViews>
  <sheetFormatPr defaultRowHeight="15" x14ac:dyDescent="0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O39" sqref="O3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86</vt:i4>
      </vt:variant>
      <vt:variant>
        <vt:lpstr>Named Ranges</vt:lpstr>
      </vt:variant>
      <vt:variant>
        <vt:i4>74</vt:i4>
      </vt:variant>
    </vt:vector>
  </HeadingPairs>
  <TitlesOfParts>
    <vt:vector size="160" baseType="lpstr">
      <vt:lpstr>Link of Township</vt:lpstr>
      <vt:lpstr>Taunggyi</vt:lpstr>
      <vt:lpstr> Nyaungshwe</vt:lpstr>
      <vt:lpstr>Hopong</vt:lpstr>
      <vt:lpstr>Hsihseng</vt:lpstr>
      <vt:lpstr>Kalaw</vt:lpstr>
      <vt:lpstr>Pindaya</vt:lpstr>
      <vt:lpstr>Ywangan</vt:lpstr>
      <vt:lpstr>Yatsauk</vt:lpstr>
      <vt:lpstr>Pinlaung</vt:lpstr>
      <vt:lpstr>Phekon</vt:lpstr>
      <vt:lpstr>Kyauktalongyi (Sub-Tsp)</vt:lpstr>
      <vt:lpstr>Indaw (Sub-Tsp)</vt:lpstr>
      <vt:lpstr>Naungtayar (Sub-Tsp)</vt:lpstr>
      <vt:lpstr>Loilem</vt:lpstr>
      <vt:lpstr>Lahecha</vt:lpstr>
      <vt:lpstr>Nanhsam(South)</vt:lpstr>
      <vt:lpstr>Kunhing</vt:lpstr>
      <vt:lpstr>Kehsi</vt:lpstr>
      <vt:lpstr>Mongkai</vt:lpstr>
      <vt:lpstr>Mineshu</vt:lpstr>
      <vt:lpstr>Panglong (Sub-Tsp)</vt:lpstr>
      <vt:lpstr>Kholan(Sub-Tsp)</vt:lpstr>
      <vt:lpstr>Karli(sub-Tsp)</vt:lpstr>
      <vt:lpstr>Minenaung(Sub-Tsp)</vt:lpstr>
      <vt:lpstr>Minesan(Monsan)(Sub-Tsp)</vt:lpstr>
      <vt:lpstr>Linkhe</vt:lpstr>
      <vt:lpstr>Mone</vt:lpstr>
      <vt:lpstr>Maukme</vt:lpstr>
      <vt:lpstr>Minepan</vt:lpstr>
      <vt:lpstr>Homane (Sub-Tsp)</vt:lpstr>
      <vt:lpstr>Kengtaung(Sub-Tsp)</vt:lpstr>
      <vt:lpstr>Lashio</vt:lpstr>
      <vt:lpstr>Theinni</vt:lpstr>
      <vt:lpstr>Mineye</vt:lpstr>
      <vt:lpstr>Tantyan</vt:lpstr>
      <vt:lpstr>Muse</vt:lpstr>
      <vt:lpstr>Namkham</vt:lpstr>
      <vt:lpstr>Kukai</vt:lpstr>
      <vt:lpstr>Monekoe(Sub-Tsp)</vt:lpstr>
      <vt:lpstr>Manhero (Manhyo)(Sub-Tsp)</vt:lpstr>
      <vt:lpstr>Pansai (Kyu Kok) (Sub-Tsp)</vt:lpstr>
      <vt:lpstr>Tamoenye (Sub-Tsp)</vt:lpstr>
      <vt:lpstr>Kyaukme</vt:lpstr>
      <vt:lpstr> Naungkhio</vt:lpstr>
      <vt:lpstr>Hsipaw</vt:lpstr>
      <vt:lpstr>Namtu</vt:lpstr>
      <vt:lpstr>Namsan (North)</vt:lpstr>
      <vt:lpstr>Momeik</vt:lpstr>
      <vt:lpstr>Mabane</vt:lpstr>
      <vt:lpstr>Manton</vt:lpstr>
      <vt:lpstr>Minengaw(Sub-Tsp)</vt:lpstr>
      <vt:lpstr>Minelon(Sub-Tsp)</vt:lpstr>
      <vt:lpstr>Kunlon</vt:lpstr>
      <vt:lpstr>Laukine</vt:lpstr>
      <vt:lpstr>Kongyan</vt:lpstr>
      <vt:lpstr>Chinshwehaw(Sub-Tsp)</vt:lpstr>
      <vt:lpstr>Mawhtike (Sub-Tsp)</vt:lpstr>
      <vt:lpstr>Hopan</vt:lpstr>
      <vt:lpstr>Minemaw</vt:lpstr>
      <vt:lpstr>Panwine</vt:lpstr>
      <vt:lpstr>Panlon(Sub-Tsp)</vt:lpstr>
      <vt:lpstr>Makman</vt:lpstr>
      <vt:lpstr>Pan San(Pan Kham)</vt:lpstr>
      <vt:lpstr>Naphang</vt:lpstr>
      <vt:lpstr>ManKan(Sub-Tsp)</vt:lpstr>
      <vt:lpstr>Kengtung</vt:lpstr>
      <vt:lpstr>Minekat</vt:lpstr>
      <vt:lpstr>Mineyan</vt:lpstr>
      <vt:lpstr>Minelar</vt:lpstr>
      <vt:lpstr>Minw Pauk(Sub-Tsp)</vt:lpstr>
      <vt:lpstr>Minesat</vt:lpstr>
      <vt:lpstr>Minepyin</vt:lpstr>
      <vt:lpstr>Minetung</vt:lpstr>
      <vt:lpstr>Minekoke(Sub-Tsp)</vt:lpstr>
      <vt:lpstr>Tontar (Sub-Tsp)</vt:lpstr>
      <vt:lpstr>Ponparkyin(Sub-Tsp)</vt:lpstr>
      <vt:lpstr>Monehta (Subn-Tsp)</vt:lpstr>
      <vt:lpstr>Tachileik</vt:lpstr>
      <vt:lpstr>Talay (Sub-Tsp)</vt:lpstr>
      <vt:lpstr>Kenglat(Sub-Tsp)</vt:lpstr>
      <vt:lpstr>Minephyat</vt:lpstr>
      <vt:lpstr>Mineyaung</vt:lpstr>
      <vt:lpstr>Mineyu(Sub-Tsp)</vt:lpstr>
      <vt:lpstr>Sheet2</vt:lpstr>
      <vt:lpstr>Sheet3</vt:lpstr>
      <vt:lpstr>' Naungkhio'!Print_Titles</vt:lpstr>
      <vt:lpstr>' Nyaungshwe'!Print_Titles</vt:lpstr>
      <vt:lpstr>'Homane (Sub-Tsp)'!Print_Titles</vt:lpstr>
      <vt:lpstr>Hopan!Print_Titles</vt:lpstr>
      <vt:lpstr>Hopong!Print_Titles</vt:lpstr>
      <vt:lpstr>Hsihseng!Print_Titles</vt:lpstr>
      <vt:lpstr>Hsipaw!Print_Titles</vt:lpstr>
      <vt:lpstr>'Indaw (Sub-Tsp)'!Print_Titles</vt:lpstr>
      <vt:lpstr>Kalaw!Print_Titles</vt:lpstr>
      <vt:lpstr>'Karli(sub-Tsp)'!Print_Titles</vt:lpstr>
      <vt:lpstr>Kehsi!Print_Titles</vt:lpstr>
      <vt:lpstr>'Kengtaung(Sub-Tsp)'!Print_Titles</vt:lpstr>
      <vt:lpstr>Kengtung!Print_Titles</vt:lpstr>
      <vt:lpstr>'Kholan(Sub-Tsp)'!Print_Titles</vt:lpstr>
      <vt:lpstr>Kongyan!Print_Titles</vt:lpstr>
      <vt:lpstr>Kukai!Print_Titles</vt:lpstr>
      <vt:lpstr>Kunhing!Print_Titles</vt:lpstr>
      <vt:lpstr>Kunlon!Print_Titles</vt:lpstr>
      <vt:lpstr>Kyaukme!Print_Titles</vt:lpstr>
      <vt:lpstr>'Kyauktalongyi (Sub-Tsp)'!Print_Titles</vt:lpstr>
      <vt:lpstr>Lahecha!Print_Titles</vt:lpstr>
      <vt:lpstr>Lashio!Print_Titles</vt:lpstr>
      <vt:lpstr>Laukine!Print_Titles</vt:lpstr>
      <vt:lpstr>Linkhe!Print_Titles</vt:lpstr>
      <vt:lpstr>Mabane!Print_Titles</vt:lpstr>
      <vt:lpstr>'Manhero (Manhyo)(Sub-Tsp)'!Print_Titles</vt:lpstr>
      <vt:lpstr>Manton!Print_Titles</vt:lpstr>
      <vt:lpstr>Maukme!Print_Titles</vt:lpstr>
      <vt:lpstr>Minekat!Print_Titles</vt:lpstr>
      <vt:lpstr>'Minekoke(Sub-Tsp)'!Print_Titles</vt:lpstr>
      <vt:lpstr>Minelar!Print_Titles</vt:lpstr>
      <vt:lpstr>'Minelon(Sub-Tsp)'!Print_Titles</vt:lpstr>
      <vt:lpstr>Minemaw!Print_Titles</vt:lpstr>
      <vt:lpstr>'Minenaung(Sub-Tsp)'!Print_Titles</vt:lpstr>
      <vt:lpstr>'Minengaw(Sub-Tsp)'!Print_Titles</vt:lpstr>
      <vt:lpstr>Minepan!Print_Titles</vt:lpstr>
      <vt:lpstr>Minepyin!Print_Titles</vt:lpstr>
      <vt:lpstr>'Minesan(Monsan)(Sub-Tsp)'!Print_Titles</vt:lpstr>
      <vt:lpstr>Minesat!Print_Titles</vt:lpstr>
      <vt:lpstr>Mineshu!Print_Titles</vt:lpstr>
      <vt:lpstr>Minetung!Print_Titles</vt:lpstr>
      <vt:lpstr>Mineyan!Print_Titles</vt:lpstr>
      <vt:lpstr>Mineyaung!Print_Titles</vt:lpstr>
      <vt:lpstr>Mineye!Print_Titles</vt:lpstr>
      <vt:lpstr>'Mineyu(Sub-Tsp)'!Print_Titles</vt:lpstr>
      <vt:lpstr>'Minw Pauk(Sub-Tsp)'!Print_Titles</vt:lpstr>
      <vt:lpstr>Momeik!Print_Titles</vt:lpstr>
      <vt:lpstr>Mone!Print_Titles</vt:lpstr>
      <vt:lpstr>'Monehta (Subn-Tsp)'!Print_Titles</vt:lpstr>
      <vt:lpstr>'Monekoe(Sub-Tsp)'!Print_Titles</vt:lpstr>
      <vt:lpstr>Mongkai!Print_Titles</vt:lpstr>
      <vt:lpstr>Muse!Print_Titles</vt:lpstr>
      <vt:lpstr>Namkham!Print_Titles</vt:lpstr>
      <vt:lpstr>'Namsan (North)'!Print_Titles</vt:lpstr>
      <vt:lpstr>Namtu!Print_Titles</vt:lpstr>
      <vt:lpstr>'Nanhsam(South)'!Print_Titles</vt:lpstr>
      <vt:lpstr>Naphang!Print_Titles</vt:lpstr>
      <vt:lpstr>'Naungtayar (Sub-Tsp)'!Print_Titles</vt:lpstr>
      <vt:lpstr>'Pan San(Pan Kham)'!Print_Titles</vt:lpstr>
      <vt:lpstr>'Panglong (Sub-Tsp)'!Print_Titles</vt:lpstr>
      <vt:lpstr>'Pansai (Kyu Kok) (Sub-Tsp)'!Print_Titles</vt:lpstr>
      <vt:lpstr>Panwine!Print_Titles</vt:lpstr>
      <vt:lpstr>Phekon!Print_Titles</vt:lpstr>
      <vt:lpstr>Pindaya!Print_Titles</vt:lpstr>
      <vt:lpstr>Pinlaung!Print_Titles</vt:lpstr>
      <vt:lpstr>'Ponparkyin(Sub-Tsp)'!Print_Titles</vt:lpstr>
      <vt:lpstr>Tachileik!Print_Titles</vt:lpstr>
      <vt:lpstr>'Tamoenye (Sub-Tsp)'!Print_Titles</vt:lpstr>
      <vt:lpstr>Tantyan!Print_Titles</vt:lpstr>
      <vt:lpstr>Taunggyi!Print_Titles</vt:lpstr>
      <vt:lpstr>Theinni!Print_Titles</vt:lpstr>
      <vt:lpstr>'Tontar (Sub-Tsp)'!Print_Titles</vt:lpstr>
      <vt:lpstr>Yatsauk!Print_Titles</vt:lpstr>
      <vt:lpstr>Ywangan!Print_Titles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Sandar Myint</dc:creator>
  <cp:lastModifiedBy>Naing Phyo Kyaw</cp:lastModifiedBy>
  <cp:lastPrinted>2015-08-31T05:05:09Z</cp:lastPrinted>
  <dcterms:created xsi:type="dcterms:W3CDTF">2015-06-01T07:44:40Z</dcterms:created>
  <dcterms:modified xsi:type="dcterms:W3CDTF">2018-12-18T06:30:08Z</dcterms:modified>
</cp:coreProperties>
</file>