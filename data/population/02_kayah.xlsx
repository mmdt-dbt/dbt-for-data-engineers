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7490" windowHeight="11010"/>
  </bookViews>
  <sheets>
    <sheet name="list of township" sheetId="11" r:id="rId1"/>
    <sheet name="Loikaw" sheetId="2" r:id="rId2"/>
    <sheet name="Dimawso" sheetId="3" r:id="rId3"/>
    <sheet name=" Phruso" sheetId="4" r:id="rId4"/>
    <sheet name="Shardaw" sheetId="5" r:id="rId5"/>
    <sheet name=" Bawlakhe" sheetId="6" r:id="rId6"/>
    <sheet name=" Parsaung" sheetId="7" r:id="rId7"/>
    <sheet name="Meisi" sheetId="8" r:id="rId8"/>
    <sheet name="Ywathit(Sub-Tsp)" sheetId="9" r:id="rId9"/>
    <sheet name="Sheet2" sheetId="10" r:id="rId10"/>
  </sheets>
  <definedNames>
    <definedName name="_xlnm.Print_Titles" localSheetId="2">Dimawso!$1:$5</definedName>
  </definedNames>
  <calcPr calcId="145621"/>
</workbook>
</file>

<file path=xl/calcChain.xml><?xml version="1.0" encoding="utf-8"?>
<calcChain xmlns="http://schemas.openxmlformats.org/spreadsheetml/2006/main">
  <c r="B9" i="11" l="1"/>
  <c r="B8" i="11"/>
  <c r="B7" i="11"/>
  <c r="B6" i="11"/>
  <c r="B5" i="11"/>
  <c r="B4" i="11"/>
  <c r="B3" i="11"/>
  <c r="B2" i="11"/>
  <c r="D12" i="9" l="1"/>
  <c r="E12" i="9"/>
  <c r="C12" i="9"/>
  <c r="D8" i="9"/>
  <c r="E8" i="9"/>
  <c r="C8" i="9"/>
  <c r="D12" i="8"/>
  <c r="E12" i="8"/>
  <c r="C12" i="8"/>
  <c r="D8" i="8"/>
  <c r="E8" i="8"/>
  <c r="C8" i="8"/>
  <c r="D12" i="7"/>
  <c r="E12" i="7"/>
  <c r="C12" i="7"/>
  <c r="D8" i="7"/>
  <c r="E8" i="7"/>
  <c r="C8" i="7"/>
  <c r="D12" i="6"/>
  <c r="E12" i="6"/>
  <c r="C12" i="6"/>
  <c r="D8" i="6"/>
  <c r="E8" i="6"/>
  <c r="C8" i="6"/>
  <c r="D14" i="5"/>
  <c r="E14" i="5"/>
  <c r="C14" i="5"/>
  <c r="D8" i="5"/>
  <c r="E8" i="5"/>
  <c r="C8" i="5"/>
  <c r="D15" i="4"/>
  <c r="E15" i="4"/>
  <c r="C15" i="4"/>
  <c r="D8" i="4"/>
  <c r="E8" i="4"/>
  <c r="C8" i="4"/>
  <c r="D11" i="3"/>
  <c r="E11" i="3"/>
  <c r="C11" i="3"/>
  <c r="D8" i="3"/>
  <c r="E8" i="3"/>
  <c r="C8" i="3"/>
  <c r="D8" i="2"/>
  <c r="E8" i="2"/>
  <c r="C8" i="2"/>
  <c r="D23" i="2"/>
  <c r="E23" i="2"/>
  <c r="C23" i="2"/>
</calcChain>
</file>

<file path=xl/sharedStrings.xml><?xml version="1.0" encoding="utf-8"?>
<sst xmlns="http://schemas.openxmlformats.org/spreadsheetml/2006/main" count="194" uniqueCount="118">
  <si>
    <t>Total</t>
  </si>
  <si>
    <t>Male</t>
  </si>
  <si>
    <t>Female</t>
  </si>
  <si>
    <t xml:space="preserve">            Naung Yar(Ka)(W)</t>
  </si>
  <si>
    <t xml:space="preserve">            Naung Yar (Kha)(W)</t>
  </si>
  <si>
    <t xml:space="preserve">            Daw Au Khu(W)</t>
  </si>
  <si>
    <t xml:space="preserve">            Maing Lone(W)</t>
  </si>
  <si>
    <t xml:space="preserve">            Min Ga Lar(W)</t>
  </si>
  <si>
    <t xml:space="preserve">            Dhammar Yon(W)</t>
  </si>
  <si>
    <t xml:space="preserve">            Zay Paing(W)</t>
  </si>
  <si>
    <t xml:space="preserve">            Shwe Taung(W)</t>
  </si>
  <si>
    <t xml:space="preserve">            Law Da Ma(W)</t>
  </si>
  <si>
    <t xml:space="preserve">            Daw Tan Ma(W)</t>
  </si>
  <si>
    <t xml:space="preserve">            Daw Noe Ku(W)</t>
  </si>
  <si>
    <t xml:space="preserve">            Shan Su(W)</t>
  </si>
  <si>
    <t xml:space="preserve">            Min Su(W)</t>
  </si>
  <si>
    <t xml:space="preserve">            Pan Kan(VT)</t>
  </si>
  <si>
    <t xml:space="preserve">            Htee Se Kha(VT)</t>
  </si>
  <si>
    <t xml:space="preserve">            Loylen Lay(VT)</t>
  </si>
  <si>
    <t xml:space="preserve">            Noe Koe(VT)</t>
  </si>
  <si>
    <t xml:space="preserve">            Kone Thar(VT)</t>
  </si>
  <si>
    <t xml:space="preserve">            Daw Paw Ka Le(VT)</t>
  </si>
  <si>
    <t xml:space="preserve">            Nwar La Woe(VT)</t>
  </si>
  <si>
    <t xml:space="preserve">            Chi Kel(VT)</t>
  </si>
  <si>
    <t xml:space="preserve">            Ma Htaw Khu(VT)</t>
  </si>
  <si>
    <t xml:space="preserve">            Par Laung(VT)</t>
  </si>
  <si>
    <t xml:space="preserve">            Tee Lon(VT)</t>
  </si>
  <si>
    <t xml:space="preserve">            Law Pi Ta(VT)</t>
  </si>
  <si>
    <t xml:space="preserve">            Demoso Myo Ma(W)</t>
  </si>
  <si>
    <t xml:space="preserve">            Sin Taung(VT)</t>
  </si>
  <si>
    <t xml:space="preserve">            Hpa Yar Hpyu(VT)</t>
  </si>
  <si>
    <t xml:space="preserve">            Nan Mel Khon(VT)</t>
  </si>
  <si>
    <t xml:space="preserve">            Oh Kay(VT)</t>
  </si>
  <si>
    <t xml:space="preserve">            Daw Bu Ku(VT)</t>
  </si>
  <si>
    <t xml:space="preserve">            Saung Du Ywar Thit(VT)</t>
  </si>
  <si>
    <t xml:space="preserve">            War Thaw Kho Ywar Thit(VT)</t>
  </si>
  <si>
    <t xml:space="preserve">            Thay Su Le(VT)</t>
  </si>
  <si>
    <t xml:space="preserve">            Daw Taw Ku(VT)</t>
  </si>
  <si>
    <t xml:space="preserve">            Naung Pale(VT)</t>
  </si>
  <si>
    <t xml:space="preserve">            Demoso(VT)</t>
  </si>
  <si>
    <t xml:space="preserve">            Daw Yauk Khu(VT)</t>
  </si>
  <si>
    <t xml:space="preserve">            Khu Pa Yar(VT)</t>
  </si>
  <si>
    <t xml:space="preserve">            Lo Bar Kho(VT)</t>
  </si>
  <si>
    <t xml:space="preserve">            War Ban Pa Loet(VT)</t>
  </si>
  <si>
    <t xml:space="preserve">            Mya Le(VT)</t>
  </si>
  <si>
    <t xml:space="preserve">            Saung Du Lar(VT)</t>
  </si>
  <si>
    <t xml:space="preserve">            Lo Pu(VT)</t>
  </si>
  <si>
    <t xml:space="preserve">            Ho Wan(VT)</t>
  </si>
  <si>
    <t xml:space="preserve">            Pan Pet(VT)</t>
  </si>
  <si>
    <t xml:space="preserve">            Ngwe Taung(VT)</t>
  </si>
  <si>
    <t xml:space="preserve">            San Pya Chauk Maing(VT)</t>
  </si>
  <si>
    <t xml:space="preserve">            Daw Ka Law Du(VT)</t>
  </si>
  <si>
    <t xml:space="preserve">            Daw Hpu(VT)</t>
  </si>
  <si>
    <t xml:space="preserve">            Htee Hpoe Ka Loe(VT)</t>
  </si>
  <si>
    <t xml:space="preserve">            Daw Ta Ma Gyi(VT)</t>
  </si>
  <si>
    <t xml:space="preserve">            Nyaung Zin(W)</t>
  </si>
  <si>
    <t xml:space="preserve">            Htee Ta Ye(W)</t>
  </si>
  <si>
    <t xml:space="preserve">            Htee Ku So(W)</t>
  </si>
  <si>
    <t xml:space="preserve">            Dee Dar Ku(W)</t>
  </si>
  <si>
    <t xml:space="preserve">            Law Bu Dar(W)</t>
  </si>
  <si>
    <t xml:space="preserve">            Hpruso (Myoma)(VT)</t>
  </si>
  <si>
    <t xml:space="preserve">            Htee Paw So(VT)</t>
  </si>
  <si>
    <t xml:space="preserve">            Rar Aye Pa Rar(VT)</t>
  </si>
  <si>
    <t xml:space="preserve">            Kay Hlar (Kyet Hpoe Gyi)(VT)</t>
  </si>
  <si>
    <t xml:space="preserve">            Mar Kha Yaw Shey(VT)</t>
  </si>
  <si>
    <t xml:space="preserve">            Mo So(VT)</t>
  </si>
  <si>
    <t xml:space="preserve">            Doe Lar Saw(VT)</t>
  </si>
  <si>
    <t xml:space="preserve">            Doe Pa Rei(VT)</t>
  </si>
  <si>
    <t xml:space="preserve">            Ho Yar(VT)</t>
  </si>
  <si>
    <t xml:space="preserve">            Do Mo Saw(VT)</t>
  </si>
  <si>
    <t xml:space="preserve">            Raw Daw Khaw(VT)</t>
  </si>
  <si>
    <t xml:space="preserve">            Kay Kaw(VT)</t>
  </si>
  <si>
    <t xml:space="preserve">            Tho Thee Hpo(VT)</t>
  </si>
  <si>
    <t xml:space="preserve">            Taw Khu(VT)</t>
  </si>
  <si>
    <t xml:space="preserve">            Aung Chan Thar(W)</t>
  </si>
  <si>
    <t xml:space="preserve">            Taung Paing(W)</t>
  </si>
  <si>
    <t xml:space="preserve">            Ah Lel Paing(W)</t>
  </si>
  <si>
    <t xml:space="preserve">            Shadaw (North)(VT)</t>
  </si>
  <si>
    <t xml:space="preserve">            Shadaw (South)(VT)</t>
  </si>
  <si>
    <t xml:space="preserve">            Shadaw (Middle)(VT)</t>
  </si>
  <si>
    <t xml:space="preserve">            Kayah Paing(W)</t>
  </si>
  <si>
    <t xml:space="preserve">            Shan Paing(W)</t>
  </si>
  <si>
    <t xml:space="preserve">            Bu Khu(VT)</t>
  </si>
  <si>
    <t xml:space="preserve">            Nan Hpe(VT)</t>
  </si>
  <si>
    <t xml:space="preserve">            Bawlakhe(VT)</t>
  </si>
  <si>
    <t xml:space="preserve">            Saw Lon(VT)</t>
  </si>
  <si>
    <t xml:space="preserve">            Chi Kweit(VT)</t>
  </si>
  <si>
    <t xml:space="preserve">            Myauk Paing(W)</t>
  </si>
  <si>
    <t xml:space="preserve">            Hpasawng(VT)</t>
  </si>
  <si>
    <t xml:space="preserve">            Wan Aung(VT)</t>
  </si>
  <si>
    <t xml:space="preserve">            Ba Han Lot(VT)</t>
  </si>
  <si>
    <t xml:space="preserve">            Kwar Khee(VT)</t>
  </si>
  <si>
    <t xml:space="preserve">            Kaw Thu Doe(VT)</t>
  </si>
  <si>
    <t xml:space="preserve">            Mawchi(VT)</t>
  </si>
  <si>
    <t xml:space="preserve">            Mo Sar Khee(VT)</t>
  </si>
  <si>
    <t xml:space="preserve">            Ka Rei Khee(VT)</t>
  </si>
  <si>
    <t xml:space="preserve">            Mese(VT)</t>
  </si>
  <si>
    <t xml:space="preserve">            Ho Gyit(VT)</t>
  </si>
  <si>
    <t xml:space="preserve">            Mei Se Nan(VT)</t>
  </si>
  <si>
    <t xml:space="preserve">            Nan Man(VT)</t>
  </si>
  <si>
    <t xml:space="preserve">            Wan Lwe(VT)</t>
  </si>
  <si>
    <t xml:space="preserve">            Lwei Waing(VT)</t>
  </si>
  <si>
    <t>Kayah State, Loikaw District, Loikaw Township</t>
  </si>
  <si>
    <t>29-3-2014</t>
  </si>
  <si>
    <t>Sr</t>
  </si>
  <si>
    <t>Population</t>
  </si>
  <si>
    <t>Ward</t>
  </si>
  <si>
    <t>Kayah State, Loikaw District,   Dimawso Township</t>
  </si>
  <si>
    <t>Kayah State, Loikaw District,  Phruso Township</t>
  </si>
  <si>
    <t>Kayah State, Loikaw District,  Shardaw Township</t>
  </si>
  <si>
    <t>Kayah State,  Bawlakhe District,   Bawlakhe Township</t>
  </si>
  <si>
    <t>Kayah State,  Bawlakhe District,  Parsaung Township</t>
  </si>
  <si>
    <t>Kayah State,  Bawlakhe District,  Meisi Township</t>
  </si>
  <si>
    <t>Kayah State,  Bawlakhe District, Ywathit (Sub- Township)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</si>
  <si>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  Total</t>
    </r>
  </si>
  <si>
    <t>Village Tract</t>
  </si>
  <si>
    <t>Ward/ 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</si>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</sst>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6" xfId="0" applyFont="1" applyFill="1" applyBorder="1"/>
    <xf numFmtId="0" fontId="3" fillId="0" borderId="6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3" fillId="0" borderId="1" xfId="0" applyFont="1" applyFill="1" applyBorder="1"/>
    <xf numFmtId="0" fontId="2" fillId="0" borderId="5" xfId="0" applyFont="1" applyBorder="1"/>
    <xf numFmtId="0" fontId="0" fillId="0" borderId="0" xfId="0" applyFont="1"/>
    <xf numFmtId="0" fontId="4" fillId="0" borderId="0" xfId="0" applyFont="1" applyAlignment="1"/>
    <xf numFmtId="0" fontId="5" fillId="0" borderId="0" xfId="0" applyFont="1"/>
    <xf numFmtId="0" fontId="3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2" fillId="0" borderId="2" xfId="0" applyFont="1" applyFill="1" applyBorder="1"/>
    <xf numFmtId="0" fontId="2" fillId="0" borderId="1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6" xfId="0" applyFont="1" applyFill="1" applyBorder="1" applyAlignment="1">
      <alignment horizontal="left"/>
    </xf>
    <xf numFmtId="0" fontId="2" fillId="0" borderId="4" xfId="0" applyFont="1" applyFill="1" applyBorder="1"/>
    <xf numFmtId="0" fontId="7" fillId="0" borderId="0" xfId="1"/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9" sqref="B9"/>
    </sheetView>
  </sheetViews>
  <sheetFormatPr defaultRowHeight="15" x14ac:dyDescent="0.25"/>
  <cols>
    <col min="2" max="2" width="52" bestFit="1" customWidth="1"/>
    <col min="3" max="3" width="28.140625" customWidth="1"/>
  </cols>
  <sheetData>
    <row r="1" spans="1:2" ht="18.75" x14ac:dyDescent="0.3">
      <c r="A1" s="27" t="s">
        <v>117</v>
      </c>
      <c r="B1" s="27"/>
    </row>
    <row r="2" spans="1:2" x14ac:dyDescent="0.25">
      <c r="A2">
        <v>1</v>
      </c>
      <c r="B2" s="26" t="str">
        <f>Loikaw!A1</f>
        <v>Kayah State, Loikaw District, Loikaw Township</v>
      </c>
    </row>
    <row r="3" spans="1:2" x14ac:dyDescent="0.25">
      <c r="A3">
        <v>2</v>
      </c>
      <c r="B3" s="26" t="str">
        <f>Dimawso!A1</f>
        <v>Kayah State, Loikaw District,   Dimawso Township</v>
      </c>
    </row>
    <row r="4" spans="1:2" x14ac:dyDescent="0.25">
      <c r="A4">
        <v>3</v>
      </c>
      <c r="B4" s="26" t="str">
        <f>' Phruso'!A1</f>
        <v>Kayah State, Loikaw District,  Phruso Township</v>
      </c>
    </row>
    <row r="5" spans="1:2" x14ac:dyDescent="0.25">
      <c r="A5">
        <v>4</v>
      </c>
      <c r="B5" s="26" t="str">
        <f>Shardaw!A1</f>
        <v>Kayah State, Loikaw District,  Shardaw Township</v>
      </c>
    </row>
    <row r="6" spans="1:2" x14ac:dyDescent="0.25">
      <c r="A6">
        <v>5</v>
      </c>
      <c r="B6" s="26" t="str">
        <f>' Bawlakhe'!A1</f>
        <v>Kayah State,  Bawlakhe District,   Bawlakhe Township</v>
      </c>
    </row>
    <row r="7" spans="1:2" x14ac:dyDescent="0.25">
      <c r="A7">
        <v>6</v>
      </c>
      <c r="B7" s="26" t="str">
        <f>' Parsaung'!A1</f>
        <v>Kayah State,  Bawlakhe District,  Parsaung Township</v>
      </c>
    </row>
    <row r="8" spans="1:2" x14ac:dyDescent="0.25">
      <c r="A8">
        <v>7</v>
      </c>
      <c r="B8" s="26" t="str">
        <f>Meisi!A1</f>
        <v>Kayah State,  Bawlakhe District,  Meisi Township</v>
      </c>
    </row>
    <row r="9" spans="1:2" x14ac:dyDescent="0.25">
      <c r="A9">
        <v>8</v>
      </c>
      <c r="B9" s="26" t="str">
        <f>'Ywathit(Sub-Tsp)'!A1</f>
        <v>Kayah State,  Bawlakhe District, Ywathit (Sub- Township)</v>
      </c>
    </row>
  </sheetData>
  <mergeCells count="1">
    <mergeCell ref="A1:B1"/>
  </mergeCells>
  <hyperlinks>
    <hyperlink ref="B2" location="Loikaw!A1" display="Loikaw!A1"/>
    <hyperlink ref="B3" location="Dimawso!A1" display="Dimawso!A1"/>
    <hyperlink ref="B4" location="' Phruso'!A1" display="' Phruso'!A1"/>
    <hyperlink ref="B5" location="Shardaw!A1" display="Shardaw!A1"/>
    <hyperlink ref="B6" location="' Bawlakhe'!A1" display="' Bawlakhe'!A1"/>
    <hyperlink ref="B7" location="' Parsaung'!A1" display="' Parsaung'!A1"/>
    <hyperlink ref="B8" location="Meisi!A1" display="Meisi!A1"/>
    <hyperlink ref="B9" location="'Ywathit(Sub-Tsp)'!A1" display="'Ywathit(Sub-Tsp)'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sqref="A1:E1"/>
    </sheetView>
  </sheetViews>
  <sheetFormatPr defaultColWidth="9.140625" defaultRowHeight="21" x14ac:dyDescent="0.35"/>
  <cols>
    <col min="1" max="1" width="9.140625" style="12"/>
    <col min="2" max="2" width="29.85546875" style="12" customWidth="1"/>
    <col min="3" max="5" width="15.7109375" style="12" customWidth="1"/>
    <col min="6" max="16384" width="9.140625" style="1"/>
  </cols>
  <sheetData>
    <row r="1" spans="1:6" s="10" customFormat="1" ht="25.5" customHeight="1" x14ac:dyDescent="0.35">
      <c r="A1" s="29" t="s">
        <v>102</v>
      </c>
      <c r="B1" s="29"/>
      <c r="C1" s="29"/>
      <c r="D1" s="29"/>
      <c r="E1" s="29"/>
      <c r="F1" s="9"/>
    </row>
    <row r="2" spans="1:6" s="10" customFormat="1" ht="25.5" customHeight="1" x14ac:dyDescent="0.35">
      <c r="A2" s="11"/>
      <c r="B2" s="11"/>
      <c r="C2" s="12"/>
      <c r="E2" s="13" t="s">
        <v>103</v>
      </c>
      <c r="F2" s="9"/>
    </row>
    <row r="3" spans="1:6" s="10" customFormat="1" ht="16.5" customHeight="1" x14ac:dyDescent="0.35">
      <c r="A3" s="14"/>
      <c r="B3" s="11"/>
      <c r="C3" s="12"/>
      <c r="D3" s="12"/>
      <c r="E3" s="11"/>
      <c r="F3" s="9"/>
    </row>
    <row r="4" spans="1:6" s="10" customFormat="1" ht="28.5" customHeight="1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s="8" customFormat="1" ht="36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ht="21.75" customHeight="1" x14ac:dyDescent="0.35">
      <c r="A6" s="16"/>
      <c r="B6" s="24" t="s">
        <v>114</v>
      </c>
      <c r="C6" s="3">
        <v>128401</v>
      </c>
      <c r="D6" s="3">
        <v>63109</v>
      </c>
      <c r="E6" s="3">
        <v>65292</v>
      </c>
    </row>
    <row r="7" spans="1:6" ht="21.75" customHeight="1" x14ac:dyDescent="0.35">
      <c r="A7" s="5"/>
      <c r="B7" s="5"/>
      <c r="C7" s="5"/>
      <c r="D7" s="5"/>
      <c r="E7" s="5"/>
    </row>
    <row r="8" spans="1:6" ht="21.75" customHeight="1" x14ac:dyDescent="0.35">
      <c r="A8" s="5"/>
      <c r="B8" s="17" t="s">
        <v>106</v>
      </c>
      <c r="C8" s="4">
        <f>SUM(C9:C21)</f>
        <v>51349</v>
      </c>
      <c r="D8" s="4">
        <f t="shared" ref="D8:E8" si="0">SUM(D9:D21)</f>
        <v>24732</v>
      </c>
      <c r="E8" s="4">
        <f t="shared" si="0"/>
        <v>26617</v>
      </c>
    </row>
    <row r="9" spans="1:6" ht="21.75" customHeight="1" x14ac:dyDescent="0.35">
      <c r="A9" s="5">
        <v>1</v>
      </c>
      <c r="B9" s="5" t="s">
        <v>3</v>
      </c>
      <c r="C9" s="5">
        <v>9370</v>
      </c>
      <c r="D9" s="5">
        <v>4416</v>
      </c>
      <c r="E9" s="5">
        <v>4954</v>
      </c>
    </row>
    <row r="10" spans="1:6" ht="21.75" customHeight="1" x14ac:dyDescent="0.35">
      <c r="A10" s="5">
        <v>2</v>
      </c>
      <c r="B10" s="5" t="s">
        <v>4</v>
      </c>
      <c r="C10" s="5">
        <v>1236</v>
      </c>
      <c r="D10" s="5">
        <v>524</v>
      </c>
      <c r="E10" s="5">
        <v>712</v>
      </c>
    </row>
    <row r="11" spans="1:6" ht="21.75" customHeight="1" x14ac:dyDescent="0.35">
      <c r="A11" s="5">
        <v>3</v>
      </c>
      <c r="B11" s="5" t="s">
        <v>5</v>
      </c>
      <c r="C11" s="5">
        <v>8653</v>
      </c>
      <c r="D11" s="5">
        <v>4350</v>
      </c>
      <c r="E11" s="5">
        <v>4303</v>
      </c>
    </row>
    <row r="12" spans="1:6" ht="21.75" customHeight="1" x14ac:dyDescent="0.35">
      <c r="A12" s="5">
        <v>4</v>
      </c>
      <c r="B12" s="5" t="s">
        <v>6</v>
      </c>
      <c r="C12" s="5">
        <v>5753</v>
      </c>
      <c r="D12" s="5">
        <v>2761</v>
      </c>
      <c r="E12" s="5">
        <v>2992</v>
      </c>
    </row>
    <row r="13" spans="1:6" ht="21.75" customHeight="1" x14ac:dyDescent="0.35">
      <c r="A13" s="5">
        <v>5</v>
      </c>
      <c r="B13" s="5" t="s">
        <v>7</v>
      </c>
      <c r="C13" s="5">
        <v>3447</v>
      </c>
      <c r="D13" s="5">
        <v>1698</v>
      </c>
      <c r="E13" s="5">
        <v>1749</v>
      </c>
    </row>
    <row r="14" spans="1:6" ht="21.75" customHeight="1" x14ac:dyDescent="0.35">
      <c r="A14" s="5">
        <v>6</v>
      </c>
      <c r="B14" s="5" t="s">
        <v>8</v>
      </c>
      <c r="C14" s="5">
        <v>952</v>
      </c>
      <c r="D14" s="5">
        <v>428</v>
      </c>
      <c r="E14" s="5">
        <v>524</v>
      </c>
    </row>
    <row r="15" spans="1:6" ht="21.75" customHeight="1" x14ac:dyDescent="0.35">
      <c r="A15" s="5">
        <v>7</v>
      </c>
      <c r="B15" s="5" t="s">
        <v>9</v>
      </c>
      <c r="C15" s="5">
        <v>804</v>
      </c>
      <c r="D15" s="5">
        <v>431</v>
      </c>
      <c r="E15" s="5">
        <v>373</v>
      </c>
    </row>
    <row r="16" spans="1:6" ht="21.75" customHeight="1" x14ac:dyDescent="0.35">
      <c r="A16" s="5">
        <v>8</v>
      </c>
      <c r="B16" s="5" t="s">
        <v>10</v>
      </c>
      <c r="C16" s="5">
        <v>1353</v>
      </c>
      <c r="D16" s="5">
        <v>671</v>
      </c>
      <c r="E16" s="5">
        <v>682</v>
      </c>
    </row>
    <row r="17" spans="1:5" ht="21.75" customHeight="1" x14ac:dyDescent="0.35">
      <c r="A17" s="5">
        <v>9</v>
      </c>
      <c r="B17" s="5" t="s">
        <v>11</v>
      </c>
      <c r="C17" s="5">
        <v>5738</v>
      </c>
      <c r="D17" s="5">
        <v>2805</v>
      </c>
      <c r="E17" s="5">
        <v>2933</v>
      </c>
    </row>
    <row r="18" spans="1:5" ht="21.75" customHeight="1" x14ac:dyDescent="0.35">
      <c r="A18" s="5">
        <v>10</v>
      </c>
      <c r="B18" s="5" t="s">
        <v>12</v>
      </c>
      <c r="C18" s="5">
        <v>3961</v>
      </c>
      <c r="D18" s="5">
        <v>1852</v>
      </c>
      <c r="E18" s="5">
        <v>2109</v>
      </c>
    </row>
    <row r="19" spans="1:5" ht="21.75" customHeight="1" x14ac:dyDescent="0.35">
      <c r="A19" s="5">
        <v>11</v>
      </c>
      <c r="B19" s="5" t="s">
        <v>13</v>
      </c>
      <c r="C19" s="5">
        <v>2820</v>
      </c>
      <c r="D19" s="5">
        <v>1312</v>
      </c>
      <c r="E19" s="5">
        <v>1508</v>
      </c>
    </row>
    <row r="20" spans="1:5" ht="21.75" customHeight="1" x14ac:dyDescent="0.35">
      <c r="A20" s="5">
        <v>12</v>
      </c>
      <c r="B20" s="5" t="s">
        <v>14</v>
      </c>
      <c r="C20" s="5">
        <v>1307</v>
      </c>
      <c r="D20" s="5">
        <v>628</v>
      </c>
      <c r="E20" s="5">
        <v>679</v>
      </c>
    </row>
    <row r="21" spans="1:5" ht="21.75" customHeight="1" x14ac:dyDescent="0.35">
      <c r="A21" s="5">
        <v>13</v>
      </c>
      <c r="B21" s="5" t="s">
        <v>15</v>
      </c>
      <c r="C21" s="5">
        <v>5955</v>
      </c>
      <c r="D21" s="5">
        <v>2856</v>
      </c>
      <c r="E21" s="5">
        <v>3099</v>
      </c>
    </row>
    <row r="22" spans="1:5" ht="21.75" customHeight="1" x14ac:dyDescent="0.35">
      <c r="A22" s="5"/>
      <c r="B22" s="5"/>
      <c r="C22" s="5"/>
      <c r="D22" s="5"/>
      <c r="E22" s="5"/>
    </row>
    <row r="23" spans="1:5" ht="21.75" customHeight="1" x14ac:dyDescent="0.35">
      <c r="A23" s="5"/>
      <c r="B23" s="17" t="s">
        <v>115</v>
      </c>
      <c r="C23" s="4">
        <f>SUM(C24:C35)</f>
        <v>77052</v>
      </c>
      <c r="D23" s="4">
        <f t="shared" ref="D23:E23" si="1">SUM(D24:D35)</f>
        <v>38377</v>
      </c>
      <c r="E23" s="4">
        <f t="shared" si="1"/>
        <v>38675</v>
      </c>
    </row>
    <row r="24" spans="1:5" ht="21.75" customHeight="1" x14ac:dyDescent="0.35">
      <c r="A24" s="5">
        <v>1</v>
      </c>
      <c r="B24" s="5" t="s">
        <v>16</v>
      </c>
      <c r="C24" s="5">
        <v>14354</v>
      </c>
      <c r="D24" s="5">
        <v>7149</v>
      </c>
      <c r="E24" s="5">
        <v>7205</v>
      </c>
    </row>
    <row r="25" spans="1:5" ht="21.75" customHeight="1" x14ac:dyDescent="0.35">
      <c r="A25" s="5">
        <v>2</v>
      </c>
      <c r="B25" s="5" t="s">
        <v>17</v>
      </c>
      <c r="C25" s="5">
        <v>4498</v>
      </c>
      <c r="D25" s="5">
        <v>2219</v>
      </c>
      <c r="E25" s="5">
        <v>2279</v>
      </c>
    </row>
    <row r="26" spans="1:5" ht="21.75" customHeight="1" x14ac:dyDescent="0.35">
      <c r="A26" s="5">
        <v>3</v>
      </c>
      <c r="B26" s="5" t="s">
        <v>18</v>
      </c>
      <c r="C26" s="5">
        <v>8434</v>
      </c>
      <c r="D26" s="5">
        <v>4224</v>
      </c>
      <c r="E26" s="5">
        <v>4210</v>
      </c>
    </row>
    <row r="27" spans="1:5" ht="21.75" customHeight="1" x14ac:dyDescent="0.35">
      <c r="A27" s="5">
        <v>4</v>
      </c>
      <c r="B27" s="5" t="s">
        <v>19</v>
      </c>
      <c r="C27" s="5">
        <v>2453</v>
      </c>
      <c r="D27" s="5">
        <v>1195</v>
      </c>
      <c r="E27" s="5">
        <v>1258</v>
      </c>
    </row>
    <row r="28" spans="1:5" ht="21.75" customHeight="1" x14ac:dyDescent="0.35">
      <c r="A28" s="5">
        <v>5</v>
      </c>
      <c r="B28" s="5" t="s">
        <v>20</v>
      </c>
      <c r="C28" s="5">
        <v>6370</v>
      </c>
      <c r="D28" s="5">
        <v>3205</v>
      </c>
      <c r="E28" s="5">
        <v>3165</v>
      </c>
    </row>
    <row r="29" spans="1:5" ht="21.75" customHeight="1" x14ac:dyDescent="0.35">
      <c r="A29" s="5">
        <v>6</v>
      </c>
      <c r="B29" s="5" t="s">
        <v>21</v>
      </c>
      <c r="C29" s="5">
        <v>3554</v>
      </c>
      <c r="D29" s="5">
        <v>1686</v>
      </c>
      <c r="E29" s="5">
        <v>1868</v>
      </c>
    </row>
    <row r="30" spans="1:5" ht="21.75" customHeight="1" x14ac:dyDescent="0.35">
      <c r="A30" s="5">
        <v>7</v>
      </c>
      <c r="B30" s="5" t="s">
        <v>22</v>
      </c>
      <c r="C30" s="5">
        <v>11032</v>
      </c>
      <c r="D30" s="5">
        <v>5468</v>
      </c>
      <c r="E30" s="5">
        <v>5564</v>
      </c>
    </row>
    <row r="31" spans="1:5" ht="21.75" customHeight="1" x14ac:dyDescent="0.35">
      <c r="A31" s="5">
        <v>8</v>
      </c>
      <c r="B31" s="5" t="s">
        <v>23</v>
      </c>
      <c r="C31" s="5">
        <v>9508</v>
      </c>
      <c r="D31" s="5">
        <v>4775</v>
      </c>
      <c r="E31" s="5">
        <v>4733</v>
      </c>
    </row>
    <row r="32" spans="1:5" ht="21.75" customHeight="1" x14ac:dyDescent="0.35">
      <c r="A32" s="5">
        <v>9</v>
      </c>
      <c r="B32" s="5" t="s">
        <v>24</v>
      </c>
      <c r="C32" s="5">
        <v>4144</v>
      </c>
      <c r="D32" s="5">
        <v>2096</v>
      </c>
      <c r="E32" s="5">
        <v>2048</v>
      </c>
    </row>
    <row r="33" spans="1:5" ht="21.75" customHeight="1" x14ac:dyDescent="0.35">
      <c r="A33" s="5">
        <v>10</v>
      </c>
      <c r="B33" s="5" t="s">
        <v>25</v>
      </c>
      <c r="C33" s="5">
        <v>1504</v>
      </c>
      <c r="D33" s="5">
        <v>750</v>
      </c>
      <c r="E33" s="5">
        <v>754</v>
      </c>
    </row>
    <row r="34" spans="1:5" ht="21.75" customHeight="1" x14ac:dyDescent="0.35">
      <c r="A34" s="5">
        <v>11</v>
      </c>
      <c r="B34" s="5" t="s">
        <v>26</v>
      </c>
      <c r="C34" s="5">
        <v>2968</v>
      </c>
      <c r="D34" s="5">
        <v>1510</v>
      </c>
      <c r="E34" s="5">
        <v>1458</v>
      </c>
    </row>
    <row r="35" spans="1:5" ht="21.75" customHeight="1" x14ac:dyDescent="0.35">
      <c r="A35" s="5">
        <v>12</v>
      </c>
      <c r="B35" s="5" t="s">
        <v>27</v>
      </c>
      <c r="C35" s="5">
        <v>8233</v>
      </c>
      <c r="D35" s="5">
        <v>4100</v>
      </c>
      <c r="E35" s="5">
        <v>4133</v>
      </c>
    </row>
    <row r="36" spans="1:5" x14ac:dyDescent="0.35">
      <c r="A36" s="7"/>
      <c r="B36" s="7"/>
      <c r="C36" s="7"/>
      <c r="D36" s="7"/>
      <c r="E36" s="7"/>
    </row>
  </sheetData>
  <mergeCells count="4">
    <mergeCell ref="A4:A5"/>
    <mergeCell ref="B4:B5"/>
    <mergeCell ref="C4:E4"/>
    <mergeCell ref="A1:E1"/>
  </mergeCells>
  <hyperlinks>
    <hyperlink ref="A1:E1" location="'list of township'!A1" display="Kayah State, Loikaw District, Loikaw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sqref="A1:E1"/>
    </sheetView>
  </sheetViews>
  <sheetFormatPr defaultRowHeight="15" x14ac:dyDescent="0.25"/>
  <cols>
    <col min="1" max="1" width="9.140625" style="8"/>
    <col min="2" max="2" width="31.7109375" style="8" bestFit="1" customWidth="1"/>
    <col min="3" max="5" width="15.7109375" style="8" customWidth="1"/>
    <col min="6" max="16384" width="9.140625" style="8"/>
  </cols>
  <sheetData>
    <row r="1" spans="1:9" s="10" customFormat="1" ht="25.5" customHeight="1" x14ac:dyDescent="0.35">
      <c r="A1" s="29" t="s">
        <v>107</v>
      </c>
      <c r="B1" s="29"/>
      <c r="C1" s="29"/>
      <c r="D1" s="29"/>
      <c r="E1" s="29"/>
      <c r="F1" s="9"/>
      <c r="G1" s="9"/>
      <c r="H1" s="9"/>
      <c r="I1" s="9"/>
    </row>
    <row r="2" spans="1:9" s="10" customFormat="1" ht="25.5" customHeight="1" x14ac:dyDescent="0.35">
      <c r="A2" s="9"/>
      <c r="B2" s="9"/>
      <c r="E2" s="13" t="s">
        <v>103</v>
      </c>
      <c r="F2" s="9"/>
      <c r="G2" s="9"/>
      <c r="H2" s="9"/>
      <c r="I2" s="9"/>
    </row>
    <row r="3" spans="1:9" s="10" customFormat="1" ht="25.5" customHeight="1" x14ac:dyDescent="0.35">
      <c r="A3" s="18"/>
      <c r="B3" s="9"/>
      <c r="E3" s="9"/>
      <c r="F3" s="9"/>
      <c r="G3" s="9"/>
      <c r="H3" s="9"/>
      <c r="I3" s="9"/>
    </row>
    <row r="4" spans="1:9" s="10" customFormat="1" ht="28.5" customHeight="1" x14ac:dyDescent="0.3">
      <c r="A4" s="28" t="s">
        <v>104</v>
      </c>
      <c r="B4" s="28" t="s">
        <v>116</v>
      </c>
      <c r="C4" s="28" t="s">
        <v>105</v>
      </c>
      <c r="D4" s="28"/>
      <c r="E4" s="28"/>
      <c r="F4" s="19"/>
      <c r="G4" s="19"/>
    </row>
    <row r="5" spans="1:9" ht="27.75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9" s="1" customFormat="1" ht="21.75" customHeight="1" x14ac:dyDescent="0.35">
      <c r="A6" s="2"/>
      <c r="B6" s="24" t="s">
        <v>114</v>
      </c>
      <c r="C6" s="3">
        <v>79201</v>
      </c>
      <c r="D6" s="3">
        <v>38936</v>
      </c>
      <c r="E6" s="3">
        <v>40265</v>
      </c>
    </row>
    <row r="7" spans="1:9" s="1" customFormat="1" ht="12" customHeight="1" x14ac:dyDescent="0.35">
      <c r="A7" s="2"/>
      <c r="B7" s="20"/>
      <c r="C7" s="20"/>
      <c r="D7" s="20"/>
      <c r="E7" s="20"/>
    </row>
    <row r="8" spans="1:9" ht="21.75" customHeight="1" x14ac:dyDescent="0.35">
      <c r="A8" s="2"/>
      <c r="B8" s="17" t="s">
        <v>106</v>
      </c>
      <c r="C8" s="4">
        <f>C9</f>
        <v>5621</v>
      </c>
      <c r="D8" s="4">
        <f t="shared" ref="D8:E8" si="0">D9</f>
        <v>2716</v>
      </c>
      <c r="E8" s="4">
        <f t="shared" si="0"/>
        <v>2905</v>
      </c>
      <c r="F8" s="1"/>
      <c r="G8" s="1"/>
      <c r="H8" s="1"/>
    </row>
    <row r="9" spans="1:9" ht="21.75" customHeight="1" x14ac:dyDescent="0.35">
      <c r="A9" s="2">
        <v>1</v>
      </c>
      <c r="B9" s="5" t="s">
        <v>28</v>
      </c>
      <c r="C9" s="5">
        <v>5621</v>
      </c>
      <c r="D9" s="5">
        <v>2716</v>
      </c>
      <c r="E9" s="5">
        <v>2905</v>
      </c>
      <c r="F9" s="1"/>
      <c r="G9" s="1"/>
      <c r="H9" s="1"/>
    </row>
    <row r="10" spans="1:9" ht="12" customHeight="1" x14ac:dyDescent="0.35">
      <c r="A10" s="2"/>
      <c r="B10" s="5"/>
      <c r="C10" s="5"/>
      <c r="D10" s="5"/>
      <c r="E10" s="5"/>
      <c r="F10" s="1"/>
      <c r="G10" s="1"/>
      <c r="H10" s="1"/>
    </row>
    <row r="11" spans="1:9" ht="21.75" customHeight="1" x14ac:dyDescent="0.35">
      <c r="A11" s="2"/>
      <c r="B11" s="17" t="s">
        <v>115</v>
      </c>
      <c r="C11" s="4">
        <f>SUM(C12:C37)</f>
        <v>73580</v>
      </c>
      <c r="D11" s="4">
        <f t="shared" ref="D11:E11" si="1">SUM(D12:D37)</f>
        <v>36220</v>
      </c>
      <c r="E11" s="4">
        <f t="shared" si="1"/>
        <v>37360</v>
      </c>
      <c r="F11" s="1"/>
      <c r="G11" s="1"/>
      <c r="H11" s="1"/>
    </row>
    <row r="12" spans="1:9" ht="21.75" customHeight="1" x14ac:dyDescent="0.35">
      <c r="A12" s="2">
        <v>1</v>
      </c>
      <c r="B12" s="5" t="s">
        <v>29</v>
      </c>
      <c r="C12" s="5">
        <v>3847</v>
      </c>
      <c r="D12" s="5">
        <v>1879</v>
      </c>
      <c r="E12" s="5">
        <v>1968</v>
      </c>
      <c r="F12" s="1"/>
      <c r="G12" s="1"/>
      <c r="H12" s="1"/>
    </row>
    <row r="13" spans="1:9" ht="21.75" customHeight="1" x14ac:dyDescent="0.35">
      <c r="A13" s="2">
        <v>2</v>
      </c>
      <c r="B13" s="5" t="s">
        <v>30</v>
      </c>
      <c r="C13" s="5">
        <v>1480</v>
      </c>
      <c r="D13" s="5">
        <v>741</v>
      </c>
      <c r="E13" s="5">
        <v>739</v>
      </c>
      <c r="F13" s="1"/>
      <c r="G13" s="1"/>
      <c r="H13" s="1"/>
    </row>
    <row r="14" spans="1:9" ht="21.75" customHeight="1" x14ac:dyDescent="0.35">
      <c r="A14" s="2">
        <v>3</v>
      </c>
      <c r="B14" s="5" t="s">
        <v>31</v>
      </c>
      <c r="C14" s="5">
        <v>2184</v>
      </c>
      <c r="D14" s="5">
        <v>1044</v>
      </c>
      <c r="E14" s="5">
        <v>1140</v>
      </c>
      <c r="F14" s="1"/>
      <c r="G14" s="1"/>
      <c r="H14" s="1"/>
    </row>
    <row r="15" spans="1:9" ht="21.75" customHeight="1" x14ac:dyDescent="0.35">
      <c r="A15" s="2">
        <v>4</v>
      </c>
      <c r="B15" s="5" t="s">
        <v>32</v>
      </c>
      <c r="C15" s="5">
        <v>2631</v>
      </c>
      <c r="D15" s="5">
        <v>1319</v>
      </c>
      <c r="E15" s="5">
        <v>1312</v>
      </c>
      <c r="F15" s="1"/>
      <c r="G15" s="1"/>
      <c r="H15" s="1"/>
    </row>
    <row r="16" spans="1:9" ht="21.75" customHeight="1" x14ac:dyDescent="0.35">
      <c r="A16" s="2">
        <v>5</v>
      </c>
      <c r="B16" s="5" t="s">
        <v>33</v>
      </c>
      <c r="C16" s="5">
        <v>1834</v>
      </c>
      <c r="D16" s="5">
        <v>892</v>
      </c>
      <c r="E16" s="5">
        <v>942</v>
      </c>
      <c r="F16" s="1"/>
      <c r="G16" s="1"/>
      <c r="H16" s="1"/>
    </row>
    <row r="17" spans="1:8" ht="21.75" customHeight="1" x14ac:dyDescent="0.35">
      <c r="A17" s="2">
        <v>6</v>
      </c>
      <c r="B17" s="5" t="s">
        <v>34</v>
      </c>
      <c r="C17" s="5">
        <v>3111</v>
      </c>
      <c r="D17" s="5">
        <v>1537</v>
      </c>
      <c r="E17" s="5">
        <v>1574</v>
      </c>
      <c r="F17" s="1"/>
      <c r="G17" s="1"/>
      <c r="H17" s="1"/>
    </row>
    <row r="18" spans="1:8" ht="21.75" customHeight="1" x14ac:dyDescent="0.35">
      <c r="A18" s="2">
        <v>7</v>
      </c>
      <c r="B18" s="5" t="s">
        <v>35</v>
      </c>
      <c r="C18" s="5">
        <v>1449</v>
      </c>
      <c r="D18" s="5">
        <v>739</v>
      </c>
      <c r="E18" s="5">
        <v>710</v>
      </c>
      <c r="F18" s="1"/>
      <c r="G18" s="1"/>
      <c r="H18" s="1"/>
    </row>
    <row r="19" spans="1:8" ht="21.75" customHeight="1" x14ac:dyDescent="0.35">
      <c r="A19" s="2">
        <v>8</v>
      </c>
      <c r="B19" s="5" t="s">
        <v>36</v>
      </c>
      <c r="C19" s="5">
        <v>2420</v>
      </c>
      <c r="D19" s="5">
        <v>1197</v>
      </c>
      <c r="E19" s="5">
        <v>1223</v>
      </c>
      <c r="F19" s="1"/>
      <c r="G19" s="1"/>
      <c r="H19" s="1"/>
    </row>
    <row r="20" spans="1:8" ht="21.75" customHeight="1" x14ac:dyDescent="0.35">
      <c r="A20" s="2">
        <v>9</v>
      </c>
      <c r="B20" s="5" t="s">
        <v>37</v>
      </c>
      <c r="C20" s="5">
        <v>2681</v>
      </c>
      <c r="D20" s="5">
        <v>1297</v>
      </c>
      <c r="E20" s="5">
        <v>1384</v>
      </c>
      <c r="F20" s="1"/>
      <c r="G20" s="1"/>
      <c r="H20" s="1"/>
    </row>
    <row r="21" spans="1:8" ht="21.75" customHeight="1" x14ac:dyDescent="0.35">
      <c r="A21" s="2">
        <v>10</v>
      </c>
      <c r="B21" s="5" t="s">
        <v>38</v>
      </c>
      <c r="C21" s="5">
        <v>2388</v>
      </c>
      <c r="D21" s="5">
        <v>1246</v>
      </c>
      <c r="E21" s="5">
        <v>1142</v>
      </c>
      <c r="F21" s="1"/>
      <c r="G21" s="1"/>
      <c r="H21" s="1"/>
    </row>
    <row r="22" spans="1:8" ht="21.75" customHeight="1" x14ac:dyDescent="0.35">
      <c r="A22" s="2">
        <v>11</v>
      </c>
      <c r="B22" s="5" t="s">
        <v>39</v>
      </c>
      <c r="C22" s="5">
        <v>6631</v>
      </c>
      <c r="D22" s="5">
        <v>3220</v>
      </c>
      <c r="E22" s="5">
        <v>3411</v>
      </c>
      <c r="F22" s="1"/>
      <c r="G22" s="1"/>
      <c r="H22" s="1"/>
    </row>
    <row r="23" spans="1:8" ht="21.75" customHeight="1" x14ac:dyDescent="0.35">
      <c r="A23" s="2">
        <v>12</v>
      </c>
      <c r="B23" s="5" t="s">
        <v>40</v>
      </c>
      <c r="C23" s="5">
        <v>2793</v>
      </c>
      <c r="D23" s="5">
        <v>1394</v>
      </c>
      <c r="E23" s="5">
        <v>1399</v>
      </c>
      <c r="F23" s="1"/>
      <c r="G23" s="1"/>
      <c r="H23" s="1"/>
    </row>
    <row r="24" spans="1:8" ht="21.75" customHeight="1" x14ac:dyDescent="0.35">
      <c r="A24" s="2">
        <v>13</v>
      </c>
      <c r="B24" s="5" t="s">
        <v>41</v>
      </c>
      <c r="C24" s="5">
        <v>810</v>
      </c>
      <c r="D24" s="5">
        <v>420</v>
      </c>
      <c r="E24" s="5">
        <v>390</v>
      </c>
      <c r="F24" s="1"/>
      <c r="G24" s="1"/>
      <c r="H24" s="1"/>
    </row>
    <row r="25" spans="1:8" ht="21.75" customHeight="1" x14ac:dyDescent="0.35">
      <c r="A25" s="2">
        <v>14</v>
      </c>
      <c r="B25" s="5" t="s">
        <v>42</v>
      </c>
      <c r="C25" s="5">
        <v>2244</v>
      </c>
      <c r="D25" s="5">
        <v>1143</v>
      </c>
      <c r="E25" s="5">
        <v>1101</v>
      </c>
      <c r="F25" s="1"/>
      <c r="G25" s="1"/>
      <c r="H25" s="1"/>
    </row>
    <row r="26" spans="1:8" ht="21.75" customHeight="1" x14ac:dyDescent="0.35">
      <c r="A26" s="2">
        <v>15</v>
      </c>
      <c r="B26" s="5" t="s">
        <v>43</v>
      </c>
      <c r="C26" s="5">
        <v>2233</v>
      </c>
      <c r="D26" s="5">
        <v>1163</v>
      </c>
      <c r="E26" s="5">
        <v>1070</v>
      </c>
      <c r="F26" s="1"/>
      <c r="G26" s="1"/>
      <c r="H26" s="1"/>
    </row>
    <row r="27" spans="1:8" ht="21.75" customHeight="1" x14ac:dyDescent="0.35">
      <c r="A27" s="2">
        <v>16</v>
      </c>
      <c r="B27" s="5" t="s">
        <v>44</v>
      </c>
      <c r="C27" s="5">
        <v>2431</v>
      </c>
      <c r="D27" s="5">
        <v>1201</v>
      </c>
      <c r="E27" s="5">
        <v>1230</v>
      </c>
      <c r="F27" s="1"/>
      <c r="G27" s="1"/>
      <c r="H27" s="1"/>
    </row>
    <row r="28" spans="1:8" ht="21.75" customHeight="1" x14ac:dyDescent="0.35">
      <c r="A28" s="2">
        <v>17</v>
      </c>
      <c r="B28" s="5" t="s">
        <v>45</v>
      </c>
      <c r="C28" s="5">
        <v>4098</v>
      </c>
      <c r="D28" s="5">
        <v>2045</v>
      </c>
      <c r="E28" s="5">
        <v>2053</v>
      </c>
      <c r="F28" s="1"/>
      <c r="G28" s="1"/>
      <c r="H28" s="1"/>
    </row>
    <row r="29" spans="1:8" ht="21.75" customHeight="1" x14ac:dyDescent="0.35">
      <c r="A29" s="2">
        <v>18</v>
      </c>
      <c r="B29" s="5" t="s">
        <v>46</v>
      </c>
      <c r="C29" s="5">
        <v>1305</v>
      </c>
      <c r="D29" s="5">
        <v>656</v>
      </c>
      <c r="E29" s="5">
        <v>649</v>
      </c>
      <c r="F29" s="1"/>
      <c r="G29" s="1"/>
      <c r="H29" s="1"/>
    </row>
    <row r="30" spans="1:8" ht="21.75" customHeight="1" x14ac:dyDescent="0.35">
      <c r="A30" s="2">
        <v>19</v>
      </c>
      <c r="B30" s="5" t="s">
        <v>47</v>
      </c>
      <c r="C30" s="5">
        <v>503</v>
      </c>
      <c r="D30" s="5">
        <v>248</v>
      </c>
      <c r="E30" s="5">
        <v>255</v>
      </c>
      <c r="F30" s="1"/>
      <c r="G30" s="1"/>
      <c r="H30" s="1"/>
    </row>
    <row r="31" spans="1:8" ht="21.75" customHeight="1" x14ac:dyDescent="0.35">
      <c r="A31" s="2">
        <v>20</v>
      </c>
      <c r="B31" s="5" t="s">
        <v>48</v>
      </c>
      <c r="C31" s="5">
        <v>930</v>
      </c>
      <c r="D31" s="5">
        <v>489</v>
      </c>
      <c r="E31" s="5">
        <v>441</v>
      </c>
      <c r="F31" s="1"/>
      <c r="G31" s="1"/>
      <c r="H31" s="1"/>
    </row>
    <row r="32" spans="1:8" ht="21.75" customHeight="1" x14ac:dyDescent="0.35">
      <c r="A32" s="2">
        <v>21</v>
      </c>
      <c r="B32" s="5" t="s">
        <v>49</v>
      </c>
      <c r="C32" s="5">
        <v>7955</v>
      </c>
      <c r="D32" s="5">
        <v>3901</v>
      </c>
      <c r="E32" s="5">
        <v>4054</v>
      </c>
      <c r="F32" s="1"/>
      <c r="G32" s="1"/>
      <c r="H32" s="1"/>
    </row>
    <row r="33" spans="1:8" ht="21.75" customHeight="1" x14ac:dyDescent="0.35">
      <c r="A33" s="2">
        <v>22</v>
      </c>
      <c r="B33" s="5" t="s">
        <v>50</v>
      </c>
      <c r="C33" s="5">
        <v>5390</v>
      </c>
      <c r="D33" s="5">
        <v>2516</v>
      </c>
      <c r="E33" s="5">
        <v>2874</v>
      </c>
      <c r="F33" s="1"/>
      <c r="G33" s="1"/>
      <c r="H33" s="1"/>
    </row>
    <row r="34" spans="1:8" ht="21.75" customHeight="1" x14ac:dyDescent="0.35">
      <c r="A34" s="2">
        <v>23</v>
      </c>
      <c r="B34" s="5" t="s">
        <v>51</v>
      </c>
      <c r="C34" s="5">
        <v>2631</v>
      </c>
      <c r="D34" s="5">
        <v>1331</v>
      </c>
      <c r="E34" s="5">
        <v>1300</v>
      </c>
      <c r="F34" s="1"/>
      <c r="G34" s="1"/>
      <c r="H34" s="1"/>
    </row>
    <row r="35" spans="1:8" ht="21.75" customHeight="1" x14ac:dyDescent="0.35">
      <c r="A35" s="2">
        <v>24</v>
      </c>
      <c r="B35" s="5" t="s">
        <v>52</v>
      </c>
      <c r="C35" s="5">
        <v>1176</v>
      </c>
      <c r="D35" s="5">
        <v>580</v>
      </c>
      <c r="E35" s="5">
        <v>596</v>
      </c>
      <c r="F35" s="1"/>
      <c r="G35" s="1"/>
      <c r="H35" s="1"/>
    </row>
    <row r="36" spans="1:8" ht="21.75" customHeight="1" x14ac:dyDescent="0.35">
      <c r="A36" s="20">
        <v>25</v>
      </c>
      <c r="B36" s="5" t="s">
        <v>53</v>
      </c>
      <c r="C36" s="5">
        <v>3773</v>
      </c>
      <c r="D36" s="5">
        <v>1814</v>
      </c>
      <c r="E36" s="5">
        <v>1959</v>
      </c>
      <c r="F36" s="1"/>
      <c r="G36" s="1"/>
      <c r="H36" s="1"/>
    </row>
    <row r="37" spans="1:8" ht="21.75" customHeight="1" x14ac:dyDescent="0.35">
      <c r="A37" s="25">
        <v>26</v>
      </c>
      <c r="B37" s="7" t="s">
        <v>54</v>
      </c>
      <c r="C37" s="7">
        <v>4652</v>
      </c>
      <c r="D37" s="7">
        <v>2208</v>
      </c>
      <c r="E37" s="7">
        <v>2444</v>
      </c>
      <c r="F37" s="1"/>
      <c r="G37" s="1"/>
      <c r="H37" s="1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Loikaw District,   Dimawso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sqref="A1:E1"/>
    </sheetView>
  </sheetViews>
  <sheetFormatPr defaultRowHeight="15" x14ac:dyDescent="0.25"/>
  <cols>
    <col min="1" max="1" width="9.140625" style="8"/>
    <col min="2" max="2" width="35.7109375" style="8" customWidth="1"/>
    <col min="3" max="5" width="12.7109375" style="8" customWidth="1"/>
    <col min="6" max="16384" width="9.140625" style="8"/>
  </cols>
  <sheetData>
    <row r="1" spans="1:6" s="10" customFormat="1" ht="25.5" customHeight="1" x14ac:dyDescent="0.35">
      <c r="A1" s="29" t="s">
        <v>108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5.5" customHeight="1" x14ac:dyDescent="0.35">
      <c r="A3" s="18"/>
      <c r="B3" s="9"/>
      <c r="E3" s="9"/>
      <c r="F3" s="9"/>
    </row>
    <row r="4" spans="1:6" s="10" customFormat="1" ht="30" customHeight="1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ht="27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s="1" customFormat="1" ht="21.75" customHeight="1" x14ac:dyDescent="0.35">
      <c r="A6" s="21"/>
      <c r="B6" s="24" t="s">
        <v>114</v>
      </c>
      <c r="C6" s="6">
        <v>29374</v>
      </c>
      <c r="D6" s="6">
        <v>14437</v>
      </c>
      <c r="E6" s="6">
        <v>14937</v>
      </c>
    </row>
    <row r="7" spans="1:6" s="1" customFormat="1" ht="21.75" customHeight="1" x14ac:dyDescent="0.35">
      <c r="A7" s="5"/>
      <c r="B7" s="5"/>
      <c r="C7" s="20"/>
      <c r="D7" s="20"/>
      <c r="E7" s="20"/>
    </row>
    <row r="8" spans="1:6" ht="21.75" customHeight="1" x14ac:dyDescent="0.25">
      <c r="A8" s="5"/>
      <c r="B8" s="17" t="s">
        <v>106</v>
      </c>
      <c r="C8" s="4">
        <f>SUM(C9:C13)</f>
        <v>4240</v>
      </c>
      <c r="D8" s="4">
        <f t="shared" ref="D8:E8" si="0">SUM(D9:D13)</f>
        <v>2144</v>
      </c>
      <c r="E8" s="4">
        <f t="shared" si="0"/>
        <v>2096</v>
      </c>
    </row>
    <row r="9" spans="1:6" ht="21.75" customHeight="1" x14ac:dyDescent="0.25">
      <c r="A9" s="5">
        <v>1</v>
      </c>
      <c r="B9" s="5" t="s">
        <v>55</v>
      </c>
      <c r="C9" s="5">
        <v>946</v>
      </c>
      <c r="D9" s="5">
        <v>451</v>
      </c>
      <c r="E9" s="5">
        <v>495</v>
      </c>
    </row>
    <row r="10" spans="1:6" ht="21.75" customHeight="1" x14ac:dyDescent="0.25">
      <c r="A10" s="5">
        <v>2</v>
      </c>
      <c r="B10" s="5" t="s">
        <v>56</v>
      </c>
      <c r="C10" s="5">
        <v>1759</v>
      </c>
      <c r="D10" s="5">
        <v>955</v>
      </c>
      <c r="E10" s="5">
        <v>804</v>
      </c>
    </row>
    <row r="11" spans="1:6" ht="21.75" customHeight="1" x14ac:dyDescent="0.25">
      <c r="A11" s="5">
        <v>3</v>
      </c>
      <c r="B11" s="5" t="s">
        <v>57</v>
      </c>
      <c r="C11" s="5">
        <v>386</v>
      </c>
      <c r="D11" s="5">
        <v>185</v>
      </c>
      <c r="E11" s="5">
        <v>201</v>
      </c>
    </row>
    <row r="12" spans="1:6" ht="21.75" customHeight="1" x14ac:dyDescent="0.25">
      <c r="A12" s="5">
        <v>4</v>
      </c>
      <c r="B12" s="5" t="s">
        <v>58</v>
      </c>
      <c r="C12" s="5">
        <v>585</v>
      </c>
      <c r="D12" s="5">
        <v>289</v>
      </c>
      <c r="E12" s="5">
        <v>296</v>
      </c>
    </row>
    <row r="13" spans="1:6" ht="21.75" customHeight="1" x14ac:dyDescent="0.25">
      <c r="A13" s="5">
        <v>5</v>
      </c>
      <c r="B13" s="5" t="s">
        <v>59</v>
      </c>
      <c r="C13" s="5">
        <v>564</v>
      </c>
      <c r="D13" s="5">
        <v>264</v>
      </c>
      <c r="E13" s="5">
        <v>300</v>
      </c>
    </row>
    <row r="14" spans="1:6" ht="21.75" customHeight="1" x14ac:dyDescent="0.25">
      <c r="A14" s="5"/>
      <c r="B14" s="5"/>
      <c r="C14" s="5"/>
      <c r="D14" s="5"/>
      <c r="E14" s="5"/>
    </row>
    <row r="15" spans="1:6" ht="21.75" customHeight="1" x14ac:dyDescent="0.25">
      <c r="A15" s="5"/>
      <c r="B15" s="17" t="s">
        <v>115</v>
      </c>
      <c r="C15" s="4">
        <f>SUM(C16:C29)</f>
        <v>25134</v>
      </c>
      <c r="D15" s="4">
        <f t="shared" ref="D15:E15" si="1">SUM(D16:D29)</f>
        <v>12293</v>
      </c>
      <c r="E15" s="4">
        <f t="shared" si="1"/>
        <v>12841</v>
      </c>
    </row>
    <row r="16" spans="1:6" ht="21.75" customHeight="1" x14ac:dyDescent="0.25">
      <c r="A16" s="5">
        <v>1</v>
      </c>
      <c r="B16" s="5" t="s">
        <v>60</v>
      </c>
      <c r="C16" s="5">
        <v>2132</v>
      </c>
      <c r="D16" s="5">
        <v>987</v>
      </c>
      <c r="E16" s="5">
        <v>1145</v>
      </c>
    </row>
    <row r="17" spans="1:5" ht="21.75" customHeight="1" x14ac:dyDescent="0.25">
      <c r="A17" s="5">
        <v>2</v>
      </c>
      <c r="B17" s="5" t="s">
        <v>61</v>
      </c>
      <c r="C17" s="5">
        <v>1777</v>
      </c>
      <c r="D17" s="5">
        <v>855</v>
      </c>
      <c r="E17" s="5">
        <v>922</v>
      </c>
    </row>
    <row r="18" spans="1:5" ht="21.75" customHeight="1" x14ac:dyDescent="0.25">
      <c r="A18" s="5">
        <v>3</v>
      </c>
      <c r="B18" s="5" t="s">
        <v>62</v>
      </c>
      <c r="C18" s="5">
        <v>1227</v>
      </c>
      <c r="D18" s="5">
        <v>558</v>
      </c>
      <c r="E18" s="5">
        <v>669</v>
      </c>
    </row>
    <row r="19" spans="1:5" ht="21.75" customHeight="1" x14ac:dyDescent="0.25">
      <c r="A19" s="5">
        <v>4</v>
      </c>
      <c r="B19" s="5" t="s">
        <v>63</v>
      </c>
      <c r="C19" s="5">
        <v>2588</v>
      </c>
      <c r="D19" s="5">
        <v>1313</v>
      </c>
      <c r="E19" s="5">
        <v>1275</v>
      </c>
    </row>
    <row r="20" spans="1:5" ht="21.75" customHeight="1" x14ac:dyDescent="0.25">
      <c r="A20" s="5">
        <v>5</v>
      </c>
      <c r="B20" s="5" t="s">
        <v>64</v>
      </c>
      <c r="C20" s="5">
        <v>2646</v>
      </c>
      <c r="D20" s="5">
        <v>1326</v>
      </c>
      <c r="E20" s="5">
        <v>1320</v>
      </c>
    </row>
    <row r="21" spans="1:5" ht="21.75" customHeight="1" x14ac:dyDescent="0.25">
      <c r="A21" s="5">
        <v>6</v>
      </c>
      <c r="B21" s="5" t="s">
        <v>65</v>
      </c>
      <c r="C21" s="5">
        <v>1722</v>
      </c>
      <c r="D21" s="5">
        <v>835</v>
      </c>
      <c r="E21" s="5">
        <v>887</v>
      </c>
    </row>
    <row r="22" spans="1:5" ht="21.75" customHeight="1" x14ac:dyDescent="0.25">
      <c r="A22" s="5">
        <v>7</v>
      </c>
      <c r="B22" s="5" t="s">
        <v>66</v>
      </c>
      <c r="C22" s="5">
        <v>1850</v>
      </c>
      <c r="D22" s="5">
        <v>895</v>
      </c>
      <c r="E22" s="5">
        <v>955</v>
      </c>
    </row>
    <row r="23" spans="1:5" ht="21.75" customHeight="1" x14ac:dyDescent="0.25">
      <c r="A23" s="5">
        <v>8</v>
      </c>
      <c r="B23" s="5" t="s">
        <v>67</v>
      </c>
      <c r="C23" s="5">
        <v>1259</v>
      </c>
      <c r="D23" s="5">
        <v>597</v>
      </c>
      <c r="E23" s="5">
        <v>662</v>
      </c>
    </row>
    <row r="24" spans="1:5" ht="21.75" customHeight="1" x14ac:dyDescent="0.25">
      <c r="A24" s="5">
        <v>9</v>
      </c>
      <c r="B24" s="5" t="s">
        <v>68</v>
      </c>
      <c r="C24" s="5">
        <v>2063</v>
      </c>
      <c r="D24" s="5">
        <v>969</v>
      </c>
      <c r="E24" s="5">
        <v>1094</v>
      </c>
    </row>
    <row r="25" spans="1:5" ht="21.75" customHeight="1" x14ac:dyDescent="0.25">
      <c r="A25" s="5">
        <v>10</v>
      </c>
      <c r="B25" s="5" t="s">
        <v>69</v>
      </c>
      <c r="C25" s="5">
        <v>1498</v>
      </c>
      <c r="D25" s="5">
        <v>778</v>
      </c>
      <c r="E25" s="5">
        <v>720</v>
      </c>
    </row>
    <row r="26" spans="1:5" ht="21.75" customHeight="1" x14ac:dyDescent="0.25">
      <c r="A26" s="5">
        <v>11</v>
      </c>
      <c r="B26" s="5" t="s">
        <v>70</v>
      </c>
      <c r="C26" s="5">
        <v>1206</v>
      </c>
      <c r="D26" s="5">
        <v>571</v>
      </c>
      <c r="E26" s="5">
        <v>635</v>
      </c>
    </row>
    <row r="27" spans="1:5" ht="21.75" customHeight="1" x14ac:dyDescent="0.25">
      <c r="A27" s="5">
        <v>12</v>
      </c>
      <c r="B27" s="5" t="s">
        <v>71</v>
      </c>
      <c r="C27" s="5">
        <v>1705</v>
      </c>
      <c r="D27" s="5">
        <v>889</v>
      </c>
      <c r="E27" s="5">
        <v>816</v>
      </c>
    </row>
    <row r="28" spans="1:5" ht="21.75" customHeight="1" x14ac:dyDescent="0.25">
      <c r="A28" s="5">
        <v>13</v>
      </c>
      <c r="B28" s="5" t="s">
        <v>72</v>
      </c>
      <c r="C28" s="5">
        <v>755</v>
      </c>
      <c r="D28" s="5">
        <v>362</v>
      </c>
      <c r="E28" s="5">
        <v>393</v>
      </c>
    </row>
    <row r="29" spans="1:5" ht="21.75" customHeight="1" x14ac:dyDescent="0.25">
      <c r="A29" s="5">
        <v>14</v>
      </c>
      <c r="B29" s="5" t="s">
        <v>73</v>
      </c>
      <c r="C29" s="5">
        <v>2706</v>
      </c>
      <c r="D29" s="5">
        <v>1358</v>
      </c>
      <c r="E29" s="5">
        <v>1348</v>
      </c>
    </row>
    <row r="30" spans="1:5" ht="15.75" x14ac:dyDescent="0.25">
      <c r="A30" s="7"/>
      <c r="B30" s="7"/>
      <c r="C30" s="7"/>
      <c r="D30" s="7"/>
      <c r="E30" s="7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Loikaw District,  Phruso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E1"/>
    </sheetView>
  </sheetViews>
  <sheetFormatPr defaultColWidth="9.140625" defaultRowHeight="21" x14ac:dyDescent="0.35"/>
  <cols>
    <col min="1" max="1" width="9.140625" style="12"/>
    <col min="2" max="2" width="27.140625" style="12" customWidth="1"/>
    <col min="3" max="5" width="15.7109375" style="12" customWidth="1"/>
    <col min="6" max="16384" width="9.140625" style="1"/>
  </cols>
  <sheetData>
    <row r="1" spans="1:6" s="10" customFormat="1" ht="25.5" customHeight="1" x14ac:dyDescent="0.35">
      <c r="A1" s="29" t="s">
        <v>109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5.5" customHeight="1" x14ac:dyDescent="0.35">
      <c r="A3" s="14"/>
      <c r="B3" s="11"/>
      <c r="C3" s="12"/>
      <c r="D3" s="12"/>
      <c r="E3" s="11"/>
      <c r="F3" s="9"/>
    </row>
    <row r="4" spans="1:6" s="10" customFormat="1" ht="19.5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s="8" customFormat="1" ht="15.75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ht="21.75" customHeight="1" x14ac:dyDescent="0.35">
      <c r="A6" s="21"/>
      <c r="B6" s="24" t="s">
        <v>114</v>
      </c>
      <c r="C6" s="6">
        <v>6742</v>
      </c>
      <c r="D6" s="6">
        <v>3351</v>
      </c>
      <c r="E6" s="6">
        <v>3391</v>
      </c>
    </row>
    <row r="7" spans="1:6" ht="21.75" customHeight="1" x14ac:dyDescent="0.35">
      <c r="A7" s="5"/>
      <c r="B7" s="5"/>
      <c r="C7" s="5"/>
      <c r="D7" s="5"/>
      <c r="E7" s="5"/>
    </row>
    <row r="8" spans="1:6" ht="21.75" customHeight="1" x14ac:dyDescent="0.35">
      <c r="A8" s="5"/>
      <c r="B8" s="17" t="s">
        <v>106</v>
      </c>
      <c r="C8" s="4">
        <f>SUM(C9:C12)</f>
        <v>1573</v>
      </c>
      <c r="D8" s="4">
        <f t="shared" ref="D8:E8" si="0">SUM(D9:D12)</f>
        <v>786</v>
      </c>
      <c r="E8" s="4">
        <f t="shared" si="0"/>
        <v>787</v>
      </c>
    </row>
    <row r="9" spans="1:6" ht="21.75" customHeight="1" x14ac:dyDescent="0.35">
      <c r="A9" s="5">
        <v>1</v>
      </c>
      <c r="B9" s="5" t="s">
        <v>74</v>
      </c>
      <c r="C9" s="5">
        <v>345</v>
      </c>
      <c r="D9" s="5">
        <v>181</v>
      </c>
      <c r="E9" s="5">
        <v>164</v>
      </c>
    </row>
    <row r="10" spans="1:6" ht="21.75" customHeight="1" x14ac:dyDescent="0.35">
      <c r="A10" s="5">
        <v>2</v>
      </c>
      <c r="B10" s="5" t="s">
        <v>9</v>
      </c>
      <c r="C10" s="5">
        <v>781</v>
      </c>
      <c r="D10" s="5">
        <v>378</v>
      </c>
      <c r="E10" s="5">
        <v>403</v>
      </c>
    </row>
    <row r="11" spans="1:6" ht="21.75" customHeight="1" x14ac:dyDescent="0.35">
      <c r="A11" s="5">
        <v>3</v>
      </c>
      <c r="B11" s="5" t="s">
        <v>75</v>
      </c>
      <c r="C11" s="5">
        <v>177</v>
      </c>
      <c r="D11" s="5">
        <v>86</v>
      </c>
      <c r="E11" s="5">
        <v>91</v>
      </c>
    </row>
    <row r="12" spans="1:6" ht="21.75" customHeight="1" x14ac:dyDescent="0.35">
      <c r="A12" s="5">
        <v>4</v>
      </c>
      <c r="B12" s="5" t="s">
        <v>76</v>
      </c>
      <c r="C12" s="5">
        <v>270</v>
      </c>
      <c r="D12" s="5">
        <v>141</v>
      </c>
      <c r="E12" s="5">
        <v>129</v>
      </c>
    </row>
    <row r="13" spans="1:6" ht="21.75" customHeight="1" x14ac:dyDescent="0.35">
      <c r="A13" s="5"/>
      <c r="B13" s="5"/>
      <c r="C13" s="5"/>
      <c r="D13" s="5"/>
      <c r="E13" s="5"/>
    </row>
    <row r="14" spans="1:6" ht="21.75" customHeight="1" x14ac:dyDescent="0.35">
      <c r="A14" s="5"/>
      <c r="B14" s="17" t="s">
        <v>115</v>
      </c>
      <c r="C14" s="4">
        <f>SUM(C15:C17)</f>
        <v>5169</v>
      </c>
      <c r="D14" s="4">
        <f t="shared" ref="D14:E14" si="1">SUM(D15:D17)</f>
        <v>2565</v>
      </c>
      <c r="E14" s="4">
        <f t="shared" si="1"/>
        <v>2604</v>
      </c>
    </row>
    <row r="15" spans="1:6" ht="21.75" customHeight="1" x14ac:dyDescent="0.35">
      <c r="A15" s="5">
        <v>1</v>
      </c>
      <c r="B15" s="5" t="s">
        <v>77</v>
      </c>
      <c r="C15" s="5">
        <v>3335</v>
      </c>
      <c r="D15" s="5">
        <v>1642</v>
      </c>
      <c r="E15" s="5">
        <v>1693</v>
      </c>
    </row>
    <row r="16" spans="1:6" ht="21.75" customHeight="1" x14ac:dyDescent="0.35">
      <c r="A16" s="5">
        <v>2</v>
      </c>
      <c r="B16" s="5" t="s">
        <v>78</v>
      </c>
      <c r="C16" s="5">
        <v>886</v>
      </c>
      <c r="D16" s="5">
        <v>437</v>
      </c>
      <c r="E16" s="5">
        <v>449</v>
      </c>
    </row>
    <row r="17" spans="1:5" ht="21.75" customHeight="1" x14ac:dyDescent="0.35">
      <c r="A17" s="22">
        <v>3</v>
      </c>
      <c r="B17" s="22" t="s">
        <v>79</v>
      </c>
      <c r="C17" s="22">
        <v>948</v>
      </c>
      <c r="D17" s="22">
        <v>486</v>
      </c>
      <c r="E17" s="22">
        <v>462</v>
      </c>
    </row>
    <row r="18" spans="1:5" x14ac:dyDescent="0.35">
      <c r="A18" s="23"/>
      <c r="B18" s="23"/>
      <c r="C18" s="23"/>
      <c r="D18" s="23"/>
      <c r="E18" s="23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Loikaw District,  Shardaw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E1"/>
    </sheetView>
  </sheetViews>
  <sheetFormatPr defaultRowHeight="15.75" x14ac:dyDescent="0.25"/>
  <cols>
    <col min="1" max="1" width="9.140625" style="12"/>
    <col min="2" max="2" width="22.7109375" style="12" customWidth="1"/>
    <col min="3" max="5" width="15.7109375" style="12" customWidth="1"/>
    <col min="6" max="16384" width="9.140625" style="8"/>
  </cols>
  <sheetData>
    <row r="1" spans="1:6" s="10" customFormat="1" ht="25.5" customHeight="1" x14ac:dyDescent="0.35">
      <c r="A1" s="29" t="s">
        <v>110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5.5" customHeight="1" x14ac:dyDescent="0.35">
      <c r="A3" s="14"/>
      <c r="B3" s="11"/>
      <c r="C3" s="12"/>
      <c r="D3" s="12"/>
      <c r="E3" s="11"/>
      <c r="F3" s="9"/>
    </row>
    <row r="4" spans="1:6" s="10" customFormat="1" ht="27" customHeight="1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ht="38.25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s="1" customFormat="1" ht="21.75" customHeight="1" x14ac:dyDescent="0.35">
      <c r="A6" s="21"/>
      <c r="B6" s="24" t="s">
        <v>114</v>
      </c>
      <c r="C6" s="6">
        <v>8480</v>
      </c>
      <c r="D6" s="6">
        <v>4651</v>
      </c>
      <c r="E6" s="6">
        <v>3829</v>
      </c>
    </row>
    <row r="7" spans="1:6" s="1" customFormat="1" ht="21.75" customHeight="1" x14ac:dyDescent="0.35">
      <c r="A7" s="5"/>
      <c r="B7" s="5"/>
      <c r="C7" s="5"/>
      <c r="D7" s="5"/>
      <c r="E7" s="5"/>
    </row>
    <row r="8" spans="1:6" ht="21.75" customHeight="1" x14ac:dyDescent="0.25">
      <c r="A8" s="5"/>
      <c r="B8" s="17" t="s">
        <v>106</v>
      </c>
      <c r="C8" s="4">
        <f>SUM(C9:C10)</f>
        <v>4146</v>
      </c>
      <c r="D8" s="4">
        <f t="shared" ref="D8:E8" si="0">SUM(D9:D10)</f>
        <v>2318</v>
      </c>
      <c r="E8" s="4">
        <f t="shared" si="0"/>
        <v>1828</v>
      </c>
    </row>
    <row r="9" spans="1:6" ht="21.75" customHeight="1" x14ac:dyDescent="0.25">
      <c r="A9" s="5">
        <v>1</v>
      </c>
      <c r="B9" s="5" t="s">
        <v>80</v>
      </c>
      <c r="C9" s="5">
        <v>500</v>
      </c>
      <c r="D9" s="5">
        <v>252</v>
      </c>
      <c r="E9" s="5">
        <v>248</v>
      </c>
    </row>
    <row r="10" spans="1:6" ht="21.75" customHeight="1" x14ac:dyDescent="0.25">
      <c r="A10" s="5">
        <v>2</v>
      </c>
      <c r="B10" s="5" t="s">
        <v>81</v>
      </c>
      <c r="C10" s="5">
        <v>3646</v>
      </c>
      <c r="D10" s="5">
        <v>2066</v>
      </c>
      <c r="E10" s="5">
        <v>1580</v>
      </c>
    </row>
    <row r="11" spans="1:6" ht="21.75" customHeight="1" x14ac:dyDescent="0.25">
      <c r="A11" s="5"/>
      <c r="B11" s="5"/>
      <c r="C11" s="5"/>
      <c r="D11" s="5"/>
      <c r="E11" s="5"/>
    </row>
    <row r="12" spans="1:6" ht="21.75" customHeight="1" x14ac:dyDescent="0.25">
      <c r="A12" s="5"/>
      <c r="B12" s="17" t="s">
        <v>115</v>
      </c>
      <c r="C12" s="4">
        <f>SUM(C13:C17)</f>
        <v>4334</v>
      </c>
      <c r="D12" s="4">
        <f t="shared" ref="D12:E12" si="1">SUM(D13:D17)</f>
        <v>2333</v>
      </c>
      <c r="E12" s="4">
        <f t="shared" si="1"/>
        <v>2001</v>
      </c>
    </row>
    <row r="13" spans="1:6" ht="21.75" customHeight="1" x14ac:dyDescent="0.25">
      <c r="A13" s="5">
        <v>1</v>
      </c>
      <c r="B13" s="5" t="s">
        <v>82</v>
      </c>
      <c r="C13" s="5">
        <v>269</v>
      </c>
      <c r="D13" s="5">
        <v>120</v>
      </c>
      <c r="E13" s="5">
        <v>149</v>
      </c>
    </row>
    <row r="14" spans="1:6" ht="21.75" customHeight="1" x14ac:dyDescent="0.25">
      <c r="A14" s="5">
        <v>2</v>
      </c>
      <c r="B14" s="5" t="s">
        <v>83</v>
      </c>
      <c r="C14" s="5">
        <v>1102</v>
      </c>
      <c r="D14" s="5">
        <v>560</v>
      </c>
      <c r="E14" s="5">
        <v>542</v>
      </c>
    </row>
    <row r="15" spans="1:6" ht="21.75" customHeight="1" x14ac:dyDescent="0.25">
      <c r="A15" s="5">
        <v>3</v>
      </c>
      <c r="B15" s="5" t="s">
        <v>84</v>
      </c>
      <c r="C15" s="5">
        <v>1397</v>
      </c>
      <c r="D15" s="5">
        <v>750</v>
      </c>
      <c r="E15" s="5">
        <v>647</v>
      </c>
    </row>
    <row r="16" spans="1:6" ht="21.75" customHeight="1" x14ac:dyDescent="0.25">
      <c r="A16" s="5">
        <v>4</v>
      </c>
      <c r="B16" s="5" t="s">
        <v>85</v>
      </c>
      <c r="C16" s="5">
        <v>319</v>
      </c>
      <c r="D16" s="5">
        <v>203</v>
      </c>
      <c r="E16" s="5">
        <v>116</v>
      </c>
    </row>
    <row r="17" spans="1:5" ht="21.75" customHeight="1" x14ac:dyDescent="0.25">
      <c r="A17" s="5">
        <v>5</v>
      </c>
      <c r="B17" s="5" t="s">
        <v>86</v>
      </c>
      <c r="C17" s="5">
        <v>1247</v>
      </c>
      <c r="D17" s="5">
        <v>700</v>
      </c>
      <c r="E17" s="5">
        <v>547</v>
      </c>
    </row>
    <row r="18" spans="1:5" ht="21.75" customHeight="1" x14ac:dyDescent="0.25">
      <c r="A18" s="7"/>
      <c r="B18" s="7"/>
      <c r="C18" s="7"/>
      <c r="D18" s="7"/>
      <c r="E18" s="7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 Bawlakhe District,   Bawlakhe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E1"/>
    </sheetView>
  </sheetViews>
  <sheetFormatPr defaultRowHeight="15" x14ac:dyDescent="0.25"/>
  <cols>
    <col min="1" max="1" width="9.140625" style="8"/>
    <col min="2" max="2" width="23.85546875" style="8" customWidth="1"/>
    <col min="3" max="5" width="15.7109375" style="8" customWidth="1"/>
    <col min="6" max="16384" width="9.140625" style="8"/>
  </cols>
  <sheetData>
    <row r="1" spans="1:6" s="10" customFormat="1" ht="25.5" customHeight="1" x14ac:dyDescent="0.35">
      <c r="A1" s="29" t="s">
        <v>111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5.5" customHeight="1" x14ac:dyDescent="0.35">
      <c r="A3" s="18"/>
      <c r="B3" s="9"/>
      <c r="E3" s="9"/>
      <c r="F3" s="9"/>
    </row>
    <row r="4" spans="1:6" s="10" customFormat="1" ht="26.25" customHeight="1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ht="30.75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s="1" customFormat="1" ht="21.75" customHeight="1" x14ac:dyDescent="0.35">
      <c r="A6" s="21"/>
      <c r="B6" s="24" t="s">
        <v>114</v>
      </c>
      <c r="C6" s="6">
        <v>25594</v>
      </c>
      <c r="D6" s="6">
        <v>13906</v>
      </c>
      <c r="E6" s="6">
        <v>11688</v>
      </c>
    </row>
    <row r="7" spans="1:6" ht="21.75" customHeight="1" x14ac:dyDescent="0.25">
      <c r="A7" s="5"/>
      <c r="B7" s="5"/>
      <c r="C7" s="5"/>
      <c r="D7" s="5"/>
      <c r="E7" s="5"/>
    </row>
    <row r="8" spans="1:6" ht="21.75" customHeight="1" x14ac:dyDescent="0.25">
      <c r="A8" s="5"/>
      <c r="B8" s="17" t="s">
        <v>106</v>
      </c>
      <c r="C8" s="4">
        <f>SUM(C9:C10)</f>
        <v>3148</v>
      </c>
      <c r="D8" s="4">
        <f t="shared" ref="D8:E8" si="0">SUM(D9:D10)</f>
        <v>1676</v>
      </c>
      <c r="E8" s="4">
        <f t="shared" si="0"/>
        <v>1472</v>
      </c>
    </row>
    <row r="9" spans="1:6" ht="21.75" customHeight="1" x14ac:dyDescent="0.25">
      <c r="A9" s="5">
        <v>1</v>
      </c>
      <c r="B9" s="5" t="s">
        <v>87</v>
      </c>
      <c r="C9" s="5">
        <v>1283</v>
      </c>
      <c r="D9" s="5">
        <v>698</v>
      </c>
      <c r="E9" s="5">
        <v>585</v>
      </c>
    </row>
    <row r="10" spans="1:6" ht="21.75" customHeight="1" x14ac:dyDescent="0.25">
      <c r="A10" s="5">
        <v>2</v>
      </c>
      <c r="B10" s="5" t="s">
        <v>75</v>
      </c>
      <c r="C10" s="5">
        <v>1865</v>
      </c>
      <c r="D10" s="5">
        <v>978</v>
      </c>
      <c r="E10" s="5">
        <v>887</v>
      </c>
    </row>
    <row r="11" spans="1:6" ht="21.75" customHeight="1" x14ac:dyDescent="0.25">
      <c r="A11" s="5"/>
      <c r="B11" s="5"/>
      <c r="C11" s="5"/>
      <c r="D11" s="5"/>
      <c r="E11" s="5"/>
    </row>
    <row r="12" spans="1:6" ht="21.75" customHeight="1" x14ac:dyDescent="0.25">
      <c r="A12" s="5"/>
      <c r="B12" s="17" t="s">
        <v>115</v>
      </c>
      <c r="C12" s="4">
        <f>SUM(C13:C20)</f>
        <v>22446</v>
      </c>
      <c r="D12" s="4">
        <f t="shared" ref="D12:E12" si="1">SUM(D13:D20)</f>
        <v>12230</v>
      </c>
      <c r="E12" s="4">
        <f t="shared" si="1"/>
        <v>10216</v>
      </c>
    </row>
    <row r="13" spans="1:6" ht="21.75" customHeight="1" x14ac:dyDescent="0.25">
      <c r="A13" s="5">
        <v>1</v>
      </c>
      <c r="B13" s="5" t="s">
        <v>88</v>
      </c>
      <c r="C13" s="5">
        <v>4105</v>
      </c>
      <c r="D13" s="5">
        <v>2225</v>
      </c>
      <c r="E13" s="5">
        <v>1880</v>
      </c>
    </row>
    <row r="14" spans="1:6" ht="21.75" customHeight="1" x14ac:dyDescent="0.25">
      <c r="A14" s="5">
        <v>2</v>
      </c>
      <c r="B14" s="5" t="s">
        <v>89</v>
      </c>
      <c r="C14" s="5">
        <v>730</v>
      </c>
      <c r="D14" s="5">
        <v>374</v>
      </c>
      <c r="E14" s="5">
        <v>356</v>
      </c>
    </row>
    <row r="15" spans="1:6" ht="21.75" customHeight="1" x14ac:dyDescent="0.25">
      <c r="A15" s="5">
        <v>3</v>
      </c>
      <c r="B15" s="5" t="s">
        <v>90</v>
      </c>
      <c r="C15" s="5">
        <v>644</v>
      </c>
      <c r="D15" s="5">
        <v>355</v>
      </c>
      <c r="E15" s="5">
        <v>289</v>
      </c>
    </row>
    <row r="16" spans="1:6" ht="21.75" customHeight="1" x14ac:dyDescent="0.25">
      <c r="A16" s="5">
        <v>4</v>
      </c>
      <c r="B16" s="5" t="s">
        <v>91</v>
      </c>
      <c r="C16" s="5">
        <v>1994</v>
      </c>
      <c r="D16" s="5">
        <v>1041</v>
      </c>
      <c r="E16" s="5">
        <v>953</v>
      </c>
    </row>
    <row r="17" spans="1:5" ht="21.75" customHeight="1" x14ac:dyDescent="0.25">
      <c r="A17" s="5">
        <v>5</v>
      </c>
      <c r="B17" s="5" t="s">
        <v>92</v>
      </c>
      <c r="C17" s="5">
        <v>1453</v>
      </c>
      <c r="D17" s="5">
        <v>796</v>
      </c>
      <c r="E17" s="5">
        <v>657</v>
      </c>
    </row>
    <row r="18" spans="1:5" ht="21.75" customHeight="1" x14ac:dyDescent="0.25">
      <c r="A18" s="5">
        <v>6</v>
      </c>
      <c r="B18" s="5" t="s">
        <v>93</v>
      </c>
      <c r="C18" s="5">
        <v>11904</v>
      </c>
      <c r="D18" s="5">
        <v>6567</v>
      </c>
      <c r="E18" s="5">
        <v>5337</v>
      </c>
    </row>
    <row r="19" spans="1:5" ht="21.75" customHeight="1" x14ac:dyDescent="0.25">
      <c r="A19" s="5">
        <v>7</v>
      </c>
      <c r="B19" s="5" t="s">
        <v>94</v>
      </c>
      <c r="C19" s="5">
        <v>990</v>
      </c>
      <c r="D19" s="5">
        <v>554</v>
      </c>
      <c r="E19" s="5">
        <v>436</v>
      </c>
    </row>
    <row r="20" spans="1:5" ht="21.75" customHeight="1" x14ac:dyDescent="0.25">
      <c r="A20" s="5">
        <v>8</v>
      </c>
      <c r="B20" s="5" t="s">
        <v>95</v>
      </c>
      <c r="C20" s="5">
        <v>626</v>
      </c>
      <c r="D20" s="5">
        <v>318</v>
      </c>
      <c r="E20" s="5">
        <v>308</v>
      </c>
    </row>
    <row r="21" spans="1:5" ht="21.75" customHeight="1" x14ac:dyDescent="0.25">
      <c r="A21" s="7"/>
      <c r="B21" s="7"/>
      <c r="C21" s="7"/>
      <c r="D21" s="7"/>
      <c r="E21" s="7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 Bawlakhe District,  Parsaung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E1"/>
    </sheetView>
  </sheetViews>
  <sheetFormatPr defaultColWidth="9.140625" defaultRowHeight="21" x14ac:dyDescent="0.35"/>
  <cols>
    <col min="1" max="1" width="9.140625" style="12"/>
    <col min="2" max="2" width="25.7109375" style="12" customWidth="1"/>
    <col min="3" max="5" width="15.7109375" style="12" customWidth="1"/>
    <col min="6" max="16384" width="9.140625" style="1"/>
  </cols>
  <sheetData>
    <row r="1" spans="1:6" s="10" customFormat="1" ht="25.5" customHeight="1" x14ac:dyDescent="0.35">
      <c r="A1" s="29" t="s">
        <v>112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0.25" customHeight="1" x14ac:dyDescent="0.35">
      <c r="A3" s="14"/>
      <c r="B3" s="11"/>
      <c r="C3" s="12"/>
      <c r="D3" s="12"/>
      <c r="E3" s="11"/>
      <c r="F3" s="9"/>
    </row>
    <row r="4" spans="1:6" s="10" customFormat="1" ht="24.75" customHeight="1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s="8" customFormat="1" ht="30" customHeight="1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ht="21.75" customHeight="1" x14ac:dyDescent="0.35">
      <c r="A6" s="21"/>
      <c r="B6" s="24" t="s">
        <v>114</v>
      </c>
      <c r="C6" s="6">
        <v>6319</v>
      </c>
      <c r="D6" s="6">
        <v>3402</v>
      </c>
      <c r="E6" s="6">
        <v>2917</v>
      </c>
    </row>
    <row r="7" spans="1:6" ht="21.75" customHeight="1" x14ac:dyDescent="0.35">
      <c r="A7" s="5"/>
      <c r="B7" s="5"/>
      <c r="C7" s="5"/>
      <c r="D7" s="5"/>
      <c r="E7" s="5"/>
    </row>
    <row r="8" spans="1:6" ht="21.75" customHeight="1" x14ac:dyDescent="0.35">
      <c r="A8" s="5"/>
      <c r="B8" s="17" t="s">
        <v>106</v>
      </c>
      <c r="C8" s="4">
        <f>SUM(C9:C10)</f>
        <v>1013</v>
      </c>
      <c r="D8" s="4">
        <f t="shared" ref="D8:E8" si="0">SUM(D9:D10)</f>
        <v>574</v>
      </c>
      <c r="E8" s="4">
        <f t="shared" si="0"/>
        <v>439</v>
      </c>
    </row>
    <row r="9" spans="1:6" ht="21.75" customHeight="1" x14ac:dyDescent="0.35">
      <c r="A9" s="5">
        <v>1</v>
      </c>
      <c r="B9" s="5" t="s">
        <v>87</v>
      </c>
      <c r="C9" s="5">
        <v>527</v>
      </c>
      <c r="D9" s="5">
        <v>295</v>
      </c>
      <c r="E9" s="5">
        <v>232</v>
      </c>
    </row>
    <row r="10" spans="1:6" ht="21.75" customHeight="1" x14ac:dyDescent="0.35">
      <c r="A10" s="5">
        <v>2</v>
      </c>
      <c r="B10" s="5" t="s">
        <v>75</v>
      </c>
      <c r="C10" s="5">
        <v>486</v>
      </c>
      <c r="D10" s="5">
        <v>279</v>
      </c>
      <c r="E10" s="5">
        <v>207</v>
      </c>
    </row>
    <row r="11" spans="1:6" ht="21.75" customHeight="1" x14ac:dyDescent="0.35">
      <c r="A11" s="5"/>
      <c r="B11" s="5"/>
      <c r="C11" s="5"/>
      <c r="D11" s="5"/>
      <c r="E11" s="5"/>
    </row>
    <row r="12" spans="1:6" ht="21.75" customHeight="1" x14ac:dyDescent="0.35">
      <c r="A12" s="5"/>
      <c r="B12" s="17" t="s">
        <v>115</v>
      </c>
      <c r="C12" s="4">
        <f>SUM(C13:C16)</f>
        <v>5306</v>
      </c>
      <c r="D12" s="4">
        <f t="shared" ref="D12:E12" si="1">SUM(D13:D16)</f>
        <v>2828</v>
      </c>
      <c r="E12" s="4">
        <f t="shared" si="1"/>
        <v>2478</v>
      </c>
    </row>
    <row r="13" spans="1:6" ht="21.75" customHeight="1" x14ac:dyDescent="0.35">
      <c r="A13" s="5">
        <v>1</v>
      </c>
      <c r="B13" s="5" t="s">
        <v>96</v>
      </c>
      <c r="C13" s="5">
        <v>3111</v>
      </c>
      <c r="D13" s="5">
        <v>1650</v>
      </c>
      <c r="E13" s="5">
        <v>1461</v>
      </c>
    </row>
    <row r="14" spans="1:6" ht="21.75" customHeight="1" x14ac:dyDescent="0.35">
      <c r="A14" s="5">
        <v>2</v>
      </c>
      <c r="B14" s="5" t="s">
        <v>97</v>
      </c>
      <c r="C14" s="5">
        <v>667</v>
      </c>
      <c r="D14" s="5">
        <v>357</v>
      </c>
      <c r="E14" s="5">
        <v>310</v>
      </c>
    </row>
    <row r="15" spans="1:6" ht="21.75" customHeight="1" x14ac:dyDescent="0.35">
      <c r="A15" s="5">
        <v>3</v>
      </c>
      <c r="B15" s="5" t="s">
        <v>98</v>
      </c>
      <c r="C15" s="5">
        <v>1025</v>
      </c>
      <c r="D15" s="5">
        <v>554</v>
      </c>
      <c r="E15" s="5">
        <v>471</v>
      </c>
    </row>
    <row r="16" spans="1:6" ht="21.75" customHeight="1" x14ac:dyDescent="0.35">
      <c r="A16" s="5">
        <v>4</v>
      </c>
      <c r="B16" s="5" t="s">
        <v>99</v>
      </c>
      <c r="C16" s="5">
        <v>503</v>
      </c>
      <c r="D16" s="5">
        <v>267</v>
      </c>
      <c r="E16" s="5">
        <v>236</v>
      </c>
    </row>
    <row r="17" spans="1:5" ht="21.75" customHeight="1" x14ac:dyDescent="0.35">
      <c r="A17" s="7"/>
      <c r="B17" s="7"/>
      <c r="C17" s="7"/>
      <c r="D17" s="7"/>
      <c r="E17" s="7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 Bawlakhe District,  Meisi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E1"/>
    </sheetView>
  </sheetViews>
  <sheetFormatPr defaultRowHeight="15.75" x14ac:dyDescent="0.25"/>
  <cols>
    <col min="1" max="1" width="9.140625" style="12"/>
    <col min="2" max="2" width="25" style="12" bestFit="1" customWidth="1"/>
    <col min="3" max="5" width="15.7109375" style="12" customWidth="1"/>
    <col min="6" max="16384" width="9.140625" style="8"/>
  </cols>
  <sheetData>
    <row r="1" spans="1:6" s="10" customFormat="1" ht="25.5" customHeight="1" x14ac:dyDescent="0.35">
      <c r="A1" s="29" t="s">
        <v>113</v>
      </c>
      <c r="B1" s="29"/>
      <c r="C1" s="29"/>
      <c r="D1" s="29"/>
      <c r="E1" s="29"/>
      <c r="F1" s="9"/>
    </row>
    <row r="2" spans="1:6" s="10" customFormat="1" ht="25.5" customHeight="1" x14ac:dyDescent="0.35">
      <c r="A2" s="9"/>
      <c r="B2" s="9"/>
      <c r="E2" s="13" t="s">
        <v>103</v>
      </c>
      <c r="F2" s="9"/>
    </row>
    <row r="3" spans="1:6" s="10" customFormat="1" ht="25.5" customHeight="1" x14ac:dyDescent="0.35">
      <c r="A3" s="14"/>
      <c r="B3" s="11"/>
      <c r="C3" s="12"/>
      <c r="D3" s="12"/>
      <c r="E3" s="11"/>
      <c r="F3" s="9"/>
    </row>
    <row r="4" spans="1:6" s="10" customFormat="1" ht="19.5" x14ac:dyDescent="0.3">
      <c r="A4" s="28" t="s">
        <v>104</v>
      </c>
      <c r="B4" s="28" t="s">
        <v>116</v>
      </c>
      <c r="C4" s="28" t="s">
        <v>105</v>
      </c>
      <c r="D4" s="28"/>
      <c r="E4" s="28"/>
    </row>
    <row r="5" spans="1:6" x14ac:dyDescent="0.25">
      <c r="A5" s="28"/>
      <c r="B5" s="28"/>
      <c r="C5" s="15" t="s">
        <v>0</v>
      </c>
      <c r="D5" s="15" t="s">
        <v>1</v>
      </c>
      <c r="E5" s="15" t="s">
        <v>2</v>
      </c>
    </row>
    <row r="6" spans="1:6" s="1" customFormat="1" ht="21.75" customHeight="1" x14ac:dyDescent="0.35">
      <c r="A6" s="21"/>
      <c r="B6" s="24" t="s">
        <v>114</v>
      </c>
      <c r="C6" s="6">
        <v>2516</v>
      </c>
      <c r="D6" s="6">
        <v>1421</v>
      </c>
      <c r="E6" s="6">
        <v>1095</v>
      </c>
    </row>
    <row r="7" spans="1:6" s="1" customFormat="1" ht="12.75" customHeight="1" x14ac:dyDescent="0.35">
      <c r="A7" s="5"/>
      <c r="B7" s="5"/>
      <c r="C7" s="5"/>
      <c r="D7" s="5"/>
      <c r="E7" s="5"/>
    </row>
    <row r="8" spans="1:6" ht="21.75" customHeight="1" x14ac:dyDescent="0.25">
      <c r="A8" s="5"/>
      <c r="B8" s="17" t="s">
        <v>106</v>
      </c>
      <c r="C8" s="4">
        <f>SUM(C9:C10)</f>
        <v>1328</v>
      </c>
      <c r="D8" s="4">
        <f t="shared" ref="D8:E8" si="0">SUM(D9:D10)</f>
        <v>733</v>
      </c>
      <c r="E8" s="4">
        <f t="shared" si="0"/>
        <v>595</v>
      </c>
    </row>
    <row r="9" spans="1:6" ht="21.75" customHeight="1" x14ac:dyDescent="0.25">
      <c r="A9" s="5">
        <v>1</v>
      </c>
      <c r="B9" s="5" t="s">
        <v>87</v>
      </c>
      <c r="C9" s="5">
        <v>763</v>
      </c>
      <c r="D9" s="5">
        <v>406</v>
      </c>
      <c r="E9" s="5">
        <v>357</v>
      </c>
    </row>
    <row r="10" spans="1:6" ht="21.75" customHeight="1" x14ac:dyDescent="0.25">
      <c r="A10" s="5">
        <v>2</v>
      </c>
      <c r="B10" s="5" t="s">
        <v>75</v>
      </c>
      <c r="C10" s="5">
        <v>565</v>
      </c>
      <c r="D10" s="5">
        <v>327</v>
      </c>
      <c r="E10" s="5">
        <v>238</v>
      </c>
    </row>
    <row r="11" spans="1:6" ht="21.75" customHeight="1" x14ac:dyDescent="0.25">
      <c r="A11" s="5"/>
      <c r="B11" s="5"/>
      <c r="C11" s="5"/>
      <c r="D11" s="5"/>
      <c r="E11" s="5"/>
    </row>
    <row r="12" spans="1:6" ht="21.75" customHeight="1" x14ac:dyDescent="0.25">
      <c r="A12" s="5"/>
      <c r="B12" s="17" t="s">
        <v>115</v>
      </c>
      <c r="C12" s="4">
        <f>SUM(C13:C14)</f>
        <v>1188</v>
      </c>
      <c r="D12" s="4">
        <f t="shared" ref="D12:E12" si="1">SUM(D13:D14)</f>
        <v>688</v>
      </c>
      <c r="E12" s="4">
        <f t="shared" si="1"/>
        <v>500</v>
      </c>
    </row>
    <row r="13" spans="1:6" ht="21.75" customHeight="1" x14ac:dyDescent="0.25">
      <c r="A13" s="5">
        <v>1</v>
      </c>
      <c r="B13" s="5" t="s">
        <v>100</v>
      </c>
      <c r="C13" s="5">
        <v>166</v>
      </c>
      <c r="D13" s="5">
        <v>105</v>
      </c>
      <c r="E13" s="5">
        <v>61</v>
      </c>
    </row>
    <row r="14" spans="1:6" ht="21.75" customHeight="1" x14ac:dyDescent="0.25">
      <c r="A14" s="5">
        <v>2</v>
      </c>
      <c r="B14" s="5" t="s">
        <v>101</v>
      </c>
      <c r="C14" s="5">
        <v>1022</v>
      </c>
      <c r="D14" s="5">
        <v>583</v>
      </c>
      <c r="E14" s="5">
        <v>439</v>
      </c>
    </row>
    <row r="15" spans="1:6" ht="21.75" customHeight="1" x14ac:dyDescent="0.25">
      <c r="A15" s="7"/>
      <c r="B15" s="7"/>
      <c r="C15" s="7"/>
      <c r="D15" s="7"/>
      <c r="E15" s="7"/>
    </row>
  </sheetData>
  <mergeCells count="4">
    <mergeCell ref="A1:E1"/>
    <mergeCell ref="A4:A5"/>
    <mergeCell ref="B4:B5"/>
    <mergeCell ref="C4:E4"/>
  </mergeCells>
  <hyperlinks>
    <hyperlink ref="A1:E1" location="'list of township'!A1" display="Kayah State,  Bawlakhe District, Ywathit (Sub- Township)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list of township</vt:lpstr>
      <vt:lpstr>Loikaw</vt:lpstr>
      <vt:lpstr>Dimawso</vt:lpstr>
      <vt:lpstr> Phruso</vt:lpstr>
      <vt:lpstr>Shardaw</vt:lpstr>
      <vt:lpstr> Bawlakhe</vt:lpstr>
      <vt:lpstr> Parsaung</vt:lpstr>
      <vt:lpstr>Meisi</vt:lpstr>
      <vt:lpstr>Ywathit(Sub-Tsp)</vt:lpstr>
      <vt:lpstr>Sheet2</vt:lpstr>
      <vt:lpstr>Dimawso!Print_Titles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2015-08-28T09:39:09Z</cp:lastPrinted>
  <dcterms:created xsi:type="dcterms:W3CDTF">2015-06-01T07:21:23Z</dcterms:created>
  <dcterms:modified xsi:type="dcterms:W3CDTF">2015-09-02T05:30:50Z</dcterms:modified>
</cp:coreProperties>
</file>