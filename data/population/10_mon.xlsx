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0730" windowHeight="9450" tabRatio="856"/>
  </bookViews>
  <sheets>
    <sheet name="List of Township" sheetId="15" r:id="rId1"/>
    <sheet name="Mawlamyine" sheetId="2" r:id="rId2"/>
    <sheet name="  Kyaikemaraw" sheetId="3" r:id="rId3"/>
    <sheet name="Chaungzon" sheetId="4" r:id="rId4"/>
    <sheet name="Thanbyuzayat" sheetId="5" r:id="rId5"/>
    <sheet name="Mudon" sheetId="6" r:id="rId6"/>
    <sheet name="Ye" sheetId="7" r:id="rId7"/>
    <sheet name="Lamine(Sub-Tsp)" sheetId="8" r:id="rId8"/>
    <sheet name="Khawzar(Sub-Tsp)" sheetId="9" r:id="rId9"/>
    <sheet name="  Thaton" sheetId="10" r:id="rId10"/>
    <sheet name="Paung" sheetId="11" r:id="rId11"/>
    <sheet name="Kyaikto" sheetId="12" r:id="rId12"/>
    <sheet name="Bilin" sheetId="13" r:id="rId13"/>
    <sheet name="Sheet2" sheetId="14" r:id="rId14"/>
  </sheets>
  <definedNames>
    <definedName name="_xlnm.Print_Titles" localSheetId="2">'  Kyaikemaraw'!$1:$4</definedName>
    <definedName name="_xlnm.Print_Titles" localSheetId="9">'  Thaton'!$1:$5</definedName>
    <definedName name="_xlnm.Print_Titles" localSheetId="12">Bilin!$1:$4</definedName>
    <definedName name="_xlnm.Print_Titles" localSheetId="3">Chaungzon!$1:$4</definedName>
    <definedName name="_xlnm.Print_Titles" localSheetId="8">'Khawzar(Sub-Tsp)'!$1:$4</definedName>
    <definedName name="_xlnm.Print_Titles" localSheetId="11">Kyaikto!$1:$4</definedName>
    <definedName name="_xlnm.Print_Titles" localSheetId="7">'Lamine(Sub-Tsp)'!$1:$4</definedName>
    <definedName name="_xlnm.Print_Titles" localSheetId="1">Mawlamyine!$1:$4</definedName>
    <definedName name="_xlnm.Print_Titles" localSheetId="5">Mudon!$1:$4</definedName>
    <definedName name="_xlnm.Print_Titles" localSheetId="10">Paung!$1:$4</definedName>
    <definedName name="_xlnm.Print_Titles" localSheetId="4">Thanbyuzayat!$1:$4</definedName>
    <definedName name="_xlnm.Print_Titles" localSheetId="6">Ye!$1:$4</definedName>
  </definedNames>
  <calcPr calcId="145621"/>
</workbook>
</file>

<file path=xl/calcChain.xml><?xml version="1.0" encoding="utf-8"?>
<calcChain xmlns="http://schemas.openxmlformats.org/spreadsheetml/2006/main">
  <c r="B13" i="15" l="1"/>
  <c r="B12" i="15"/>
  <c r="B11" i="15"/>
  <c r="B10" i="15"/>
  <c r="B9" i="15"/>
  <c r="B8" i="15"/>
  <c r="B7" i="15"/>
  <c r="B6" i="15"/>
  <c r="B5" i="15"/>
  <c r="B4" i="15"/>
  <c r="B3" i="15"/>
  <c r="B2" i="15"/>
  <c r="D11" i="3" l="1"/>
  <c r="E11" i="3"/>
  <c r="C11" i="3"/>
  <c r="D7" i="3"/>
  <c r="E7" i="3"/>
  <c r="C7" i="3"/>
  <c r="C5" i="4"/>
  <c r="D12" i="4"/>
  <c r="E12" i="4"/>
  <c r="C12" i="4"/>
  <c r="D7" i="4"/>
  <c r="E7" i="4"/>
  <c r="E5" i="4" s="1"/>
  <c r="C7" i="4"/>
  <c r="D24" i="5"/>
  <c r="E24" i="5"/>
  <c r="C24" i="5"/>
  <c r="D7" i="5"/>
  <c r="E7" i="5"/>
  <c r="C7" i="5"/>
  <c r="D5" i="4" l="1"/>
  <c r="E5" i="5"/>
  <c r="C5" i="5"/>
  <c r="D5" i="5"/>
  <c r="D13" i="6" l="1"/>
  <c r="E13" i="6"/>
  <c r="C13" i="6"/>
  <c r="D7" i="6"/>
  <c r="E7" i="6"/>
  <c r="C7" i="6"/>
  <c r="D18" i="7"/>
  <c r="E18" i="7"/>
  <c r="C18" i="7"/>
  <c r="D7" i="7"/>
  <c r="E7" i="7"/>
  <c r="C7" i="7"/>
  <c r="D7" i="8"/>
  <c r="E7" i="8"/>
  <c r="C7" i="8"/>
  <c r="D12" i="8"/>
  <c r="E12" i="8"/>
  <c r="C12" i="8"/>
  <c r="D11" i="9"/>
  <c r="E11" i="9"/>
  <c r="D7" i="9"/>
  <c r="E7" i="9"/>
  <c r="C11" i="9"/>
  <c r="C7" i="9"/>
  <c r="C5" i="11"/>
  <c r="C15" i="12"/>
  <c r="C7" i="13"/>
  <c r="D14" i="10"/>
  <c r="E14" i="10"/>
  <c r="C14" i="10"/>
  <c r="D7" i="10"/>
  <c r="E7" i="10"/>
  <c r="C7" i="10"/>
  <c r="D13" i="11"/>
  <c r="E13" i="11"/>
  <c r="C13" i="11"/>
  <c r="D7" i="11"/>
  <c r="E7" i="11"/>
  <c r="E5" i="11" s="1"/>
  <c r="C7" i="11"/>
  <c r="D15" i="12"/>
  <c r="E15" i="12"/>
  <c r="D7" i="12"/>
  <c r="E7" i="12"/>
  <c r="C7" i="12"/>
  <c r="D14" i="13"/>
  <c r="E14" i="13"/>
  <c r="C14" i="13"/>
  <c r="D7" i="13"/>
  <c r="E7" i="13"/>
  <c r="D5" i="11" l="1"/>
  <c r="D5" i="6"/>
  <c r="C5" i="6"/>
  <c r="E5" i="6"/>
  <c r="E5" i="7"/>
  <c r="D5" i="7"/>
  <c r="C5" i="7"/>
  <c r="C5" i="9"/>
  <c r="C5" i="10"/>
  <c r="E5" i="9"/>
  <c r="D5" i="9"/>
  <c r="E5" i="10"/>
  <c r="D5" i="10"/>
  <c r="E37" i="2"/>
  <c r="D37" i="2"/>
  <c r="C37" i="2"/>
  <c r="D7" i="2"/>
  <c r="E7" i="2"/>
  <c r="C7" i="2"/>
</calcChain>
</file>

<file path=xl/sharedStrings.xml><?xml version="1.0" encoding="utf-8"?>
<sst xmlns="http://schemas.openxmlformats.org/spreadsheetml/2006/main" count="597" uniqueCount="466">
  <si>
    <t>Total</t>
  </si>
  <si>
    <t>Male</t>
  </si>
  <si>
    <t>Female</t>
  </si>
  <si>
    <t xml:space="preserve">            Shwe Myaing Thi Ri(W)</t>
  </si>
  <si>
    <t xml:space="preserve">            Kyaik Hpa Nei(W)</t>
  </si>
  <si>
    <t xml:space="preserve">            Hlaing(W)</t>
  </si>
  <si>
    <t xml:space="preserve">            Auk Kyin(W)</t>
  </si>
  <si>
    <t xml:space="preserve">            Mandalay(W)</t>
  </si>
  <si>
    <t xml:space="preserve">            Hpet Tan(W)</t>
  </si>
  <si>
    <t xml:space="preserve">            Shwe (South)(W)</t>
  </si>
  <si>
    <t xml:space="preserve">            Sit Ke Kone(W)</t>
  </si>
  <si>
    <t xml:space="preserve">            Ma Yan Kone(W)</t>
  </si>
  <si>
    <t xml:space="preserve">            Pan Be Dan(W)</t>
  </si>
  <si>
    <t xml:space="preserve">            Bo Kone(W)</t>
  </si>
  <si>
    <t xml:space="preserve">            Maung Ngan(W)</t>
  </si>
  <si>
    <t xml:space="preserve">            Kwin Yat(W)</t>
  </si>
  <si>
    <t xml:space="preserve">            Myay Ni Kone(W)</t>
  </si>
  <si>
    <t xml:space="preserve">            Zay Cho(W)</t>
  </si>
  <si>
    <t xml:space="preserve">            Thi Ri Myaing(W)</t>
  </si>
  <si>
    <t xml:space="preserve">            Mu Pon(W)</t>
  </si>
  <si>
    <t xml:space="preserve">            Zay Yar Thi Ri(W)</t>
  </si>
  <si>
    <t xml:space="preserve">            Thar Yar Aye(W)</t>
  </si>
  <si>
    <t xml:space="preserve">            Thi Ri Min Ga Lar(W)</t>
  </si>
  <si>
    <t xml:space="preserve">            Myaing Thar Yar(W)</t>
  </si>
  <si>
    <t xml:space="preserve">            Zay Yar Myaing(W)</t>
  </si>
  <si>
    <t xml:space="preserve">            Kyauk Tan(W)</t>
  </si>
  <si>
    <t xml:space="preserve">            San Gyi(W)</t>
  </si>
  <si>
    <t xml:space="preserve">            Ngan Tay(W)</t>
  </si>
  <si>
    <t xml:space="preserve">            Gway Kone(W)</t>
  </si>
  <si>
    <t xml:space="preserve">            Naung Kha Ri(W)</t>
  </si>
  <si>
    <t xml:space="preserve">            Chauk Maing Kywe Chan Kone(W)</t>
  </si>
  <si>
    <t xml:space="preserve">            Ka Toe(VT)</t>
  </si>
  <si>
    <t xml:space="preserve">            Kawt Sein(VT)</t>
  </si>
  <si>
    <t xml:space="preserve">            Kawt Tun(VT)</t>
  </si>
  <si>
    <t xml:space="preserve">            Kawt Hnat(VT)</t>
  </si>
  <si>
    <t xml:space="preserve">            Kawt Hlar(VT)</t>
  </si>
  <si>
    <t xml:space="preserve">            Kawt Pauk(VT)</t>
  </si>
  <si>
    <t xml:space="preserve">            Min Ywar(VT)</t>
  </si>
  <si>
    <t xml:space="preserve">            Mu Yaung(VT)</t>
  </si>
  <si>
    <t xml:space="preserve">            Kawt Kha Ni(VT)</t>
  </si>
  <si>
    <t xml:space="preserve">            Kyar Inn(VT)</t>
  </si>
  <si>
    <t xml:space="preserve">            Kawt Kha Mei(VT)</t>
  </si>
  <si>
    <t xml:space="preserve">            Hpar Auk(VT)</t>
  </si>
  <si>
    <t xml:space="preserve">            Yo Go(VT)</t>
  </si>
  <si>
    <t xml:space="preserve">            Shin Saw Pu(W)</t>
  </si>
  <si>
    <t xml:space="preserve">            Yan Myo Aung(W)</t>
  </si>
  <si>
    <t xml:space="preserve">            An Ka Ye(VT)</t>
  </si>
  <si>
    <t xml:space="preserve">            Ah Hta Yan(VT)</t>
  </si>
  <si>
    <t xml:space="preserve">            Bar Bu Kone(VT)</t>
  </si>
  <si>
    <t xml:space="preserve">            Bein Byaw(VT)</t>
  </si>
  <si>
    <t xml:space="preserve">            Dhamma Tha(VT)</t>
  </si>
  <si>
    <t xml:space="preserve">            Hla Ka Zaing(VT)</t>
  </si>
  <si>
    <t xml:space="preserve">            Ka Dar(VT)</t>
  </si>
  <si>
    <t xml:space="preserve">            Ka Laing Ka Naing(VT)</t>
  </si>
  <si>
    <t xml:space="preserve">            Kha Naung(VT)</t>
  </si>
  <si>
    <t xml:space="preserve">            Kawt Bwee(VT)</t>
  </si>
  <si>
    <t xml:space="preserve">            Kawt Kha Lein(VT)</t>
  </si>
  <si>
    <t xml:space="preserve">            Kawt Pa Laing(VT)</t>
  </si>
  <si>
    <t xml:space="preserve">            Kawt Ka Lawt(VT)</t>
  </si>
  <si>
    <t xml:space="preserve">            Kawt Pa Naw(VT)</t>
  </si>
  <si>
    <t xml:space="preserve">            Kawt That(VT)</t>
  </si>
  <si>
    <t xml:space="preserve">            Kha Yon(VT)</t>
  </si>
  <si>
    <t xml:space="preserve">            Kun Ngan(VT)</t>
  </si>
  <si>
    <t xml:space="preserve">            Kyaik Pa Yan(VT)</t>
  </si>
  <si>
    <t xml:space="preserve">            Kyee Oke(VT)</t>
  </si>
  <si>
    <t xml:space="preserve">            Kyon Kwei(VT)</t>
  </si>
  <si>
    <t xml:space="preserve">            Kyon Sein(VT)</t>
  </si>
  <si>
    <t xml:space="preserve">            Kyon Wan(VT)</t>
  </si>
  <si>
    <t xml:space="preserve">            Kyun Ywar(VT)</t>
  </si>
  <si>
    <t xml:space="preserve">            La Mu Kho(VT)</t>
  </si>
  <si>
    <t xml:space="preserve">            Let Pan(VT)</t>
  </si>
  <si>
    <t xml:space="preserve">            Mei Ka Yo(VT)</t>
  </si>
  <si>
    <t xml:space="preserve">            Mi Ka Thit(VT)</t>
  </si>
  <si>
    <t xml:space="preserve">            Moke Soe Kyun(VT)</t>
  </si>
  <si>
    <t xml:space="preserve">            Nga Pu Inn(VT)</t>
  </si>
  <si>
    <t xml:space="preserve">            Nga Byay Ma(VT)</t>
  </si>
  <si>
    <t xml:space="preserve">            Ni Don(VT)</t>
  </si>
  <si>
    <t xml:space="preserve">            Nyaung Pin Seik(VT)</t>
  </si>
  <si>
    <t xml:space="preserve">            Hpar Pyauk(VT)</t>
  </si>
  <si>
    <t xml:space="preserve">            Pein Hne Kone(VT)</t>
  </si>
  <si>
    <t xml:space="preserve">            Hpa Non(VT)</t>
  </si>
  <si>
    <t xml:space="preserve">            Hpar Thein(VT)</t>
  </si>
  <si>
    <t xml:space="preserve">            Ta Ra Nar(VT)</t>
  </si>
  <si>
    <t xml:space="preserve">            Than Ka Laung(VT)</t>
  </si>
  <si>
    <t xml:space="preserve">            U Lay(VT)</t>
  </si>
  <si>
    <t xml:space="preserve">            Yae Twin Kone(VT)</t>
  </si>
  <si>
    <t xml:space="preserve">            Hlwa Zin Kone(VT)</t>
  </si>
  <si>
    <t xml:space="preserve">            Chaung Hnit Khwa(VT)</t>
  </si>
  <si>
    <t xml:space="preserve">            Ka Ton Si(VT)</t>
  </si>
  <si>
    <t xml:space="preserve">            Yae Pu(VT)</t>
  </si>
  <si>
    <t xml:space="preserve">            Ah Nauk(W)</t>
  </si>
  <si>
    <t xml:space="preserve">            Ah Shey(W)</t>
  </si>
  <si>
    <t xml:space="preserve">            Toe Cheit (W)</t>
  </si>
  <si>
    <t xml:space="preserve">            Ywar Lut(VT)</t>
  </si>
  <si>
    <t xml:space="preserve">            Da Yei(VT)</t>
  </si>
  <si>
    <t xml:space="preserve">            Ka Lwi(VT)</t>
  </si>
  <si>
    <t xml:space="preserve">            Ka Mar Mo(VT)</t>
  </si>
  <si>
    <t xml:space="preserve">            Nyaung Lan(VT)</t>
  </si>
  <si>
    <t xml:space="preserve">            Taw Ka Nar(VT)</t>
  </si>
  <si>
    <t xml:space="preserve">            Hnee Hmoke(VT)</t>
  </si>
  <si>
    <t xml:space="preserve">            Se Pa Lar(VT)</t>
  </si>
  <si>
    <t xml:space="preserve">            Zee Kone(VT)</t>
  </si>
  <si>
    <t xml:space="preserve">            Mu Yit Gyi(VT)</t>
  </si>
  <si>
    <t xml:space="preserve">            Taw Pun(VT)</t>
  </si>
  <si>
    <t xml:space="preserve">            Kayin Win Sein(VT)</t>
  </si>
  <si>
    <t xml:space="preserve">            Mu Kwe(VT)</t>
  </si>
  <si>
    <t xml:space="preserve">            Ka Lawt(VT)</t>
  </si>
  <si>
    <t xml:space="preserve">            Kun Yaik(VT)</t>
  </si>
  <si>
    <t xml:space="preserve">            Ka Ma Nin(VT)</t>
  </si>
  <si>
    <t xml:space="preserve">            Saw Ke(VT)</t>
  </si>
  <si>
    <t xml:space="preserve">            Ka Yaik Du(VT)</t>
  </si>
  <si>
    <t xml:space="preserve">            Mu Yit Kalay(VT)</t>
  </si>
  <si>
    <t xml:space="preserve">            Hpan Hpa(VT)</t>
  </si>
  <si>
    <t xml:space="preserve">            Ta Ku Pa Ti(VT)</t>
  </si>
  <si>
    <t xml:space="preserve">            Ku Lar Toet(VT)</t>
  </si>
  <si>
    <t xml:space="preserve">            Kha Yaik Thit(VT)</t>
  </si>
  <si>
    <t xml:space="preserve">            Kun Thea(VT)</t>
  </si>
  <si>
    <t xml:space="preserve">            Ma Yan(VT)</t>
  </si>
  <si>
    <t xml:space="preserve">            Ku Lar Bi(VT)</t>
  </si>
  <si>
    <t xml:space="preserve">            Wei Lan(VT)</t>
  </si>
  <si>
    <t xml:space="preserve">            Hin Thar Kyun(VT)</t>
  </si>
  <si>
    <t xml:space="preserve">            Kawt Ka Daik(VT)</t>
  </si>
  <si>
    <t xml:space="preserve">            Ah Bit(VT)</t>
  </si>
  <si>
    <t xml:space="preserve">            Kun Hlar(VT)</t>
  </si>
  <si>
    <t xml:space="preserve">            Ka Mar Kay(VT)</t>
  </si>
  <si>
    <t xml:space="preserve">            Kha Yaik Hnee Hu(VT)</t>
  </si>
  <si>
    <t xml:space="preserve">            Thet Kaw(VT)</t>
  </si>
  <si>
    <t xml:space="preserve">            Taung Sun(VT)</t>
  </si>
  <si>
    <t xml:space="preserve">            Daung Yat (West)(VT)</t>
  </si>
  <si>
    <t xml:space="preserve">            Daung Yet (East)(VT)</t>
  </si>
  <si>
    <t xml:space="preserve">            Kawt Mu Pun(VT)</t>
  </si>
  <si>
    <t xml:space="preserve">            Ka Hnyaw(VT)</t>
  </si>
  <si>
    <t xml:space="preserve">            Boe Net(VT)</t>
  </si>
  <si>
    <t xml:space="preserve">            Mu Du(VT)</t>
  </si>
  <si>
    <t xml:space="preserve">            Nat Hmaw(VT)</t>
  </si>
  <si>
    <t xml:space="preserve">            Kyar Kan(W)</t>
  </si>
  <si>
    <t xml:space="preserve">            Aung Chan Thar(W)</t>
  </si>
  <si>
    <t xml:space="preserve">            Set Thit(W)</t>
  </si>
  <si>
    <t xml:space="preserve">            Aung Min Ga Lar(W)</t>
  </si>
  <si>
    <t xml:space="preserve">            Han Thar Wa Di(W)</t>
  </si>
  <si>
    <t xml:space="preserve">            Aung Zay Ya(W)</t>
  </si>
  <si>
    <t xml:space="preserve">            Kyaung Paing(W)</t>
  </si>
  <si>
    <t xml:space="preserve">            Kyant Khaing Ye(W)</t>
  </si>
  <si>
    <t xml:space="preserve">            Aung Thar Yar(W)</t>
  </si>
  <si>
    <t xml:space="preserve">            Dhamma Zay Di(W)</t>
  </si>
  <si>
    <t xml:space="preserve">            Aung Pin Lel (W)</t>
  </si>
  <si>
    <t xml:space="preserve">            Myo Ma Zay(W)</t>
  </si>
  <si>
    <t xml:space="preserve">            Aung Thu Kha(W)</t>
  </si>
  <si>
    <t xml:space="preserve">            Yang Aung Myay(W)</t>
  </si>
  <si>
    <t xml:space="preserve">            Man Ya Ta Nar(W)</t>
  </si>
  <si>
    <t xml:space="preserve">            Mya Mar Lar(VT)</t>
  </si>
  <si>
    <t xml:space="preserve">            Hnit Kaing(VT)</t>
  </si>
  <si>
    <t xml:space="preserve">            Sin Taung(VT)</t>
  </si>
  <si>
    <t xml:space="preserve">            Kayin Thaung(VT)</t>
  </si>
  <si>
    <t xml:space="preserve">            Pa Dar Ngan(VT)</t>
  </si>
  <si>
    <t xml:space="preserve">            Kun That(VT)</t>
  </si>
  <si>
    <t xml:space="preserve">            Kyon Ka Dat(VT)</t>
  </si>
  <si>
    <t xml:space="preserve">            Set Se(VT)</t>
  </si>
  <si>
    <t xml:space="preserve">            Taung Hpa Lu(VT)</t>
  </si>
  <si>
    <t xml:space="preserve">            War Kha Yu(VT)</t>
  </si>
  <si>
    <t xml:space="preserve">            Hpaung Sein(VT)</t>
  </si>
  <si>
    <t xml:space="preserve">            Kyon Ka Yoke(VT)</t>
  </si>
  <si>
    <t xml:space="preserve">            Pa Nga(VT)</t>
  </si>
  <si>
    <t xml:space="preserve">            Wea Yet Ywar Thit(VT)</t>
  </si>
  <si>
    <t xml:space="preserve">            Wea Ka Li(VT)</t>
  </si>
  <si>
    <t xml:space="preserve">            Wea Ka War(VT)</t>
  </si>
  <si>
    <t xml:space="preserve">            Wea Win Ka Yar(VT)</t>
  </si>
  <si>
    <t xml:space="preserve">            Ka Yoke Pi(VT)</t>
  </si>
  <si>
    <t xml:space="preserve">            Sa Khan Gyi(VT)</t>
  </si>
  <si>
    <t xml:space="preserve">            Wea Ka Laung(VT)</t>
  </si>
  <si>
    <t xml:space="preserve">            An Khe(VT)</t>
  </si>
  <si>
    <t xml:space="preserve">            Kawt Lay(VT)</t>
  </si>
  <si>
    <t xml:space="preserve">            Htin Shu(VT)</t>
  </si>
  <si>
    <t xml:space="preserve">            Wea Kha Mi(VT)</t>
  </si>
  <si>
    <t xml:space="preserve">            Kyaung Ywar(VT)</t>
  </si>
  <si>
    <t xml:space="preserve">            Ah Nin(VT)</t>
  </si>
  <si>
    <t xml:space="preserve">            Myoma(1)(W)</t>
  </si>
  <si>
    <t xml:space="preserve">            Myoma(2)(W)</t>
  </si>
  <si>
    <t xml:space="preserve">            Myoma(3)(W)</t>
  </si>
  <si>
    <t xml:space="preserve">            Myoma(4)(W)</t>
  </si>
  <si>
    <t xml:space="preserve">            Tar Pa Thun(VT)</t>
  </si>
  <si>
    <t xml:space="preserve">            Kwayt Wan(VT)</t>
  </si>
  <si>
    <t xml:space="preserve">            Naing Pyaing(VT)</t>
  </si>
  <si>
    <t xml:space="preserve">            Kyauk Ta Lone(VT)</t>
  </si>
  <si>
    <t xml:space="preserve">            Hmein Ga Nein(VT)</t>
  </si>
  <si>
    <t xml:space="preserve">            Kawt Kha Pon(VT)</t>
  </si>
  <si>
    <t xml:space="preserve">            Kun Tar(VT)</t>
  </si>
  <si>
    <t xml:space="preserve">            Be Yan(VT)</t>
  </si>
  <si>
    <t xml:space="preserve">            Kin Chaung(VT)</t>
  </si>
  <si>
    <t xml:space="preserve">            Kyon Hpaik(VT)</t>
  </si>
  <si>
    <t xml:space="preserve">            Wet Te(VT)</t>
  </si>
  <si>
    <t xml:space="preserve">            Nyaung Kone(VT)</t>
  </si>
  <si>
    <t xml:space="preserve">            Kawt Pa Ran(VT)</t>
  </si>
  <si>
    <t xml:space="preserve">            Ka Tone Paw(VT)</t>
  </si>
  <si>
    <t xml:space="preserve">            Ba Lauk Nyaung Waing(VT)</t>
  </si>
  <si>
    <t xml:space="preserve">            Kyaik Ywea(VT)</t>
  </si>
  <si>
    <t xml:space="preserve">            Ta Khun Taing(VT)</t>
  </si>
  <si>
    <t xml:space="preserve">            Taw Ku(VT)</t>
  </si>
  <si>
    <t xml:space="preserve">            Naing Hlon Let Tet(VT)</t>
  </si>
  <si>
    <t xml:space="preserve">            Ah Khun(VT)</t>
  </si>
  <si>
    <t xml:space="preserve">            Gon Hnyin Tan(VT)</t>
  </si>
  <si>
    <t xml:space="preserve">            Thein Kone(VT)</t>
  </si>
  <si>
    <t xml:space="preserve">            Ka Mar Wet(VT)</t>
  </si>
  <si>
    <t xml:space="preserve">            Htaung Kay(VT)</t>
  </si>
  <si>
    <t xml:space="preserve">            Sein Taung(VT)</t>
  </si>
  <si>
    <t xml:space="preserve">            Hpe Do(VT)</t>
  </si>
  <si>
    <t xml:space="preserve">            Ka Lawt Thawt(VT)</t>
  </si>
  <si>
    <t xml:space="preserve">            Kawt Pi Htaw(VT)</t>
  </si>
  <si>
    <t xml:space="preserve">            Do Mar(VT)</t>
  </si>
  <si>
    <t xml:space="preserve">            Taung Pa(VT)</t>
  </si>
  <si>
    <t xml:space="preserve">            Hton Man(VT)</t>
  </si>
  <si>
    <t xml:space="preserve">            Kun Ka Bwee(VT)</t>
  </si>
  <si>
    <t xml:space="preserve">            Hnee Pa Daw(VT)</t>
  </si>
  <si>
    <t xml:space="preserve">            Set Thwei(VT)</t>
  </si>
  <si>
    <t xml:space="preserve">            Ka Mar Oke(VT)</t>
  </si>
  <si>
    <t xml:space="preserve">            Yaung Daung(VT)</t>
  </si>
  <si>
    <t xml:space="preserve">            Thi Ri Zay Yar(W)</t>
  </si>
  <si>
    <t xml:space="preserve">            Thi Ri Mar Lar(W)</t>
  </si>
  <si>
    <t xml:space="preserve">            Thi Ri Nan Dar(W)</t>
  </si>
  <si>
    <t xml:space="preserve">            Thi Ri Khay Mar(W)</t>
  </si>
  <si>
    <t xml:space="preserve">            Yan Gyi Aung(W)</t>
  </si>
  <si>
    <t xml:space="preserve">            Aung Myit Tar(W)</t>
  </si>
  <si>
    <t xml:space="preserve">            Ah Sin(VT)</t>
  </si>
  <si>
    <t xml:space="preserve">            Zee Hpyu Thaung(VT)</t>
  </si>
  <si>
    <t xml:space="preserve">            Ah Baw(VT)</t>
  </si>
  <si>
    <t xml:space="preserve">            Tu Myaung(VT)</t>
  </si>
  <si>
    <t xml:space="preserve">            An Din(VT)</t>
  </si>
  <si>
    <t xml:space="preserve">            Kyauk Mi Khaung(VT)</t>
  </si>
  <si>
    <t xml:space="preserve">            Chaung Taung(VT)</t>
  </si>
  <si>
    <t xml:space="preserve">            Du Yar(VT)</t>
  </si>
  <si>
    <t xml:space="preserve">            Thin Gan Kyun(VT)</t>
  </si>
  <si>
    <t xml:space="preserve">            Ah Yu Taung(VT)</t>
  </si>
  <si>
    <t xml:space="preserve">            Han Gan(VT)</t>
  </si>
  <si>
    <t xml:space="preserve">            No (1)(W)</t>
  </si>
  <si>
    <t xml:space="preserve">            No (2)(W)</t>
  </si>
  <si>
    <t xml:space="preserve">            No (3)(W)</t>
  </si>
  <si>
    <t xml:space="preserve">            Mawt Ka Nin(VT)</t>
  </si>
  <si>
    <t xml:space="preserve">            Don Hpi(VT)</t>
  </si>
  <si>
    <t xml:space="preserve">            Kawt Dut(VT)</t>
  </si>
  <si>
    <t xml:space="preserve">            Ku Lar Koke(VT)</t>
  </si>
  <si>
    <t xml:space="preserve">            Bay La Maing(VT)</t>
  </si>
  <si>
    <t xml:space="preserve">            Thaung Pyin(VT)</t>
  </si>
  <si>
    <t xml:space="preserve">            Hnit Kayin(VT)</t>
  </si>
  <si>
    <t xml:space="preserve">            Be La Mu(VT)</t>
  </si>
  <si>
    <t xml:space="preserve">            Ka Nin Ka Mawt(VT)</t>
  </si>
  <si>
    <t xml:space="preserve">            Hnin Sone(VT)</t>
  </si>
  <si>
    <t xml:space="preserve">            Taung Bon(VT)</t>
  </si>
  <si>
    <t xml:space="preserve">            Koe Maing(VT)</t>
  </si>
  <si>
    <t xml:space="preserve">            Kawt Hlaing(VT)</t>
  </si>
  <si>
    <t xml:space="preserve">            Ka Byar(VT)</t>
  </si>
  <si>
    <t xml:space="preserve">            Ma Gyi (VT)</t>
  </si>
  <si>
    <t xml:space="preserve">            Yin Yei(VT)</t>
  </si>
  <si>
    <t xml:space="preserve">            Kyon Nye(VT)</t>
  </si>
  <si>
    <t xml:space="preserve">            Leik Inn(W)</t>
  </si>
  <si>
    <t xml:space="preserve">            Nan Khe(W)</t>
  </si>
  <si>
    <t xml:space="preserve">            Thein Kone(W)</t>
  </si>
  <si>
    <t xml:space="preserve">            Bin Hlaing(W)</t>
  </si>
  <si>
    <t xml:space="preserve">            Forest EA</t>
  </si>
  <si>
    <t xml:space="preserve">            Taung Kya(VT)</t>
  </si>
  <si>
    <t xml:space="preserve">            Win Pa(VT)</t>
  </si>
  <si>
    <t xml:space="preserve">            Chaung Zauk(VT)</t>
  </si>
  <si>
    <t xml:space="preserve">            Wi Yaw(VT)</t>
  </si>
  <si>
    <t xml:space="preserve">            Pein Hne Taw(VT)</t>
  </si>
  <si>
    <t xml:space="preserve">            Da Nu(VT)</t>
  </si>
  <si>
    <t xml:space="preserve">            Win Hpone(VT)</t>
  </si>
  <si>
    <t xml:space="preserve">            Mat Cha(VT)</t>
  </si>
  <si>
    <t xml:space="preserve">            Naung Ka Toke(VT)</t>
  </si>
  <si>
    <t xml:space="preserve">            Thein Seik(VT)</t>
  </si>
  <si>
    <t xml:space="preserve">            Kyaik Kaw(VT)</t>
  </si>
  <si>
    <t xml:space="preserve">            Ta Dar U(VT)</t>
  </si>
  <si>
    <t xml:space="preserve">            Moe Kaung(VT)</t>
  </si>
  <si>
    <t xml:space="preserve">            Don Wun(VT)</t>
  </si>
  <si>
    <t xml:space="preserve">            Ka Taik Ka Lay(VT)</t>
  </si>
  <si>
    <t xml:space="preserve">            Ka Taik Gyi(VT)</t>
  </si>
  <si>
    <t xml:space="preserve">            Da Nu Ka Taik(VT)</t>
  </si>
  <si>
    <t xml:space="preserve">            Seik Kyun(VT)</t>
  </si>
  <si>
    <t xml:space="preserve">            Taw Gyi(VT)</t>
  </si>
  <si>
    <t xml:space="preserve">            Thaung Gyi(VT)</t>
  </si>
  <si>
    <t xml:space="preserve">            Za Yit Chaung(VT)</t>
  </si>
  <si>
    <t xml:space="preserve">            Myay Ni Kone(VT)</t>
  </si>
  <si>
    <t xml:space="preserve">            Sin Hpyu Kyun(VT)</t>
  </si>
  <si>
    <t xml:space="preserve">            Naung Bo(VT)</t>
  </si>
  <si>
    <t xml:space="preserve">            Paw Taw Mu(VT)</t>
  </si>
  <si>
    <t xml:space="preserve">            Bu Din Chaung(VT)</t>
  </si>
  <si>
    <t xml:space="preserve">            Ma Yan Kone(VT)</t>
  </si>
  <si>
    <t xml:space="preserve">            Zaik Ka Ye(VT)</t>
  </si>
  <si>
    <t xml:space="preserve">            Htein Pin(VT)</t>
  </si>
  <si>
    <t xml:space="preserve">            Naung Ku Lar(VT)</t>
  </si>
  <si>
    <t xml:space="preserve">            Day Ba Yein(VT)</t>
  </si>
  <si>
    <t xml:space="preserve">            Tha Yet Taw(VT)</t>
  </si>
  <si>
    <t xml:space="preserve">            Aung Saing(VT)</t>
  </si>
  <si>
    <t xml:space="preserve">            Oke Hpo Chaung(VT)</t>
  </si>
  <si>
    <t xml:space="preserve">            Kyauk Tan(VT)</t>
  </si>
  <si>
    <t xml:space="preserve">            Kyon Par(VT)</t>
  </si>
  <si>
    <t xml:space="preserve">            Gawt(VT)</t>
  </si>
  <si>
    <t xml:space="preserve">            Win Sein Ywar Thit(VT)</t>
  </si>
  <si>
    <t xml:space="preserve">            Win Sein Ah Lel(VT)</t>
  </si>
  <si>
    <t xml:space="preserve">            Du Yin Seik(VT)</t>
  </si>
  <si>
    <t xml:space="preserve">            Htaung Hmu(VT)</t>
  </si>
  <si>
    <t xml:space="preserve">            Sin Kyone(VT)</t>
  </si>
  <si>
    <t xml:space="preserve">            Zay Ma Thwei (Upper)(VT)</t>
  </si>
  <si>
    <t xml:space="preserve">            Zay Ma Thwei (Lower)(VT)</t>
  </si>
  <si>
    <t xml:space="preserve">            Ah Nan Pin(VT)</t>
  </si>
  <si>
    <t xml:space="preserve">            Kyet Tu Yway Thaung(VT)</t>
  </si>
  <si>
    <t xml:space="preserve">            Moe Naing(W)</t>
  </si>
  <si>
    <t xml:space="preserve">            Ka Don See(W)</t>
  </si>
  <si>
    <t xml:space="preserve">            Paung(W)</t>
  </si>
  <si>
    <t xml:space="preserve">            Ka Dar(W)</t>
  </si>
  <si>
    <t xml:space="preserve">            Nyaung Kone Lay(VT)</t>
  </si>
  <si>
    <t xml:space="preserve">            Pan Kone(VT)</t>
  </si>
  <si>
    <t xml:space="preserve">            Oke Ta Dar(VT)</t>
  </si>
  <si>
    <t xml:space="preserve">            Da Rein(VT)</t>
  </si>
  <si>
    <t xml:space="preserve">            Day Kin(VT)</t>
  </si>
  <si>
    <t xml:space="preserve">            Ka Mar Bi(VT)</t>
  </si>
  <si>
    <t xml:space="preserve">            Ah Hauk(VT)</t>
  </si>
  <si>
    <t xml:space="preserve">            Htan Pin Chaung Gyi(VT)</t>
  </si>
  <si>
    <t xml:space="preserve">            Zin Kyaik(VT)</t>
  </si>
  <si>
    <t xml:space="preserve">            Tat Hmu Chaung(VT)</t>
  </si>
  <si>
    <t xml:space="preserve">            Kawt Htaw(VT)</t>
  </si>
  <si>
    <t xml:space="preserve">            Kywe Chan(VT)</t>
  </si>
  <si>
    <t xml:space="preserve">            Kawt Kayin(VT)</t>
  </si>
  <si>
    <t xml:space="preserve">            Ka Daing(VT)</t>
  </si>
  <si>
    <t xml:space="preserve">            Bant Bway Kone(VT)</t>
  </si>
  <si>
    <t xml:space="preserve">            Tha Pyay Kone(VT)</t>
  </si>
  <si>
    <t xml:space="preserve">            Hpa Lat(VT)</t>
  </si>
  <si>
    <t xml:space="preserve">            Yin Nyein (North)(VT)</t>
  </si>
  <si>
    <t xml:space="preserve">            Yin Nyein (South)(VT)</t>
  </si>
  <si>
    <t xml:space="preserve">            Ywar Tan Shey(VT)</t>
  </si>
  <si>
    <t xml:space="preserve">            Hpyu Ba(VT)</t>
  </si>
  <si>
    <t xml:space="preserve">            Ka Tun(VT)</t>
  </si>
  <si>
    <t xml:space="preserve">            Kyauk Yae Twin(VT)</t>
  </si>
  <si>
    <t xml:space="preserve">            Inn Pyaung(VT)</t>
  </si>
  <si>
    <t xml:space="preserve">            Mya Lay Chaung(VT)</t>
  </si>
  <si>
    <t xml:space="preserve">            Htan Pin Chaung Lay(VT)</t>
  </si>
  <si>
    <t xml:space="preserve">            Nyaung Kone Gyi(VT)</t>
  </si>
  <si>
    <t xml:space="preserve">            Kyon Haw(VT)</t>
  </si>
  <si>
    <t xml:space="preserve">            Thea Kone(VT)</t>
  </si>
  <si>
    <t xml:space="preserve">            Ka Taik(VT)</t>
  </si>
  <si>
    <t xml:space="preserve">            Ohn Ta Pin(VT)</t>
  </si>
  <si>
    <t xml:space="preserve">            Sin Ywar(VT)</t>
  </si>
  <si>
    <t xml:space="preserve">            Wea Pa Tan(VT)</t>
  </si>
  <si>
    <t xml:space="preserve">            Moke Ta Ma-Kywe Chan(VT)</t>
  </si>
  <si>
    <t xml:space="preserve">            Kyauk Sa Yit(VT)</t>
  </si>
  <si>
    <t xml:space="preserve">            Let Pan Taw(VT)</t>
  </si>
  <si>
    <t xml:space="preserve">            Oke Kan(VT)</t>
  </si>
  <si>
    <t xml:space="preserve">            Hmaw Bi(VT)</t>
  </si>
  <si>
    <t xml:space="preserve">            Thea Ein(VT)</t>
  </si>
  <si>
    <t xml:space="preserve">            Thea Hpyu Kone(VT)</t>
  </si>
  <si>
    <t xml:space="preserve">            Kyar Bo(VT)</t>
  </si>
  <si>
    <t xml:space="preserve">            Moke Ta Ma(VT)</t>
  </si>
  <si>
    <t xml:space="preserve">            Nat Gyi Chaung(VT)</t>
  </si>
  <si>
    <t xml:space="preserve">            Kyon Ka(VT)</t>
  </si>
  <si>
    <t xml:space="preserve">            Ah Hlat(VT)</t>
  </si>
  <si>
    <t xml:space="preserve">            Lat Pan Kyun(VT)</t>
  </si>
  <si>
    <t xml:space="preserve">            Kya Khat Ngu(VT)</t>
  </si>
  <si>
    <t xml:space="preserve">            Ei Byit(VT)</t>
  </si>
  <si>
    <t xml:space="preserve">            Zay Yar Mun(W)</t>
  </si>
  <si>
    <t xml:space="preserve">            Myauk Paing(W)</t>
  </si>
  <si>
    <t xml:space="preserve">            Kawt San Naing(W)</t>
  </si>
  <si>
    <t xml:space="preserve">            Taung Paing(W)</t>
  </si>
  <si>
    <t xml:space="preserve">            Kant Kaw(W)</t>
  </si>
  <si>
    <t xml:space="preserve">            Taung Thu Su(W)</t>
  </si>
  <si>
    <t xml:space="preserve">            Ah Baing(VT)</t>
  </si>
  <si>
    <t xml:space="preserve">            Kyu Chaung(VT)</t>
  </si>
  <si>
    <t xml:space="preserve">            Thone Gwa(VT)</t>
  </si>
  <si>
    <t xml:space="preserve">            Baw Ka Hta (Win Kan)(VT)</t>
  </si>
  <si>
    <t xml:space="preserve">            Hle Lan Ku(VT)</t>
  </si>
  <si>
    <t xml:space="preserve">            In Ga Po(VT)</t>
  </si>
  <si>
    <t xml:space="preserve">            Ka Daing Dut(VT)</t>
  </si>
  <si>
    <t xml:space="preserve">            Kan Ni(VT)</t>
  </si>
  <si>
    <t xml:space="preserve">            Kha Ywea(VT)</t>
  </si>
  <si>
    <t xml:space="preserve">            Moke Kha Mawt(VT)</t>
  </si>
  <si>
    <t xml:space="preserve">            Kawt Htin(VT)</t>
  </si>
  <si>
    <t xml:space="preserve">            Kawt Bein(VT)</t>
  </si>
  <si>
    <t xml:space="preserve">            Kyaik Ka Thar(VT)</t>
  </si>
  <si>
    <t xml:space="preserve">            Kyaik Pi(VT)</t>
  </si>
  <si>
    <t xml:space="preserve">            Kin Mun Chaung(VT)</t>
  </si>
  <si>
    <t xml:space="preserve">            Ma Lawt Chaung(VT)</t>
  </si>
  <si>
    <t xml:space="preserve">            Mar Lar Hpu(VT)</t>
  </si>
  <si>
    <t xml:space="preserve">            Moke Kha Mu(VT)</t>
  </si>
  <si>
    <t xml:space="preserve">            Ma Yan Chaung Kwar Yi Ywar Thit(VT)</t>
  </si>
  <si>
    <t xml:space="preserve">            Kyun Taw(VT)</t>
  </si>
  <si>
    <t xml:space="preserve">            Hnget Pyaw Taw(VT)</t>
  </si>
  <si>
    <t xml:space="preserve">            Thein Za Yat(VT)</t>
  </si>
  <si>
    <t xml:space="preserve">            Kyauk Ka Lat(VT)</t>
  </si>
  <si>
    <t xml:space="preserve">            Bo Yar Gyi(VT)</t>
  </si>
  <si>
    <t xml:space="preserve">            Pyin Ka Toe Kone(VT)</t>
  </si>
  <si>
    <t xml:space="preserve">            Hpet Ka Leik(VT)</t>
  </si>
  <si>
    <t xml:space="preserve">            Pi Ti(VT)</t>
  </si>
  <si>
    <t xml:space="preserve">            Sit Taung(VT)</t>
  </si>
  <si>
    <t xml:space="preserve">            Sut Pa Nu(VT)</t>
  </si>
  <si>
    <t xml:space="preserve">            Kha Lun(VT)</t>
  </si>
  <si>
    <t xml:space="preserve">            War Boe Chaung(VT)</t>
  </si>
  <si>
    <t xml:space="preserve">            Kwin Ka Lay(VT)</t>
  </si>
  <si>
    <t xml:space="preserve">            Zee Pyaung(VT)</t>
  </si>
  <si>
    <t xml:space="preserve">            Moke Pa Lin(VT)</t>
  </si>
  <si>
    <t xml:space="preserve">            Sa Yar San(W)</t>
  </si>
  <si>
    <t xml:space="preserve">            Hpoe Yar Zar(W)</t>
  </si>
  <si>
    <t xml:space="preserve">            Kan Thar Yar(W)</t>
  </si>
  <si>
    <t xml:space="preserve">            Hpoe Hla Gyi(W)</t>
  </si>
  <si>
    <t xml:space="preserve">            Bo Tay Za(W)</t>
  </si>
  <si>
    <t xml:space="preserve">            Hnin Pale(VT)</t>
  </si>
  <si>
    <t xml:space="preserve">            Shwe Hlay(VT)</t>
  </si>
  <si>
    <t xml:space="preserve">            Nyaung Pa Lin(VT)</t>
  </si>
  <si>
    <t xml:space="preserve">            Leik Khone(VT)</t>
  </si>
  <si>
    <t xml:space="preserve">            Ta Bet Swea(VT)</t>
  </si>
  <si>
    <t xml:space="preserve">            Ah Naing Pun(VT)</t>
  </si>
  <si>
    <t xml:space="preserve">            Mu Thin(VT)</t>
  </si>
  <si>
    <t xml:space="preserve">            Zwe Ka Lar(VT)</t>
  </si>
  <si>
    <t xml:space="preserve">            Zoke Thoke(VT)</t>
  </si>
  <si>
    <t xml:space="preserve">            Zoke Ka Li(VT)</t>
  </si>
  <si>
    <t xml:space="preserve">            Kawt Ka Dut(VT)</t>
  </si>
  <si>
    <t xml:space="preserve">            Yun Da Lin Kone(VT)</t>
  </si>
  <si>
    <t xml:space="preserve">            Pauk Taw(VT)</t>
  </si>
  <si>
    <t xml:space="preserve">            Kin Ywar(VT)</t>
  </si>
  <si>
    <t xml:space="preserve">            Taung Gyi(VT)</t>
  </si>
  <si>
    <t xml:space="preserve">            Win Ka(VT)</t>
  </si>
  <si>
    <t xml:space="preserve">            Ah Yet Thi Ma(VT)</t>
  </si>
  <si>
    <t xml:space="preserve">            Thein Ngu(VT)</t>
  </si>
  <si>
    <t xml:space="preserve">            Thea Hpyu Chaung(VT)</t>
  </si>
  <si>
    <t xml:space="preserve">            Ah Lu(VT)</t>
  </si>
  <si>
    <t xml:space="preserve">            Win Pyan(VT)</t>
  </si>
  <si>
    <t xml:space="preserve">            Hpoe War Thein(VT)</t>
  </si>
  <si>
    <t xml:space="preserve">            Gon Hnyin Nwei(VT)</t>
  </si>
  <si>
    <t xml:space="preserve">            Win Thaung(VT)</t>
  </si>
  <si>
    <t xml:space="preserve">            Ka Di Pu(VT)</t>
  </si>
  <si>
    <t xml:space="preserve">            Dauk Yat(VT)</t>
  </si>
  <si>
    <t xml:space="preserve">            Shwe Yaung Pya(VT)</t>
  </si>
  <si>
    <t xml:space="preserve">            Kya Khat Chaung(VT)</t>
  </si>
  <si>
    <t xml:space="preserve">            Ta Nyin Kone(VT)</t>
  </si>
  <si>
    <t xml:space="preserve">            Ka Zaing(VT)</t>
  </si>
  <si>
    <t xml:space="preserve">            Yin Ohn(VT)</t>
  </si>
  <si>
    <t xml:space="preserve">            Me Lan(VT)</t>
  </si>
  <si>
    <t xml:space="preserve">            Me Lan Gaung(VT)</t>
  </si>
  <si>
    <t xml:space="preserve">            Ah Hone Wa(VT)</t>
  </si>
  <si>
    <t xml:space="preserve">            Hpa Yar Seik(VT)</t>
  </si>
  <si>
    <t xml:space="preserve">            Nat Gyi(VT)</t>
  </si>
  <si>
    <t xml:space="preserve">            Me Na Than(VT)</t>
  </si>
  <si>
    <t xml:space="preserve">            Me Pa Li(VT)</t>
  </si>
  <si>
    <t xml:space="preserve">            Baw Naw Khee(VT)</t>
  </si>
  <si>
    <t xml:space="preserve">            Ah Su Chaung(VT)</t>
  </si>
  <si>
    <t xml:space="preserve">            Win Tar Pan(VT)</t>
  </si>
  <si>
    <t xml:space="preserve">            Lay Kay(VT)</t>
  </si>
  <si>
    <t xml:space="preserve">            Kyoe Waing(VT)</t>
  </si>
  <si>
    <t xml:space="preserve">            Paing Da Wei(VT)</t>
  </si>
  <si>
    <t xml:space="preserve">            Kyar Kwin(VT)</t>
  </si>
  <si>
    <t xml:space="preserve">            Kyauk Lone Gyi(VT)</t>
  </si>
  <si>
    <t>Sr</t>
  </si>
  <si>
    <t>Population</t>
  </si>
  <si>
    <t>29-3-2014</t>
  </si>
  <si>
    <t>Mon State,Mawlamyine District,Mawlamyine Township</t>
  </si>
  <si>
    <t>Mon State, Mawlamyine District, Kyaikemaraw  Township</t>
  </si>
  <si>
    <t>Mon State, Mawlamyine District,   Chaungzon  Township</t>
  </si>
  <si>
    <t>Mon State, Mawlamyine District, Thanbyuzayat  Township</t>
  </si>
  <si>
    <t>Mon State, Mawlamyine District,    Mudon Township</t>
  </si>
  <si>
    <t>Mon State, Mawlamyine District, Ye Township</t>
  </si>
  <si>
    <t xml:space="preserve">Mon State, Mawlamyine District,   Lamine(Sub-Township) </t>
  </si>
  <si>
    <t xml:space="preserve">Mon State,    Mawlamyine District, Khawzar(Sub-Township) </t>
  </si>
  <si>
    <t>Mon State,Thaton District,Thaton Township</t>
  </si>
  <si>
    <t>Mon State,Thaton District, Paung Township</t>
  </si>
  <si>
    <t>Mon State,Thaton District, Kyaikto Township</t>
  </si>
  <si>
    <t>Mon State,Thaton District,  Bilin Township</t>
  </si>
  <si>
    <t>Ward</t>
  </si>
  <si>
    <t>Village Tract</t>
  </si>
  <si>
    <t>Ward/Village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</si>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</sst>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3" xfId="0" applyBorder="1"/>
    <xf numFmtId="0" fontId="4" fillId="0" borderId="3" xfId="0" applyFont="1" applyBorder="1"/>
    <xf numFmtId="0" fontId="4" fillId="0" borderId="5" xfId="0" applyFont="1" applyBorder="1"/>
    <xf numFmtId="0" fontId="3" fillId="0" borderId="3" xfId="0" applyFont="1" applyBorder="1"/>
    <xf numFmtId="0" fontId="4" fillId="0" borderId="6" xfId="0" applyFont="1" applyBorder="1"/>
    <xf numFmtId="0" fontId="3" fillId="0" borderId="6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3" xfId="0" applyFont="1" applyBorder="1"/>
    <xf numFmtId="0" fontId="0" fillId="0" borderId="5" xfId="0" applyBorder="1"/>
    <xf numFmtId="0" fontId="5" fillId="0" borderId="0" xfId="0" applyFont="1" applyAlignment="1"/>
    <xf numFmtId="0" fontId="7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4" fillId="0" borderId="10" xfId="0" applyFont="1" applyBorder="1"/>
    <xf numFmtId="0" fontId="3" fillId="0" borderId="10" xfId="0" applyFont="1" applyBorder="1"/>
    <xf numFmtId="0" fontId="4" fillId="0" borderId="2" xfId="0" applyFont="1" applyBorder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9" fillId="0" borderId="0" xfId="3"/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">
    <cellStyle name="Hyperlink" xfId="3" builtinId="8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E7" sqref="E7"/>
    </sheetView>
  </sheetViews>
  <sheetFormatPr defaultRowHeight="15" x14ac:dyDescent="0.25"/>
  <cols>
    <col min="2" max="2" width="51.140625" bestFit="1" customWidth="1"/>
  </cols>
  <sheetData>
    <row r="1" spans="1:2" ht="18.75" x14ac:dyDescent="0.25">
      <c r="A1" s="33" t="s">
        <v>465</v>
      </c>
      <c r="B1" s="33"/>
    </row>
    <row r="2" spans="1:2" x14ac:dyDescent="0.25">
      <c r="A2">
        <v>1</v>
      </c>
      <c r="B2" s="25" t="str">
        <f>Mawlamyine!A1</f>
        <v>Mon State,Mawlamyine District,Mawlamyine Township</v>
      </c>
    </row>
    <row r="3" spans="1:2" x14ac:dyDescent="0.25">
      <c r="A3">
        <v>2</v>
      </c>
      <c r="B3" s="25" t="str">
        <f>'  Kyaikemaraw'!A1</f>
        <v>Mon State, Mawlamyine District, Kyaikemaraw  Township</v>
      </c>
    </row>
    <row r="4" spans="1:2" x14ac:dyDescent="0.25">
      <c r="A4">
        <v>3</v>
      </c>
      <c r="B4" s="25" t="str">
        <f>Chaungzon!A1</f>
        <v>Mon State, Mawlamyine District,   Chaungzon  Township</v>
      </c>
    </row>
    <row r="5" spans="1:2" x14ac:dyDescent="0.25">
      <c r="A5">
        <v>4</v>
      </c>
      <c r="B5" s="25" t="str">
        <f>Thanbyuzayat!A1</f>
        <v>Mon State, Mawlamyine District, Thanbyuzayat  Township</v>
      </c>
    </row>
    <row r="6" spans="1:2" x14ac:dyDescent="0.25">
      <c r="A6">
        <v>5</v>
      </c>
      <c r="B6" s="25" t="str">
        <f>Mudon!A1</f>
        <v>Mon State, Mawlamyine District,    Mudon Township</v>
      </c>
    </row>
    <row r="7" spans="1:2" x14ac:dyDescent="0.25">
      <c r="A7">
        <v>6</v>
      </c>
      <c r="B7" s="25" t="str">
        <f>Ye!A1</f>
        <v>Mon State, Mawlamyine District, Ye Township</v>
      </c>
    </row>
    <row r="8" spans="1:2" x14ac:dyDescent="0.25">
      <c r="A8">
        <v>7</v>
      </c>
      <c r="B8" s="25" t="str">
        <f>'Lamine(Sub-Tsp)'!A1</f>
        <v xml:space="preserve">Mon State, Mawlamyine District,   Lamine(Sub-Township) </v>
      </c>
    </row>
    <row r="9" spans="1:2" x14ac:dyDescent="0.25">
      <c r="A9">
        <v>8</v>
      </c>
      <c r="B9" s="25" t="str">
        <f>'Khawzar(Sub-Tsp)'!A1</f>
        <v xml:space="preserve">Mon State,    Mawlamyine District, Khawzar(Sub-Township) </v>
      </c>
    </row>
    <row r="10" spans="1:2" x14ac:dyDescent="0.25">
      <c r="A10">
        <v>9</v>
      </c>
      <c r="B10" s="25" t="str">
        <f>'  Thaton'!A1</f>
        <v>Mon State,Thaton District,Thaton Township</v>
      </c>
    </row>
    <row r="11" spans="1:2" x14ac:dyDescent="0.25">
      <c r="A11">
        <v>10</v>
      </c>
      <c r="B11" s="25" t="str">
        <f>Paung!A1</f>
        <v>Mon State,Thaton District, Paung Township</v>
      </c>
    </row>
    <row r="12" spans="1:2" x14ac:dyDescent="0.25">
      <c r="A12">
        <v>11</v>
      </c>
      <c r="B12" s="25" t="str">
        <f>Kyaikto!A1</f>
        <v>Mon State,Thaton District, Kyaikto Township</v>
      </c>
    </row>
    <row r="13" spans="1:2" x14ac:dyDescent="0.25">
      <c r="A13">
        <v>12</v>
      </c>
      <c r="B13" s="25" t="str">
        <f>Bilin!A1</f>
        <v>Mon State,Thaton District,  Bilin Township</v>
      </c>
    </row>
  </sheetData>
  <mergeCells count="1">
    <mergeCell ref="A1:B1"/>
  </mergeCells>
  <hyperlinks>
    <hyperlink ref="B2" location="Mawlamyine!A1" display="Mawlamyine!A1"/>
    <hyperlink ref="B3" location="'  Kyaikemaraw'!A1" display="'  Kyaikemaraw'!A1"/>
    <hyperlink ref="B4" location="Chaungzon!A1" display="Chaungzon!A1"/>
    <hyperlink ref="B5" location="Thanbyuzayat!A1" display="Thanbyuzayat!A1"/>
    <hyperlink ref="B6" location="Mudon!A1" display="Mudon!A1"/>
    <hyperlink ref="B7" location="Ye!A1" display="Ye!A1"/>
    <hyperlink ref="B8" location="'Lamine(Sub-Tsp)'!A1" display="'Lamine(Sub-Tsp)'!A1"/>
    <hyperlink ref="B9" location="'Khawzar(Sub-Tsp)'!A1" display="'Khawzar(Sub-Tsp)'!A1"/>
    <hyperlink ref="B10" location="'  Thaton'!A1" display="'  Thaton'!A1"/>
    <hyperlink ref="B11" location="Paung!A1" display="Paung!A1"/>
    <hyperlink ref="B12" location="Kyaikto!A1" display="Kyaikto!A1"/>
    <hyperlink ref="B13" location="Bilin!A1" display="Bilin!A1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31.140625" customWidth="1"/>
    <col min="3" max="5" width="15.7109375" customWidth="1"/>
    <col min="6" max="6" width="9.42578125" customWidth="1"/>
  </cols>
  <sheetData>
    <row r="1" spans="1:5" ht="37.5" customHeight="1" x14ac:dyDescent="0.25">
      <c r="A1" s="32" t="s">
        <v>450</v>
      </c>
      <c r="B1" s="32"/>
      <c r="C1" s="32"/>
      <c r="D1" s="32"/>
      <c r="E1" s="32"/>
    </row>
    <row r="2" spans="1:5" ht="23.25" customHeight="1" x14ac:dyDescent="0.25">
      <c r="E2" s="19" t="s">
        <v>449</v>
      </c>
    </row>
    <row r="3" spans="1:5" ht="25.5" customHeight="1" x14ac:dyDescent="0.25">
      <c r="A3" s="26" t="s">
        <v>447</v>
      </c>
      <c r="B3" s="26" t="s">
        <v>464</v>
      </c>
      <c r="C3" s="27" t="s">
        <v>448</v>
      </c>
      <c r="D3" s="28"/>
      <c r="E3" s="29"/>
    </row>
    <row r="4" spans="1:5" ht="23.25" customHeight="1" x14ac:dyDescent="0.25">
      <c r="A4" s="26"/>
      <c r="B4" s="26"/>
      <c r="C4" s="7" t="s">
        <v>0</v>
      </c>
      <c r="D4" s="7" t="s">
        <v>1</v>
      </c>
      <c r="E4" s="7" t="s">
        <v>2</v>
      </c>
    </row>
    <row r="5" spans="1:5" ht="21.75" customHeight="1" x14ac:dyDescent="0.25">
      <c r="A5" s="5"/>
      <c r="B5" s="6" t="s">
        <v>0</v>
      </c>
      <c r="C5" s="6">
        <v>289388</v>
      </c>
      <c r="D5" s="6">
        <v>139026</v>
      </c>
      <c r="E5" s="6">
        <v>150362</v>
      </c>
    </row>
    <row r="6" spans="1:5" ht="11.25" customHeight="1" x14ac:dyDescent="0.25">
      <c r="A6" s="2"/>
      <c r="B6" s="4"/>
      <c r="C6" s="4"/>
      <c r="D6" s="4"/>
      <c r="E6" s="4"/>
    </row>
    <row r="7" spans="1:5" ht="21.75" customHeight="1" x14ac:dyDescent="0.25">
      <c r="A7" s="2"/>
      <c r="B7" s="20" t="s">
        <v>462</v>
      </c>
      <c r="C7" s="4">
        <f>SUM(C8:C35)</f>
        <v>253734</v>
      </c>
      <c r="D7" s="4">
        <f t="shared" ref="D7:E7" si="0">SUM(D8:D35)</f>
        <v>122052</v>
      </c>
      <c r="E7" s="4">
        <f t="shared" si="0"/>
        <v>131682</v>
      </c>
    </row>
    <row r="8" spans="1:5" ht="21.75" customHeight="1" x14ac:dyDescent="0.25">
      <c r="A8" s="2">
        <v>1</v>
      </c>
      <c r="B8" s="2" t="s">
        <v>3</v>
      </c>
      <c r="C8" s="2">
        <v>20156</v>
      </c>
      <c r="D8" s="2">
        <v>9523</v>
      </c>
      <c r="E8" s="2">
        <v>10633</v>
      </c>
    </row>
    <row r="9" spans="1:5" ht="21.75" customHeight="1" x14ac:dyDescent="0.25">
      <c r="A9" s="2">
        <v>2</v>
      </c>
      <c r="B9" s="2" t="s">
        <v>4</v>
      </c>
      <c r="C9" s="2">
        <v>5543</v>
      </c>
      <c r="D9" s="2">
        <v>2522</v>
      </c>
      <c r="E9" s="2">
        <v>3021</v>
      </c>
    </row>
    <row r="10" spans="1:5" ht="21.75" customHeight="1" x14ac:dyDescent="0.25">
      <c r="A10" s="2">
        <v>3</v>
      </c>
      <c r="B10" s="2" t="s">
        <v>5</v>
      </c>
      <c r="C10" s="2">
        <v>23056</v>
      </c>
      <c r="D10" s="2">
        <v>11356</v>
      </c>
      <c r="E10" s="2">
        <v>11700</v>
      </c>
    </row>
    <row r="11" spans="1:5" ht="21.75" customHeight="1" x14ac:dyDescent="0.25">
      <c r="A11" s="2">
        <v>4</v>
      </c>
      <c r="B11" s="2" t="s">
        <v>6</v>
      </c>
      <c r="C11" s="2">
        <v>8312</v>
      </c>
      <c r="D11" s="2">
        <v>4190</v>
      </c>
      <c r="E11" s="2">
        <v>4122</v>
      </c>
    </row>
    <row r="12" spans="1:5" ht="21.75" customHeight="1" x14ac:dyDescent="0.25">
      <c r="A12" s="2">
        <v>5</v>
      </c>
      <c r="B12" s="2" t="s">
        <v>7</v>
      </c>
      <c r="C12" s="2">
        <v>5705</v>
      </c>
      <c r="D12" s="2">
        <v>2698</v>
      </c>
      <c r="E12" s="2">
        <v>3007</v>
      </c>
    </row>
    <row r="13" spans="1:5" ht="21.75" customHeight="1" x14ac:dyDescent="0.25">
      <c r="A13" s="2">
        <v>6</v>
      </c>
      <c r="B13" s="2" t="s">
        <v>8</v>
      </c>
      <c r="C13" s="2">
        <v>12395</v>
      </c>
      <c r="D13" s="2">
        <v>6238</v>
      </c>
      <c r="E13" s="2">
        <v>6157</v>
      </c>
    </row>
    <row r="14" spans="1:5" ht="21.75" customHeight="1" x14ac:dyDescent="0.25">
      <c r="A14" s="2">
        <v>7</v>
      </c>
      <c r="B14" s="2" t="s">
        <v>9</v>
      </c>
      <c r="C14" s="2">
        <v>8661</v>
      </c>
      <c r="D14" s="2">
        <v>4112</v>
      </c>
      <c r="E14" s="2">
        <v>4549</v>
      </c>
    </row>
    <row r="15" spans="1:5" ht="21.75" customHeight="1" x14ac:dyDescent="0.25">
      <c r="A15" s="2">
        <v>8</v>
      </c>
      <c r="B15" s="2" t="s">
        <v>10</v>
      </c>
      <c r="C15" s="2">
        <v>7084</v>
      </c>
      <c r="D15" s="2">
        <v>3162</v>
      </c>
      <c r="E15" s="2">
        <v>3922</v>
      </c>
    </row>
    <row r="16" spans="1:5" ht="21.75" customHeight="1" x14ac:dyDescent="0.25">
      <c r="A16" s="2">
        <v>9</v>
      </c>
      <c r="B16" s="2" t="s">
        <v>11</v>
      </c>
      <c r="C16" s="2">
        <v>4311</v>
      </c>
      <c r="D16" s="2">
        <v>1942</v>
      </c>
      <c r="E16" s="2">
        <v>2369</v>
      </c>
    </row>
    <row r="17" spans="1:5" ht="21.75" customHeight="1" x14ac:dyDescent="0.25">
      <c r="A17" s="2">
        <v>10</v>
      </c>
      <c r="B17" s="2" t="s">
        <v>12</v>
      </c>
      <c r="C17" s="2">
        <v>5715</v>
      </c>
      <c r="D17" s="2">
        <v>2627</v>
      </c>
      <c r="E17" s="2">
        <v>3088</v>
      </c>
    </row>
    <row r="18" spans="1:5" ht="21.75" customHeight="1" x14ac:dyDescent="0.25">
      <c r="A18" s="2">
        <v>11</v>
      </c>
      <c r="B18" s="2" t="s">
        <v>13</v>
      </c>
      <c r="C18" s="2">
        <v>7556</v>
      </c>
      <c r="D18" s="2">
        <v>3594</v>
      </c>
      <c r="E18" s="2">
        <v>3962</v>
      </c>
    </row>
    <row r="19" spans="1:5" ht="21.75" customHeight="1" x14ac:dyDescent="0.25">
      <c r="A19" s="2">
        <v>12</v>
      </c>
      <c r="B19" s="2" t="s">
        <v>14</v>
      </c>
      <c r="C19" s="2">
        <v>8829</v>
      </c>
      <c r="D19" s="2">
        <v>4294</v>
      </c>
      <c r="E19" s="2">
        <v>4535</v>
      </c>
    </row>
    <row r="20" spans="1:5" ht="21.75" customHeight="1" x14ac:dyDescent="0.25">
      <c r="A20" s="2">
        <v>13</v>
      </c>
      <c r="B20" s="2" t="s">
        <v>15</v>
      </c>
      <c r="C20" s="2">
        <v>11243</v>
      </c>
      <c r="D20" s="2">
        <v>5336</v>
      </c>
      <c r="E20" s="2">
        <v>5907</v>
      </c>
    </row>
    <row r="21" spans="1:5" ht="21.75" customHeight="1" x14ac:dyDescent="0.25">
      <c r="A21" s="2">
        <v>14</v>
      </c>
      <c r="B21" s="2" t="s">
        <v>16</v>
      </c>
      <c r="C21" s="2">
        <v>7607</v>
      </c>
      <c r="D21" s="2">
        <v>3762</v>
      </c>
      <c r="E21" s="2">
        <v>3845</v>
      </c>
    </row>
    <row r="22" spans="1:5" ht="21.75" customHeight="1" x14ac:dyDescent="0.25">
      <c r="A22" s="2">
        <v>15</v>
      </c>
      <c r="B22" s="2" t="s">
        <v>17</v>
      </c>
      <c r="C22" s="2">
        <v>18097</v>
      </c>
      <c r="D22" s="2">
        <v>8974</v>
      </c>
      <c r="E22" s="2">
        <v>9123</v>
      </c>
    </row>
    <row r="23" spans="1:5" ht="21.75" customHeight="1" x14ac:dyDescent="0.25">
      <c r="A23" s="2">
        <v>16</v>
      </c>
      <c r="B23" s="2" t="s">
        <v>18</v>
      </c>
      <c r="C23" s="2">
        <v>12749</v>
      </c>
      <c r="D23" s="2">
        <v>5956</v>
      </c>
      <c r="E23" s="2">
        <v>6793</v>
      </c>
    </row>
    <row r="24" spans="1:5" ht="21.75" customHeight="1" x14ac:dyDescent="0.25">
      <c r="A24" s="2">
        <v>17</v>
      </c>
      <c r="B24" s="2" t="s">
        <v>19</v>
      </c>
      <c r="C24" s="2">
        <v>11165</v>
      </c>
      <c r="D24" s="2">
        <v>5276</v>
      </c>
      <c r="E24" s="2">
        <v>5889</v>
      </c>
    </row>
    <row r="25" spans="1:5" ht="21.75" customHeight="1" x14ac:dyDescent="0.25">
      <c r="A25" s="2">
        <v>18</v>
      </c>
      <c r="B25" s="2" t="s">
        <v>20</v>
      </c>
      <c r="C25" s="2">
        <v>12062</v>
      </c>
      <c r="D25" s="2">
        <v>5620</v>
      </c>
      <c r="E25" s="2">
        <v>6442</v>
      </c>
    </row>
    <row r="26" spans="1:5" ht="21.75" customHeight="1" x14ac:dyDescent="0.25">
      <c r="A26" s="2">
        <v>19</v>
      </c>
      <c r="B26" s="2" t="s">
        <v>21</v>
      </c>
      <c r="C26" s="2">
        <v>7294</v>
      </c>
      <c r="D26" s="2">
        <v>3454</v>
      </c>
      <c r="E26" s="2">
        <v>3840</v>
      </c>
    </row>
    <row r="27" spans="1:5" ht="21.75" customHeight="1" x14ac:dyDescent="0.25">
      <c r="A27" s="2">
        <v>20</v>
      </c>
      <c r="B27" s="2" t="s">
        <v>22</v>
      </c>
      <c r="C27" s="2">
        <v>6019</v>
      </c>
      <c r="D27" s="2">
        <v>2866</v>
      </c>
      <c r="E27" s="2">
        <v>3153</v>
      </c>
    </row>
    <row r="28" spans="1:5" ht="21.75" customHeight="1" x14ac:dyDescent="0.25">
      <c r="A28" s="2">
        <v>21</v>
      </c>
      <c r="B28" s="2" t="s">
        <v>23</v>
      </c>
      <c r="C28" s="2">
        <v>13149</v>
      </c>
      <c r="D28" s="2">
        <v>5967</v>
      </c>
      <c r="E28" s="2">
        <v>7182</v>
      </c>
    </row>
    <row r="29" spans="1:5" ht="21.75" customHeight="1" x14ac:dyDescent="0.25">
      <c r="A29" s="2">
        <v>22</v>
      </c>
      <c r="B29" s="2" t="s">
        <v>24</v>
      </c>
      <c r="C29" s="2">
        <v>4015</v>
      </c>
      <c r="D29" s="2">
        <v>1934</v>
      </c>
      <c r="E29" s="2">
        <v>2081</v>
      </c>
    </row>
    <row r="30" spans="1:5" ht="21.75" customHeight="1" x14ac:dyDescent="0.25">
      <c r="A30" s="2">
        <v>23</v>
      </c>
      <c r="B30" s="2" t="s">
        <v>25</v>
      </c>
      <c r="C30" s="2">
        <v>4627</v>
      </c>
      <c r="D30" s="2">
        <v>2283</v>
      </c>
      <c r="E30" s="2">
        <v>2344</v>
      </c>
    </row>
    <row r="31" spans="1:5" ht="21.75" customHeight="1" x14ac:dyDescent="0.25">
      <c r="A31" s="2">
        <v>24</v>
      </c>
      <c r="B31" s="2" t="s">
        <v>26</v>
      </c>
      <c r="C31" s="2">
        <v>1368</v>
      </c>
      <c r="D31" s="2">
        <v>643</v>
      </c>
      <c r="E31" s="2">
        <v>725</v>
      </c>
    </row>
    <row r="32" spans="1:5" ht="21.75" customHeight="1" x14ac:dyDescent="0.25">
      <c r="A32" s="2">
        <v>25</v>
      </c>
      <c r="B32" s="2" t="s">
        <v>27</v>
      </c>
      <c r="C32" s="2">
        <v>5770</v>
      </c>
      <c r="D32" s="2">
        <v>2854</v>
      </c>
      <c r="E32" s="2">
        <v>2916</v>
      </c>
    </row>
    <row r="33" spans="1:5" ht="21.75" customHeight="1" x14ac:dyDescent="0.25">
      <c r="A33" s="2">
        <v>26</v>
      </c>
      <c r="B33" s="2" t="s">
        <v>28</v>
      </c>
      <c r="C33" s="2">
        <v>5802</v>
      </c>
      <c r="D33" s="2">
        <v>3116</v>
      </c>
      <c r="E33" s="2">
        <v>2686</v>
      </c>
    </row>
    <row r="34" spans="1:5" ht="21.75" customHeight="1" x14ac:dyDescent="0.25">
      <c r="A34" s="2">
        <v>27</v>
      </c>
      <c r="B34" s="2" t="s">
        <v>29</v>
      </c>
      <c r="C34" s="2">
        <v>9679</v>
      </c>
      <c r="D34" s="2">
        <v>4874</v>
      </c>
      <c r="E34" s="2">
        <v>4805</v>
      </c>
    </row>
    <row r="35" spans="1:5" ht="21.75" customHeight="1" x14ac:dyDescent="0.25">
      <c r="A35" s="2">
        <v>28</v>
      </c>
      <c r="B35" s="2" t="s">
        <v>30</v>
      </c>
      <c r="C35" s="2">
        <v>5765</v>
      </c>
      <c r="D35" s="2">
        <v>2879</v>
      </c>
      <c r="E35" s="2">
        <v>2886</v>
      </c>
    </row>
    <row r="36" spans="1:5" ht="11.25" customHeight="1" x14ac:dyDescent="0.25">
      <c r="A36" s="2"/>
      <c r="B36" s="2"/>
      <c r="C36" s="2"/>
      <c r="D36" s="2"/>
      <c r="E36" s="2"/>
    </row>
    <row r="37" spans="1:5" ht="21.75" customHeight="1" x14ac:dyDescent="0.25">
      <c r="A37" s="2"/>
      <c r="B37" s="20" t="s">
        <v>463</v>
      </c>
      <c r="C37" s="4">
        <f>SUM(C38:C50)</f>
        <v>35654</v>
      </c>
      <c r="D37" s="4">
        <f>SUM(D38:D50)</f>
        <v>16974</v>
      </c>
      <c r="E37" s="4">
        <f>SUM(E38:E50)</f>
        <v>18680</v>
      </c>
    </row>
    <row r="38" spans="1:5" ht="21.75" customHeight="1" x14ac:dyDescent="0.25">
      <c r="A38" s="2">
        <v>1</v>
      </c>
      <c r="B38" s="2" t="s">
        <v>31</v>
      </c>
      <c r="C38" s="2">
        <v>2684</v>
      </c>
      <c r="D38" s="2">
        <v>1283</v>
      </c>
      <c r="E38" s="2">
        <v>1401</v>
      </c>
    </row>
    <row r="39" spans="1:5" ht="21.75" customHeight="1" x14ac:dyDescent="0.25">
      <c r="A39" s="2">
        <v>2</v>
      </c>
      <c r="B39" s="2" t="s">
        <v>32</v>
      </c>
      <c r="C39" s="2">
        <v>990</v>
      </c>
      <c r="D39" s="2">
        <v>501</v>
      </c>
      <c r="E39" s="2">
        <v>489</v>
      </c>
    </row>
    <row r="40" spans="1:5" ht="21.75" customHeight="1" x14ac:dyDescent="0.25">
      <c r="A40" s="2">
        <v>3</v>
      </c>
      <c r="B40" s="2" t="s">
        <v>33</v>
      </c>
      <c r="C40" s="2">
        <v>2250</v>
      </c>
      <c r="D40" s="2">
        <v>1054</v>
      </c>
      <c r="E40" s="2">
        <v>1196</v>
      </c>
    </row>
    <row r="41" spans="1:5" ht="21.75" customHeight="1" x14ac:dyDescent="0.25">
      <c r="A41" s="2">
        <v>4</v>
      </c>
      <c r="B41" s="2" t="s">
        <v>34</v>
      </c>
      <c r="C41" s="2">
        <v>2068</v>
      </c>
      <c r="D41" s="2">
        <v>938</v>
      </c>
      <c r="E41" s="2">
        <v>1130</v>
      </c>
    </row>
    <row r="42" spans="1:5" ht="21.75" customHeight="1" x14ac:dyDescent="0.25">
      <c r="A42" s="2">
        <v>5</v>
      </c>
      <c r="B42" s="2" t="s">
        <v>35</v>
      </c>
      <c r="C42" s="2">
        <v>2307</v>
      </c>
      <c r="D42" s="2">
        <v>1094</v>
      </c>
      <c r="E42" s="2">
        <v>1213</v>
      </c>
    </row>
    <row r="43" spans="1:5" ht="21.75" customHeight="1" x14ac:dyDescent="0.25">
      <c r="A43" s="2">
        <v>6</v>
      </c>
      <c r="B43" s="2" t="s">
        <v>36</v>
      </c>
      <c r="C43" s="2">
        <v>2324</v>
      </c>
      <c r="D43" s="2">
        <v>1101</v>
      </c>
      <c r="E43" s="2">
        <v>1223</v>
      </c>
    </row>
    <row r="44" spans="1:5" ht="21.75" customHeight="1" x14ac:dyDescent="0.25">
      <c r="A44" s="2">
        <v>7</v>
      </c>
      <c r="B44" s="2" t="s">
        <v>37</v>
      </c>
      <c r="C44" s="2">
        <v>1534</v>
      </c>
      <c r="D44" s="2">
        <v>747</v>
      </c>
      <c r="E44" s="2">
        <v>787</v>
      </c>
    </row>
    <row r="45" spans="1:5" ht="21.75" customHeight="1" x14ac:dyDescent="0.25">
      <c r="A45" s="2">
        <v>8</v>
      </c>
      <c r="B45" s="2" t="s">
        <v>38</v>
      </c>
      <c r="C45" s="2">
        <v>2762</v>
      </c>
      <c r="D45" s="2">
        <v>1278</v>
      </c>
      <c r="E45" s="2">
        <v>1484</v>
      </c>
    </row>
    <row r="46" spans="1:5" ht="21.75" customHeight="1" x14ac:dyDescent="0.25">
      <c r="A46" s="2">
        <v>9</v>
      </c>
      <c r="B46" s="2" t="s">
        <v>39</v>
      </c>
      <c r="C46" s="2">
        <v>1211</v>
      </c>
      <c r="D46" s="2">
        <v>567</v>
      </c>
      <c r="E46" s="2">
        <v>644</v>
      </c>
    </row>
    <row r="47" spans="1:5" ht="21.75" customHeight="1" x14ac:dyDescent="0.25">
      <c r="A47" s="2">
        <v>10</v>
      </c>
      <c r="B47" s="2" t="s">
        <v>40</v>
      </c>
      <c r="C47" s="2">
        <v>7763</v>
      </c>
      <c r="D47" s="2">
        <v>4044</v>
      </c>
      <c r="E47" s="2">
        <v>3719</v>
      </c>
    </row>
    <row r="48" spans="1:5" ht="21.75" customHeight="1" x14ac:dyDescent="0.25">
      <c r="A48" s="2">
        <v>11</v>
      </c>
      <c r="B48" s="2" t="s">
        <v>41</v>
      </c>
      <c r="C48" s="2">
        <v>3543</v>
      </c>
      <c r="D48" s="2">
        <v>1540</v>
      </c>
      <c r="E48" s="2">
        <v>2003</v>
      </c>
    </row>
    <row r="49" spans="1:5" ht="21.75" customHeight="1" x14ac:dyDescent="0.25">
      <c r="A49" s="2">
        <v>12</v>
      </c>
      <c r="B49" s="2" t="s">
        <v>42</v>
      </c>
      <c r="C49" s="2">
        <v>3205</v>
      </c>
      <c r="D49" s="2">
        <v>1394</v>
      </c>
      <c r="E49" s="2">
        <v>1811</v>
      </c>
    </row>
    <row r="50" spans="1:5" ht="21.75" customHeight="1" x14ac:dyDescent="0.25">
      <c r="A50" s="3">
        <v>13</v>
      </c>
      <c r="B50" s="3" t="s">
        <v>43</v>
      </c>
      <c r="C50" s="3">
        <v>3013</v>
      </c>
      <c r="D50" s="3">
        <v>1433</v>
      </c>
      <c r="E50" s="3">
        <v>1580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Mawlamyine District,Mawlamyine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sqref="A1:E1"/>
    </sheetView>
  </sheetViews>
  <sheetFormatPr defaultRowHeight="15" x14ac:dyDescent="0.25"/>
  <cols>
    <col min="1" max="1" width="9" customWidth="1"/>
    <col min="2" max="2" width="26.42578125" customWidth="1"/>
    <col min="3" max="5" width="15.7109375" customWidth="1"/>
  </cols>
  <sheetData>
    <row r="1" spans="1:5" ht="31.5" customHeight="1" x14ac:dyDescent="0.25">
      <c r="A1" s="32" t="s">
        <v>451</v>
      </c>
      <c r="B1" s="32"/>
      <c r="C1" s="32"/>
      <c r="D1" s="32"/>
      <c r="E1" s="32"/>
    </row>
    <row r="2" spans="1:5" ht="21" x14ac:dyDescent="0.35">
      <c r="B2" s="12"/>
      <c r="C2" s="12"/>
      <c r="E2" s="19" t="s">
        <v>449</v>
      </c>
    </row>
    <row r="3" spans="1:5" ht="26.25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5" ht="24.75" customHeight="1" x14ac:dyDescent="0.25">
      <c r="A4" s="31"/>
      <c r="B4" s="31"/>
      <c r="C4" s="14" t="s">
        <v>0</v>
      </c>
      <c r="D4" s="14" t="s">
        <v>1</v>
      </c>
      <c r="E4" s="14" t="s">
        <v>2</v>
      </c>
    </row>
    <row r="5" spans="1:5" ht="21.75" customHeight="1" x14ac:dyDescent="0.25">
      <c r="A5" s="1"/>
      <c r="B5" s="6" t="s">
        <v>0</v>
      </c>
      <c r="C5" s="9">
        <v>195810</v>
      </c>
      <c r="D5" s="9">
        <v>92746</v>
      </c>
      <c r="E5" s="9">
        <v>103064</v>
      </c>
    </row>
    <row r="6" spans="1:5" ht="9.75" customHeight="1" x14ac:dyDescent="0.25">
      <c r="A6" s="1"/>
      <c r="B6" s="1"/>
      <c r="C6" s="1"/>
      <c r="D6" s="1"/>
      <c r="E6" s="1"/>
    </row>
    <row r="7" spans="1:5" ht="21.75" customHeight="1" x14ac:dyDescent="0.25">
      <c r="A7" s="1"/>
      <c r="B7" s="21" t="s">
        <v>462</v>
      </c>
      <c r="C7" s="9">
        <f>SUM(C8:C9)</f>
        <v>11021</v>
      </c>
      <c r="D7" s="9">
        <f t="shared" ref="D7:E7" si="0">SUM(D8:D9)</f>
        <v>4936</v>
      </c>
      <c r="E7" s="9">
        <f t="shared" si="0"/>
        <v>6085</v>
      </c>
    </row>
    <row r="8" spans="1:5" ht="21.75" customHeight="1" x14ac:dyDescent="0.25">
      <c r="A8" s="1">
        <v>1</v>
      </c>
      <c r="B8" s="1" t="s">
        <v>44</v>
      </c>
      <c r="C8" s="1">
        <v>4842</v>
      </c>
      <c r="D8" s="1">
        <v>2140</v>
      </c>
      <c r="E8" s="1">
        <v>2702</v>
      </c>
    </row>
    <row r="9" spans="1:5" ht="21.75" customHeight="1" x14ac:dyDescent="0.25">
      <c r="A9" s="1">
        <v>2</v>
      </c>
      <c r="B9" s="1" t="s">
        <v>45</v>
      </c>
      <c r="C9" s="1">
        <v>6179</v>
      </c>
      <c r="D9" s="1">
        <v>2796</v>
      </c>
      <c r="E9" s="1">
        <v>3383</v>
      </c>
    </row>
    <row r="10" spans="1:5" ht="10.5" customHeight="1" x14ac:dyDescent="0.25">
      <c r="A10" s="1"/>
      <c r="B10" s="1"/>
      <c r="C10" s="1"/>
      <c r="D10" s="1"/>
      <c r="E10" s="1"/>
    </row>
    <row r="11" spans="1:5" ht="21.75" customHeight="1" x14ac:dyDescent="0.25">
      <c r="A11" s="1"/>
      <c r="B11" s="21" t="s">
        <v>463</v>
      </c>
      <c r="C11" s="9">
        <f>SUM(C12:C55)</f>
        <v>184789</v>
      </c>
      <c r="D11" s="9">
        <f t="shared" ref="D11:E11" si="1">SUM(D12:D55)</f>
        <v>87810</v>
      </c>
      <c r="E11" s="9">
        <f t="shared" si="1"/>
        <v>96979</v>
      </c>
    </row>
    <row r="12" spans="1:5" ht="21.75" customHeight="1" x14ac:dyDescent="0.25">
      <c r="A12" s="1">
        <v>1</v>
      </c>
      <c r="B12" s="1" t="s">
        <v>46</v>
      </c>
      <c r="C12" s="1">
        <v>1116</v>
      </c>
      <c r="D12" s="1">
        <v>518</v>
      </c>
      <c r="E12" s="1">
        <v>598</v>
      </c>
    </row>
    <row r="13" spans="1:5" ht="21.75" customHeight="1" x14ac:dyDescent="0.25">
      <c r="A13" s="1">
        <v>2</v>
      </c>
      <c r="B13" s="1" t="s">
        <v>47</v>
      </c>
      <c r="C13" s="1">
        <v>3103</v>
      </c>
      <c r="D13" s="1">
        <v>1478</v>
      </c>
      <c r="E13" s="1">
        <v>1625</v>
      </c>
    </row>
    <row r="14" spans="1:5" ht="21.75" customHeight="1" x14ac:dyDescent="0.25">
      <c r="A14" s="1">
        <v>3</v>
      </c>
      <c r="B14" s="1" t="s">
        <v>48</v>
      </c>
      <c r="C14" s="1">
        <v>4596</v>
      </c>
      <c r="D14" s="1">
        <v>2169</v>
      </c>
      <c r="E14" s="1">
        <v>2427</v>
      </c>
    </row>
    <row r="15" spans="1:5" ht="21.75" customHeight="1" x14ac:dyDescent="0.25">
      <c r="A15" s="1">
        <v>4</v>
      </c>
      <c r="B15" s="1" t="s">
        <v>49</v>
      </c>
      <c r="C15" s="1">
        <v>5883</v>
      </c>
      <c r="D15" s="1">
        <v>2775</v>
      </c>
      <c r="E15" s="1">
        <v>3108</v>
      </c>
    </row>
    <row r="16" spans="1:5" ht="21.75" customHeight="1" x14ac:dyDescent="0.25">
      <c r="A16" s="1">
        <v>5</v>
      </c>
      <c r="B16" s="1" t="s">
        <v>50</v>
      </c>
      <c r="C16" s="1">
        <v>3180</v>
      </c>
      <c r="D16" s="1">
        <v>1355</v>
      </c>
      <c r="E16" s="1">
        <v>1825</v>
      </c>
    </row>
    <row r="17" spans="1:5" ht="21.75" customHeight="1" x14ac:dyDescent="0.25">
      <c r="A17" s="1">
        <v>6</v>
      </c>
      <c r="B17" s="1" t="s">
        <v>51</v>
      </c>
      <c r="C17" s="1">
        <v>11218</v>
      </c>
      <c r="D17" s="1">
        <v>5363</v>
      </c>
      <c r="E17" s="1">
        <v>5855</v>
      </c>
    </row>
    <row r="18" spans="1:5" ht="21.75" customHeight="1" x14ac:dyDescent="0.25">
      <c r="A18" s="1">
        <v>7</v>
      </c>
      <c r="B18" s="1" t="s">
        <v>52</v>
      </c>
      <c r="C18" s="1">
        <v>8133</v>
      </c>
      <c r="D18" s="1">
        <v>3825</v>
      </c>
      <c r="E18" s="1">
        <v>4308</v>
      </c>
    </row>
    <row r="19" spans="1:5" ht="21.75" customHeight="1" x14ac:dyDescent="0.25">
      <c r="A19" s="1">
        <v>8</v>
      </c>
      <c r="B19" s="1" t="s">
        <v>53</v>
      </c>
      <c r="C19" s="1">
        <v>5656</v>
      </c>
      <c r="D19" s="1">
        <v>2696</v>
      </c>
      <c r="E19" s="1">
        <v>2960</v>
      </c>
    </row>
    <row r="20" spans="1:5" ht="21.75" customHeight="1" x14ac:dyDescent="0.25">
      <c r="A20" s="1">
        <v>9</v>
      </c>
      <c r="B20" s="1" t="s">
        <v>54</v>
      </c>
      <c r="C20" s="1">
        <v>1897</v>
      </c>
      <c r="D20" s="1">
        <v>963</v>
      </c>
      <c r="E20" s="1">
        <v>934</v>
      </c>
    </row>
    <row r="21" spans="1:5" ht="21.75" customHeight="1" x14ac:dyDescent="0.25">
      <c r="A21" s="1">
        <v>10</v>
      </c>
      <c r="B21" s="1" t="s">
        <v>55</v>
      </c>
      <c r="C21" s="1">
        <v>5766</v>
      </c>
      <c r="D21" s="1">
        <v>2678</v>
      </c>
      <c r="E21" s="1">
        <v>3088</v>
      </c>
    </row>
    <row r="22" spans="1:5" ht="21.75" customHeight="1" x14ac:dyDescent="0.25">
      <c r="A22" s="1">
        <v>11</v>
      </c>
      <c r="B22" s="1" t="s">
        <v>56</v>
      </c>
      <c r="C22" s="1">
        <v>2814</v>
      </c>
      <c r="D22" s="1">
        <v>1320</v>
      </c>
      <c r="E22" s="1">
        <v>1494</v>
      </c>
    </row>
    <row r="23" spans="1:5" ht="21.75" customHeight="1" x14ac:dyDescent="0.25">
      <c r="A23" s="1">
        <v>12</v>
      </c>
      <c r="B23" s="1" t="s">
        <v>57</v>
      </c>
      <c r="C23" s="1">
        <v>1042</v>
      </c>
      <c r="D23" s="1">
        <v>531</v>
      </c>
      <c r="E23" s="1">
        <v>511</v>
      </c>
    </row>
    <row r="24" spans="1:5" ht="21.75" customHeight="1" x14ac:dyDescent="0.25">
      <c r="A24" s="1">
        <v>13</v>
      </c>
      <c r="B24" s="1" t="s">
        <v>58</v>
      </c>
      <c r="C24" s="1">
        <v>4389</v>
      </c>
      <c r="D24" s="1">
        <v>2070</v>
      </c>
      <c r="E24" s="1">
        <v>2319</v>
      </c>
    </row>
    <row r="25" spans="1:5" ht="21.75" customHeight="1" x14ac:dyDescent="0.25">
      <c r="A25" s="1">
        <v>14</v>
      </c>
      <c r="B25" s="1" t="s">
        <v>59</v>
      </c>
      <c r="C25" s="1">
        <v>4384</v>
      </c>
      <c r="D25" s="1">
        <v>2037</v>
      </c>
      <c r="E25" s="1">
        <v>2347</v>
      </c>
    </row>
    <row r="26" spans="1:5" ht="21.75" customHeight="1" x14ac:dyDescent="0.25">
      <c r="A26" s="1">
        <v>15</v>
      </c>
      <c r="B26" s="1" t="s">
        <v>60</v>
      </c>
      <c r="C26" s="1">
        <v>3141</v>
      </c>
      <c r="D26" s="1">
        <v>1488</v>
      </c>
      <c r="E26" s="1">
        <v>1653</v>
      </c>
    </row>
    <row r="27" spans="1:5" ht="21.75" customHeight="1" x14ac:dyDescent="0.25">
      <c r="A27" s="1">
        <v>16</v>
      </c>
      <c r="B27" s="1" t="s">
        <v>61</v>
      </c>
      <c r="C27" s="1">
        <v>2830</v>
      </c>
      <c r="D27" s="1">
        <v>1364</v>
      </c>
      <c r="E27" s="1">
        <v>1466</v>
      </c>
    </row>
    <row r="28" spans="1:5" ht="21.75" customHeight="1" x14ac:dyDescent="0.25">
      <c r="A28" s="1">
        <v>17</v>
      </c>
      <c r="B28" s="1" t="s">
        <v>62</v>
      </c>
      <c r="C28" s="1">
        <v>1887</v>
      </c>
      <c r="D28" s="1">
        <v>1049</v>
      </c>
      <c r="E28" s="1">
        <v>838</v>
      </c>
    </row>
    <row r="29" spans="1:5" ht="21.75" customHeight="1" x14ac:dyDescent="0.25">
      <c r="A29" s="1">
        <v>18</v>
      </c>
      <c r="B29" s="1" t="s">
        <v>63</v>
      </c>
      <c r="C29" s="1">
        <v>2856</v>
      </c>
      <c r="D29" s="1">
        <v>1267</v>
      </c>
      <c r="E29" s="1">
        <v>1589</v>
      </c>
    </row>
    <row r="30" spans="1:5" ht="21.75" customHeight="1" x14ac:dyDescent="0.25">
      <c r="A30" s="1">
        <v>19</v>
      </c>
      <c r="B30" s="1" t="s">
        <v>64</v>
      </c>
      <c r="C30" s="1">
        <v>2556</v>
      </c>
      <c r="D30" s="1">
        <v>1220</v>
      </c>
      <c r="E30" s="1">
        <v>1336</v>
      </c>
    </row>
    <row r="31" spans="1:5" ht="21.75" customHeight="1" x14ac:dyDescent="0.25">
      <c r="A31" s="1">
        <v>20</v>
      </c>
      <c r="B31" s="1" t="s">
        <v>65</v>
      </c>
      <c r="C31" s="1">
        <v>6884</v>
      </c>
      <c r="D31" s="1">
        <v>3368</v>
      </c>
      <c r="E31" s="1">
        <v>3516</v>
      </c>
    </row>
    <row r="32" spans="1:5" ht="21.75" customHeight="1" x14ac:dyDescent="0.25">
      <c r="A32" s="1">
        <v>21</v>
      </c>
      <c r="B32" s="1" t="s">
        <v>66</v>
      </c>
      <c r="C32" s="1">
        <v>1651</v>
      </c>
      <c r="D32" s="1">
        <v>830</v>
      </c>
      <c r="E32" s="1">
        <v>821</v>
      </c>
    </row>
    <row r="33" spans="1:5" ht="21.75" customHeight="1" x14ac:dyDescent="0.25">
      <c r="A33" s="1">
        <v>22</v>
      </c>
      <c r="B33" s="1" t="s">
        <v>67</v>
      </c>
      <c r="C33" s="1">
        <v>3166</v>
      </c>
      <c r="D33" s="1">
        <v>1497</v>
      </c>
      <c r="E33" s="1">
        <v>1669</v>
      </c>
    </row>
    <row r="34" spans="1:5" ht="21.75" customHeight="1" x14ac:dyDescent="0.25">
      <c r="A34" s="1">
        <v>23</v>
      </c>
      <c r="B34" s="1" t="s">
        <v>68</v>
      </c>
      <c r="C34" s="1">
        <v>6065</v>
      </c>
      <c r="D34" s="1">
        <v>2918</v>
      </c>
      <c r="E34" s="1">
        <v>3147</v>
      </c>
    </row>
    <row r="35" spans="1:5" ht="21.75" customHeight="1" x14ac:dyDescent="0.25">
      <c r="A35" s="1">
        <v>24</v>
      </c>
      <c r="B35" s="1" t="s">
        <v>69</v>
      </c>
      <c r="C35" s="1">
        <v>4327</v>
      </c>
      <c r="D35" s="1">
        <v>2015</v>
      </c>
      <c r="E35" s="1">
        <v>2312</v>
      </c>
    </row>
    <row r="36" spans="1:5" ht="21.75" customHeight="1" x14ac:dyDescent="0.25">
      <c r="A36" s="1">
        <v>25</v>
      </c>
      <c r="B36" s="1" t="s">
        <v>70</v>
      </c>
      <c r="C36" s="1">
        <v>2258</v>
      </c>
      <c r="D36" s="1">
        <v>1074</v>
      </c>
      <c r="E36" s="1">
        <v>1184</v>
      </c>
    </row>
    <row r="37" spans="1:5" ht="21.75" customHeight="1" x14ac:dyDescent="0.25">
      <c r="A37" s="1">
        <v>26</v>
      </c>
      <c r="B37" s="1" t="s">
        <v>71</v>
      </c>
      <c r="C37" s="1">
        <v>1155</v>
      </c>
      <c r="D37" s="1">
        <v>522</v>
      </c>
      <c r="E37" s="1">
        <v>633</v>
      </c>
    </row>
    <row r="38" spans="1:5" ht="21.75" customHeight="1" x14ac:dyDescent="0.25">
      <c r="A38" s="1">
        <v>27</v>
      </c>
      <c r="B38" s="1" t="s">
        <v>72</v>
      </c>
      <c r="C38" s="1">
        <v>5149</v>
      </c>
      <c r="D38" s="1">
        <v>2389</v>
      </c>
      <c r="E38" s="1">
        <v>2760</v>
      </c>
    </row>
    <row r="39" spans="1:5" ht="21.75" customHeight="1" x14ac:dyDescent="0.25">
      <c r="A39" s="1">
        <v>28</v>
      </c>
      <c r="B39" s="1" t="s">
        <v>73</v>
      </c>
      <c r="C39" s="1">
        <v>2467</v>
      </c>
      <c r="D39" s="1">
        <v>1116</v>
      </c>
      <c r="E39" s="1">
        <v>1351</v>
      </c>
    </row>
    <row r="40" spans="1:5" ht="21.75" customHeight="1" x14ac:dyDescent="0.25">
      <c r="A40" s="1">
        <v>29</v>
      </c>
      <c r="B40" s="1" t="s">
        <v>74</v>
      </c>
      <c r="C40" s="1">
        <v>2254</v>
      </c>
      <c r="D40" s="1">
        <v>1123</v>
      </c>
      <c r="E40" s="1">
        <v>1131</v>
      </c>
    </row>
    <row r="41" spans="1:5" ht="21.75" customHeight="1" x14ac:dyDescent="0.25">
      <c r="A41" s="1">
        <v>30</v>
      </c>
      <c r="B41" s="1" t="s">
        <v>75</v>
      </c>
      <c r="C41" s="1">
        <v>2319</v>
      </c>
      <c r="D41" s="1">
        <v>1103</v>
      </c>
      <c r="E41" s="1">
        <v>1216</v>
      </c>
    </row>
    <row r="42" spans="1:5" ht="21.75" customHeight="1" x14ac:dyDescent="0.25">
      <c r="A42" s="1">
        <v>31</v>
      </c>
      <c r="B42" s="1" t="s">
        <v>76</v>
      </c>
      <c r="C42" s="1">
        <v>3445</v>
      </c>
      <c r="D42" s="1">
        <v>1660</v>
      </c>
      <c r="E42" s="1">
        <v>1785</v>
      </c>
    </row>
    <row r="43" spans="1:5" ht="21.75" customHeight="1" x14ac:dyDescent="0.25">
      <c r="A43" s="1">
        <v>32</v>
      </c>
      <c r="B43" s="1" t="s">
        <v>77</v>
      </c>
      <c r="C43" s="1">
        <v>8025</v>
      </c>
      <c r="D43" s="1">
        <v>3850</v>
      </c>
      <c r="E43" s="1">
        <v>4175</v>
      </c>
    </row>
    <row r="44" spans="1:5" ht="21.75" customHeight="1" x14ac:dyDescent="0.25">
      <c r="A44" s="1">
        <v>33</v>
      </c>
      <c r="B44" s="1" t="s">
        <v>78</v>
      </c>
      <c r="C44" s="1">
        <v>2369</v>
      </c>
      <c r="D44" s="1">
        <v>1108</v>
      </c>
      <c r="E44" s="1">
        <v>1261</v>
      </c>
    </row>
    <row r="45" spans="1:5" ht="21.75" customHeight="1" x14ac:dyDescent="0.25">
      <c r="A45" s="1">
        <v>34</v>
      </c>
      <c r="B45" s="1" t="s">
        <v>79</v>
      </c>
      <c r="C45" s="1">
        <v>9525</v>
      </c>
      <c r="D45" s="1">
        <v>4470</v>
      </c>
      <c r="E45" s="1">
        <v>5055</v>
      </c>
    </row>
    <row r="46" spans="1:5" ht="21.75" customHeight="1" x14ac:dyDescent="0.25">
      <c r="A46" s="1">
        <v>35</v>
      </c>
      <c r="B46" s="1" t="s">
        <v>80</v>
      </c>
      <c r="C46" s="1">
        <v>4695</v>
      </c>
      <c r="D46" s="1">
        <v>2257</v>
      </c>
      <c r="E46" s="1">
        <v>2438</v>
      </c>
    </row>
    <row r="47" spans="1:5" ht="21.75" customHeight="1" x14ac:dyDescent="0.25">
      <c r="A47" s="1">
        <v>36</v>
      </c>
      <c r="B47" s="1" t="s">
        <v>81</v>
      </c>
      <c r="C47" s="1">
        <v>4828</v>
      </c>
      <c r="D47" s="1">
        <v>2295</v>
      </c>
      <c r="E47" s="1">
        <v>2533</v>
      </c>
    </row>
    <row r="48" spans="1:5" ht="21.75" customHeight="1" x14ac:dyDescent="0.25">
      <c r="A48" s="1">
        <v>37</v>
      </c>
      <c r="B48" s="1" t="s">
        <v>82</v>
      </c>
      <c r="C48" s="1">
        <v>11659</v>
      </c>
      <c r="D48" s="1">
        <v>5416</v>
      </c>
      <c r="E48" s="1">
        <v>6243</v>
      </c>
    </row>
    <row r="49" spans="1:5" ht="21.75" customHeight="1" x14ac:dyDescent="0.25">
      <c r="A49" s="1">
        <v>38</v>
      </c>
      <c r="B49" s="1" t="s">
        <v>83</v>
      </c>
      <c r="C49" s="1">
        <v>1265</v>
      </c>
      <c r="D49" s="1">
        <v>559</v>
      </c>
      <c r="E49" s="1">
        <v>706</v>
      </c>
    </row>
    <row r="50" spans="1:5" ht="21.75" customHeight="1" x14ac:dyDescent="0.25">
      <c r="A50" s="1">
        <v>39</v>
      </c>
      <c r="B50" s="1" t="s">
        <v>84</v>
      </c>
      <c r="C50" s="1">
        <v>1641</v>
      </c>
      <c r="D50" s="1">
        <v>751</v>
      </c>
      <c r="E50" s="1">
        <v>890</v>
      </c>
    </row>
    <row r="51" spans="1:5" ht="21.75" customHeight="1" x14ac:dyDescent="0.25">
      <c r="A51" s="1">
        <v>40</v>
      </c>
      <c r="B51" s="1" t="s">
        <v>85</v>
      </c>
      <c r="C51" s="1">
        <v>13004</v>
      </c>
      <c r="D51" s="1">
        <v>6377</v>
      </c>
      <c r="E51" s="1">
        <v>6627</v>
      </c>
    </row>
    <row r="52" spans="1:5" ht="21.75" customHeight="1" x14ac:dyDescent="0.25">
      <c r="A52" s="1">
        <v>41</v>
      </c>
      <c r="B52" s="1" t="s">
        <v>86</v>
      </c>
      <c r="C52" s="1">
        <v>1260</v>
      </c>
      <c r="D52" s="1">
        <v>613</v>
      </c>
      <c r="E52" s="1">
        <v>647</v>
      </c>
    </row>
    <row r="53" spans="1:5" ht="21.75" customHeight="1" x14ac:dyDescent="0.25">
      <c r="A53" s="1">
        <v>42</v>
      </c>
      <c r="B53" s="1" t="s">
        <v>87</v>
      </c>
      <c r="C53" s="1">
        <v>4371</v>
      </c>
      <c r="D53" s="1">
        <v>2127</v>
      </c>
      <c r="E53" s="1">
        <v>2244</v>
      </c>
    </row>
    <row r="54" spans="1:5" ht="21.75" customHeight="1" x14ac:dyDescent="0.25">
      <c r="A54" s="1">
        <v>43</v>
      </c>
      <c r="B54" s="1" t="s">
        <v>88</v>
      </c>
      <c r="C54" s="1">
        <v>2682</v>
      </c>
      <c r="D54" s="1">
        <v>1350</v>
      </c>
      <c r="E54" s="1">
        <v>1332</v>
      </c>
    </row>
    <row r="55" spans="1:5" ht="21.75" customHeight="1" x14ac:dyDescent="0.25">
      <c r="A55" s="10">
        <v>44</v>
      </c>
      <c r="B55" s="10" t="s">
        <v>89</v>
      </c>
      <c r="C55" s="10">
        <v>1878</v>
      </c>
      <c r="D55" s="10">
        <v>856</v>
      </c>
      <c r="E55" s="10">
        <v>1022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 Mawlamyine District, Kyaikemaraw 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selection sqref="A1:E1"/>
    </sheetView>
  </sheetViews>
  <sheetFormatPr defaultRowHeight="15" x14ac:dyDescent="0.25"/>
  <cols>
    <col min="1" max="1" width="9.28515625" customWidth="1"/>
    <col min="2" max="2" width="24.140625" customWidth="1"/>
    <col min="3" max="5" width="15.7109375" customWidth="1"/>
  </cols>
  <sheetData>
    <row r="1" spans="1:5" ht="30.75" customHeight="1" x14ac:dyDescent="0.25">
      <c r="A1" s="32" t="s">
        <v>452</v>
      </c>
      <c r="B1" s="32"/>
      <c r="C1" s="32"/>
      <c r="D1" s="32"/>
      <c r="E1" s="32"/>
    </row>
    <row r="2" spans="1:5" ht="21" x14ac:dyDescent="0.35">
      <c r="B2" s="12"/>
      <c r="C2" s="12"/>
      <c r="E2" s="19" t="s">
        <v>449</v>
      </c>
    </row>
    <row r="3" spans="1:5" ht="21.75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5" ht="21.75" customHeight="1" x14ac:dyDescent="0.25">
      <c r="A4" s="31"/>
      <c r="B4" s="31"/>
      <c r="C4" s="14" t="s">
        <v>0</v>
      </c>
      <c r="D4" s="14" t="s">
        <v>1</v>
      </c>
      <c r="E4" s="14" t="s">
        <v>2</v>
      </c>
    </row>
    <row r="5" spans="1:5" ht="21.75" customHeight="1" x14ac:dyDescent="0.25">
      <c r="A5" s="1"/>
      <c r="B5" s="6" t="s">
        <v>0</v>
      </c>
      <c r="C5" s="9">
        <f>C7+C12</f>
        <v>122126</v>
      </c>
      <c r="D5" s="9">
        <f t="shared" ref="D5:E5" si="0">D7+D12</f>
        <v>55596</v>
      </c>
      <c r="E5" s="9">
        <f t="shared" si="0"/>
        <v>66530</v>
      </c>
    </row>
    <row r="6" spans="1:5" ht="12.75" customHeight="1" x14ac:dyDescent="0.25">
      <c r="A6" s="1"/>
      <c r="B6" s="1"/>
      <c r="C6" s="1"/>
      <c r="D6" s="1"/>
      <c r="E6" s="1"/>
    </row>
    <row r="7" spans="1:5" ht="21.75" customHeight="1" x14ac:dyDescent="0.25">
      <c r="A7" s="1"/>
      <c r="B7" s="21" t="s">
        <v>462</v>
      </c>
      <c r="C7" s="9">
        <f>SUM(C8:C10)</f>
        <v>7727</v>
      </c>
      <c r="D7" s="9">
        <f t="shared" ref="D7:E7" si="1">SUM(D8:D10)</f>
        <v>3538</v>
      </c>
      <c r="E7" s="9">
        <f t="shared" si="1"/>
        <v>4189</v>
      </c>
    </row>
    <row r="8" spans="1:5" ht="21.75" customHeight="1" x14ac:dyDescent="0.25">
      <c r="A8" s="1">
        <v>1</v>
      </c>
      <c r="B8" s="1" t="s">
        <v>90</v>
      </c>
      <c r="C8" s="1">
        <v>2863</v>
      </c>
      <c r="D8" s="1">
        <v>1331</v>
      </c>
      <c r="E8" s="1">
        <v>1532</v>
      </c>
    </row>
    <row r="9" spans="1:5" ht="21.75" customHeight="1" x14ac:dyDescent="0.25">
      <c r="A9" s="1">
        <v>2</v>
      </c>
      <c r="B9" s="1" t="s">
        <v>91</v>
      </c>
      <c r="C9" s="1">
        <v>2870</v>
      </c>
      <c r="D9" s="1">
        <v>1309</v>
      </c>
      <c r="E9" s="1">
        <v>1561</v>
      </c>
    </row>
    <row r="10" spans="1:5" ht="21.75" customHeight="1" x14ac:dyDescent="0.25">
      <c r="A10" s="1">
        <v>3</v>
      </c>
      <c r="B10" s="1" t="s">
        <v>92</v>
      </c>
      <c r="C10" s="1">
        <v>1994</v>
      </c>
      <c r="D10" s="1">
        <v>898</v>
      </c>
      <c r="E10" s="1">
        <v>1096</v>
      </c>
    </row>
    <row r="11" spans="1:5" ht="10.5" customHeight="1" x14ac:dyDescent="0.25">
      <c r="A11" s="1"/>
      <c r="B11" s="1"/>
      <c r="C11" s="1"/>
      <c r="D11" s="1"/>
      <c r="E11" s="1"/>
    </row>
    <row r="12" spans="1:5" ht="21.75" customHeight="1" x14ac:dyDescent="0.25">
      <c r="A12" s="1"/>
      <c r="B12" s="21" t="s">
        <v>463</v>
      </c>
      <c r="C12" s="9">
        <f>SUM(C13:C54)</f>
        <v>114399</v>
      </c>
      <c r="D12" s="9">
        <f t="shared" ref="D12:E12" si="2">SUM(D13:D54)</f>
        <v>52058</v>
      </c>
      <c r="E12" s="9">
        <f t="shared" si="2"/>
        <v>62341</v>
      </c>
    </row>
    <row r="13" spans="1:5" ht="21.75" customHeight="1" x14ac:dyDescent="0.25">
      <c r="A13" s="1">
        <v>1</v>
      </c>
      <c r="B13" s="1" t="s">
        <v>93</v>
      </c>
      <c r="C13" s="1">
        <v>5576</v>
      </c>
      <c r="D13" s="1">
        <v>2384</v>
      </c>
      <c r="E13" s="1">
        <v>3192</v>
      </c>
    </row>
    <row r="14" spans="1:5" ht="21.75" customHeight="1" x14ac:dyDescent="0.25">
      <c r="A14" s="1">
        <v>2</v>
      </c>
      <c r="B14" s="1" t="s">
        <v>94</v>
      </c>
      <c r="C14" s="1">
        <v>3703</v>
      </c>
      <c r="D14" s="1">
        <v>1660</v>
      </c>
      <c r="E14" s="1">
        <v>2043</v>
      </c>
    </row>
    <row r="15" spans="1:5" ht="21.75" customHeight="1" x14ac:dyDescent="0.25">
      <c r="A15" s="1">
        <v>3</v>
      </c>
      <c r="B15" s="1" t="s">
        <v>95</v>
      </c>
      <c r="C15" s="1">
        <v>3266</v>
      </c>
      <c r="D15" s="1">
        <v>1602</v>
      </c>
      <c r="E15" s="1">
        <v>1664</v>
      </c>
    </row>
    <row r="16" spans="1:5" ht="21.75" customHeight="1" x14ac:dyDescent="0.25">
      <c r="A16" s="1">
        <v>4</v>
      </c>
      <c r="B16" s="1" t="s">
        <v>96</v>
      </c>
      <c r="C16" s="1">
        <v>7389</v>
      </c>
      <c r="D16" s="1">
        <v>3134</v>
      </c>
      <c r="E16" s="1">
        <v>4255</v>
      </c>
    </row>
    <row r="17" spans="1:5" ht="21.75" customHeight="1" x14ac:dyDescent="0.25">
      <c r="A17" s="1">
        <v>5</v>
      </c>
      <c r="B17" s="1" t="s">
        <v>97</v>
      </c>
      <c r="C17" s="1">
        <v>1865</v>
      </c>
      <c r="D17" s="1">
        <v>809</v>
      </c>
      <c r="E17" s="1">
        <v>1056</v>
      </c>
    </row>
    <row r="18" spans="1:5" ht="21.75" customHeight="1" x14ac:dyDescent="0.25">
      <c r="A18" s="1">
        <v>6</v>
      </c>
      <c r="B18" s="1" t="s">
        <v>98</v>
      </c>
      <c r="C18" s="1">
        <v>1724</v>
      </c>
      <c r="D18" s="1">
        <v>744</v>
      </c>
      <c r="E18" s="1">
        <v>980</v>
      </c>
    </row>
    <row r="19" spans="1:5" ht="21.75" customHeight="1" x14ac:dyDescent="0.25">
      <c r="A19" s="1">
        <v>7</v>
      </c>
      <c r="B19" s="1" t="s">
        <v>99</v>
      </c>
      <c r="C19" s="1">
        <v>3437</v>
      </c>
      <c r="D19" s="1">
        <v>1463</v>
      </c>
      <c r="E19" s="1">
        <v>1974</v>
      </c>
    </row>
    <row r="20" spans="1:5" ht="21.75" customHeight="1" x14ac:dyDescent="0.25">
      <c r="A20" s="1">
        <v>8</v>
      </c>
      <c r="B20" s="1" t="s">
        <v>100</v>
      </c>
      <c r="C20" s="1">
        <v>1547</v>
      </c>
      <c r="D20" s="1">
        <v>806</v>
      </c>
      <c r="E20" s="1">
        <v>741</v>
      </c>
    </row>
    <row r="21" spans="1:5" ht="21.75" customHeight="1" x14ac:dyDescent="0.25">
      <c r="A21" s="1">
        <v>9</v>
      </c>
      <c r="B21" s="1" t="s">
        <v>101</v>
      </c>
      <c r="C21" s="1">
        <v>762</v>
      </c>
      <c r="D21" s="1">
        <v>380</v>
      </c>
      <c r="E21" s="1">
        <v>382</v>
      </c>
    </row>
    <row r="22" spans="1:5" ht="21.75" customHeight="1" x14ac:dyDescent="0.25">
      <c r="A22" s="1">
        <v>10</v>
      </c>
      <c r="B22" s="1" t="s">
        <v>102</v>
      </c>
      <c r="C22" s="1">
        <v>2798</v>
      </c>
      <c r="D22" s="1">
        <v>1232</v>
      </c>
      <c r="E22" s="1">
        <v>1566</v>
      </c>
    </row>
    <row r="23" spans="1:5" ht="21.75" customHeight="1" x14ac:dyDescent="0.25">
      <c r="A23" s="1">
        <v>11</v>
      </c>
      <c r="B23" s="1" t="s">
        <v>103</v>
      </c>
      <c r="C23" s="1">
        <v>489</v>
      </c>
      <c r="D23" s="1">
        <v>233</v>
      </c>
      <c r="E23" s="1">
        <v>256</v>
      </c>
    </row>
    <row r="24" spans="1:5" ht="21.75" customHeight="1" x14ac:dyDescent="0.25">
      <c r="A24" s="1">
        <v>12</v>
      </c>
      <c r="B24" s="1" t="s">
        <v>104</v>
      </c>
      <c r="C24" s="1">
        <v>2853</v>
      </c>
      <c r="D24" s="1">
        <v>1349</v>
      </c>
      <c r="E24" s="1">
        <v>1504</v>
      </c>
    </row>
    <row r="25" spans="1:5" ht="21.75" customHeight="1" x14ac:dyDescent="0.25">
      <c r="A25" s="1">
        <v>13</v>
      </c>
      <c r="B25" s="1" t="s">
        <v>105</v>
      </c>
      <c r="C25" s="1">
        <v>1491</v>
      </c>
      <c r="D25" s="1">
        <v>657</v>
      </c>
      <c r="E25" s="1">
        <v>834</v>
      </c>
    </row>
    <row r="26" spans="1:5" ht="21.75" customHeight="1" x14ac:dyDescent="0.25">
      <c r="A26" s="1">
        <v>14</v>
      </c>
      <c r="B26" s="1" t="s">
        <v>106</v>
      </c>
      <c r="C26" s="1">
        <v>3288</v>
      </c>
      <c r="D26" s="1">
        <v>1443</v>
      </c>
      <c r="E26" s="1">
        <v>1845</v>
      </c>
    </row>
    <row r="27" spans="1:5" ht="21.75" customHeight="1" x14ac:dyDescent="0.25">
      <c r="A27" s="1">
        <v>15</v>
      </c>
      <c r="B27" s="1" t="s">
        <v>107</v>
      </c>
      <c r="C27" s="1">
        <v>5678</v>
      </c>
      <c r="D27" s="1">
        <v>2545</v>
      </c>
      <c r="E27" s="1">
        <v>3133</v>
      </c>
    </row>
    <row r="28" spans="1:5" ht="21.75" customHeight="1" x14ac:dyDescent="0.25">
      <c r="A28" s="1">
        <v>16</v>
      </c>
      <c r="B28" s="1" t="s">
        <v>108</v>
      </c>
      <c r="C28" s="1">
        <v>2298</v>
      </c>
      <c r="D28" s="1">
        <v>1052</v>
      </c>
      <c r="E28" s="1">
        <v>1246</v>
      </c>
    </row>
    <row r="29" spans="1:5" ht="21.75" customHeight="1" x14ac:dyDescent="0.25">
      <c r="A29" s="1">
        <v>17</v>
      </c>
      <c r="B29" s="1" t="s">
        <v>109</v>
      </c>
      <c r="C29" s="1">
        <v>1383</v>
      </c>
      <c r="D29" s="1">
        <v>618</v>
      </c>
      <c r="E29" s="1">
        <v>765</v>
      </c>
    </row>
    <row r="30" spans="1:5" ht="21.75" customHeight="1" x14ac:dyDescent="0.25">
      <c r="A30" s="1">
        <v>18</v>
      </c>
      <c r="B30" s="1" t="s">
        <v>110</v>
      </c>
      <c r="C30" s="1">
        <v>1558</v>
      </c>
      <c r="D30" s="1">
        <v>720</v>
      </c>
      <c r="E30" s="1">
        <v>838</v>
      </c>
    </row>
    <row r="31" spans="1:5" ht="21.75" customHeight="1" x14ac:dyDescent="0.25">
      <c r="A31" s="1">
        <v>19</v>
      </c>
      <c r="B31" s="1" t="s">
        <v>111</v>
      </c>
      <c r="C31" s="1">
        <v>6381</v>
      </c>
      <c r="D31" s="1">
        <v>2827</v>
      </c>
      <c r="E31" s="1">
        <v>3554</v>
      </c>
    </row>
    <row r="32" spans="1:5" ht="21.75" customHeight="1" x14ac:dyDescent="0.25">
      <c r="A32" s="1">
        <v>20</v>
      </c>
      <c r="B32" s="1" t="s">
        <v>112</v>
      </c>
      <c r="C32" s="1">
        <v>2166</v>
      </c>
      <c r="D32" s="1">
        <v>1000</v>
      </c>
      <c r="E32" s="1">
        <v>1166</v>
      </c>
    </row>
    <row r="33" spans="1:5" ht="21.75" customHeight="1" x14ac:dyDescent="0.25">
      <c r="A33" s="1">
        <v>21</v>
      </c>
      <c r="B33" s="1" t="s">
        <v>113</v>
      </c>
      <c r="C33" s="1">
        <v>1207</v>
      </c>
      <c r="D33" s="1">
        <v>568</v>
      </c>
      <c r="E33" s="1">
        <v>639</v>
      </c>
    </row>
    <row r="34" spans="1:5" ht="21.75" customHeight="1" x14ac:dyDescent="0.25">
      <c r="A34" s="1">
        <v>22</v>
      </c>
      <c r="B34" s="1" t="s">
        <v>114</v>
      </c>
      <c r="C34" s="1">
        <v>2130</v>
      </c>
      <c r="D34" s="1">
        <v>965</v>
      </c>
      <c r="E34" s="1">
        <v>1165</v>
      </c>
    </row>
    <row r="35" spans="1:5" ht="21.75" customHeight="1" x14ac:dyDescent="0.25">
      <c r="A35" s="1">
        <v>23</v>
      </c>
      <c r="B35" s="1" t="s">
        <v>115</v>
      </c>
      <c r="C35" s="1">
        <v>1572</v>
      </c>
      <c r="D35" s="1">
        <v>737</v>
      </c>
      <c r="E35" s="1">
        <v>835</v>
      </c>
    </row>
    <row r="36" spans="1:5" ht="21.75" customHeight="1" x14ac:dyDescent="0.25">
      <c r="A36" s="1">
        <v>24</v>
      </c>
      <c r="B36" s="1" t="s">
        <v>116</v>
      </c>
      <c r="C36" s="1">
        <v>3709</v>
      </c>
      <c r="D36" s="1">
        <v>1684</v>
      </c>
      <c r="E36" s="1">
        <v>2025</v>
      </c>
    </row>
    <row r="37" spans="1:5" ht="21.75" customHeight="1" x14ac:dyDescent="0.25">
      <c r="A37" s="1">
        <v>25</v>
      </c>
      <c r="B37" s="1" t="s">
        <v>117</v>
      </c>
      <c r="C37" s="1">
        <v>2784</v>
      </c>
      <c r="D37" s="1">
        <v>1265</v>
      </c>
      <c r="E37" s="1">
        <v>1519</v>
      </c>
    </row>
    <row r="38" spans="1:5" ht="21.75" customHeight="1" x14ac:dyDescent="0.25">
      <c r="A38" s="1">
        <v>26</v>
      </c>
      <c r="B38" s="1" t="s">
        <v>118</v>
      </c>
      <c r="C38" s="1">
        <v>808</v>
      </c>
      <c r="D38" s="1">
        <v>379</v>
      </c>
      <c r="E38" s="1">
        <v>429</v>
      </c>
    </row>
    <row r="39" spans="1:5" ht="21.75" customHeight="1" x14ac:dyDescent="0.25">
      <c r="A39" s="1">
        <v>27</v>
      </c>
      <c r="B39" s="1" t="s">
        <v>119</v>
      </c>
      <c r="C39" s="1">
        <v>788</v>
      </c>
      <c r="D39" s="1">
        <v>378</v>
      </c>
      <c r="E39" s="1">
        <v>410</v>
      </c>
    </row>
    <row r="40" spans="1:5" ht="21.75" customHeight="1" x14ac:dyDescent="0.25">
      <c r="A40" s="1">
        <v>28</v>
      </c>
      <c r="B40" s="1" t="s">
        <v>120</v>
      </c>
      <c r="C40" s="1">
        <v>842</v>
      </c>
      <c r="D40" s="1">
        <v>429</v>
      </c>
      <c r="E40" s="1">
        <v>413</v>
      </c>
    </row>
    <row r="41" spans="1:5" ht="21.75" customHeight="1" x14ac:dyDescent="0.25">
      <c r="A41" s="1">
        <v>29</v>
      </c>
      <c r="B41" s="1" t="s">
        <v>121</v>
      </c>
      <c r="C41" s="1">
        <v>916</v>
      </c>
      <c r="D41" s="1">
        <v>422</v>
      </c>
      <c r="E41" s="1">
        <v>494</v>
      </c>
    </row>
    <row r="42" spans="1:5" ht="21.75" customHeight="1" x14ac:dyDescent="0.25">
      <c r="A42" s="1">
        <v>30</v>
      </c>
      <c r="B42" s="1" t="s">
        <v>122</v>
      </c>
      <c r="C42" s="1">
        <v>1574</v>
      </c>
      <c r="D42" s="1">
        <v>777</v>
      </c>
      <c r="E42" s="1">
        <v>797</v>
      </c>
    </row>
    <row r="43" spans="1:5" ht="21.75" customHeight="1" x14ac:dyDescent="0.25">
      <c r="A43" s="1">
        <v>31</v>
      </c>
      <c r="B43" s="1" t="s">
        <v>123</v>
      </c>
      <c r="C43" s="1">
        <v>2799</v>
      </c>
      <c r="D43" s="1">
        <v>1254</v>
      </c>
      <c r="E43" s="1">
        <v>1545</v>
      </c>
    </row>
    <row r="44" spans="1:5" ht="21.75" customHeight="1" x14ac:dyDescent="0.25">
      <c r="A44" s="1">
        <v>32</v>
      </c>
      <c r="B44" s="1" t="s">
        <v>124</v>
      </c>
      <c r="C44" s="1">
        <v>4038</v>
      </c>
      <c r="D44" s="1">
        <v>1881</v>
      </c>
      <c r="E44" s="1">
        <v>2157</v>
      </c>
    </row>
    <row r="45" spans="1:5" ht="21.75" customHeight="1" x14ac:dyDescent="0.25">
      <c r="A45" s="1">
        <v>33</v>
      </c>
      <c r="B45" s="1" t="s">
        <v>125</v>
      </c>
      <c r="C45" s="1">
        <v>2158</v>
      </c>
      <c r="D45" s="1">
        <v>1003</v>
      </c>
      <c r="E45" s="1">
        <v>1155</v>
      </c>
    </row>
    <row r="46" spans="1:5" ht="21.75" customHeight="1" x14ac:dyDescent="0.25">
      <c r="A46" s="1">
        <v>34</v>
      </c>
      <c r="B46" s="1" t="s">
        <v>126</v>
      </c>
      <c r="C46" s="1">
        <v>4771</v>
      </c>
      <c r="D46" s="1">
        <v>2116</v>
      </c>
      <c r="E46" s="1">
        <v>2655</v>
      </c>
    </row>
    <row r="47" spans="1:5" ht="21.75" customHeight="1" x14ac:dyDescent="0.25">
      <c r="A47" s="1">
        <v>35</v>
      </c>
      <c r="B47" s="1" t="s">
        <v>127</v>
      </c>
      <c r="C47" s="1">
        <v>2728</v>
      </c>
      <c r="D47" s="1">
        <v>1268</v>
      </c>
      <c r="E47" s="1">
        <v>1460</v>
      </c>
    </row>
    <row r="48" spans="1:5" ht="21.75" customHeight="1" x14ac:dyDescent="0.25">
      <c r="A48" s="1">
        <v>36</v>
      </c>
      <c r="B48" s="1" t="s">
        <v>128</v>
      </c>
      <c r="C48" s="1">
        <v>1668</v>
      </c>
      <c r="D48" s="1">
        <v>816</v>
      </c>
      <c r="E48" s="1">
        <v>852</v>
      </c>
    </row>
    <row r="49" spans="1:5" ht="21.75" customHeight="1" x14ac:dyDescent="0.25">
      <c r="A49" s="1">
        <v>37</v>
      </c>
      <c r="B49" s="1" t="s">
        <v>129</v>
      </c>
      <c r="C49" s="1">
        <v>1097</v>
      </c>
      <c r="D49" s="1">
        <v>490</v>
      </c>
      <c r="E49" s="1">
        <v>607</v>
      </c>
    </row>
    <row r="50" spans="1:5" ht="21.75" customHeight="1" x14ac:dyDescent="0.25">
      <c r="A50" s="1">
        <v>38</v>
      </c>
      <c r="B50" s="1" t="s">
        <v>130</v>
      </c>
      <c r="C50" s="1">
        <v>2375</v>
      </c>
      <c r="D50" s="1">
        <v>1138</v>
      </c>
      <c r="E50" s="1">
        <v>1237</v>
      </c>
    </row>
    <row r="51" spans="1:5" ht="21.75" customHeight="1" x14ac:dyDescent="0.25">
      <c r="A51" s="1">
        <v>39</v>
      </c>
      <c r="B51" s="1" t="s">
        <v>131</v>
      </c>
      <c r="C51" s="1">
        <v>7114</v>
      </c>
      <c r="D51" s="1">
        <v>3343</v>
      </c>
      <c r="E51" s="1">
        <v>3771</v>
      </c>
    </row>
    <row r="52" spans="1:5" ht="21.75" customHeight="1" x14ac:dyDescent="0.25">
      <c r="A52" s="1">
        <v>40</v>
      </c>
      <c r="B52" s="1" t="s">
        <v>132</v>
      </c>
      <c r="C52" s="1">
        <v>2437</v>
      </c>
      <c r="D52" s="1">
        <v>1110</v>
      </c>
      <c r="E52" s="1">
        <v>1327</v>
      </c>
    </row>
    <row r="53" spans="1:5" ht="21.75" customHeight="1" x14ac:dyDescent="0.25">
      <c r="A53" s="1">
        <v>41</v>
      </c>
      <c r="B53" s="1" t="s">
        <v>133</v>
      </c>
      <c r="C53" s="1">
        <v>5158</v>
      </c>
      <c r="D53" s="1">
        <v>2385</v>
      </c>
      <c r="E53" s="1">
        <v>2773</v>
      </c>
    </row>
    <row r="54" spans="1:5" ht="21.75" customHeight="1" x14ac:dyDescent="0.25">
      <c r="A54" s="10">
        <v>42</v>
      </c>
      <c r="B54" s="10" t="s">
        <v>134</v>
      </c>
      <c r="C54" s="10">
        <v>2074</v>
      </c>
      <c r="D54" s="10">
        <v>992</v>
      </c>
      <c r="E54" s="10">
        <v>1082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 Mawlamyine District,   Chaungzon 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sqref="A1:E1"/>
    </sheetView>
  </sheetViews>
  <sheetFormatPr defaultRowHeight="15" x14ac:dyDescent="0.25"/>
  <cols>
    <col min="1" max="1" width="9.5703125" customWidth="1"/>
    <col min="2" max="2" width="28.7109375" customWidth="1"/>
    <col min="3" max="5" width="15.7109375" customWidth="1"/>
  </cols>
  <sheetData>
    <row r="1" spans="1:5" ht="33.75" customHeight="1" x14ac:dyDescent="0.25">
      <c r="A1" s="32" t="s">
        <v>453</v>
      </c>
      <c r="B1" s="32"/>
      <c r="C1" s="32"/>
      <c r="D1" s="32"/>
      <c r="E1" s="32"/>
    </row>
    <row r="2" spans="1:5" ht="27.75" customHeight="1" x14ac:dyDescent="0.35">
      <c r="B2" s="12"/>
      <c r="C2" s="12"/>
      <c r="E2" s="19" t="s">
        <v>449</v>
      </c>
    </row>
    <row r="3" spans="1:5" ht="24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5" ht="22.5" customHeight="1" x14ac:dyDescent="0.25">
      <c r="A4" s="31"/>
      <c r="B4" s="31"/>
      <c r="C4" s="14" t="s">
        <v>0</v>
      </c>
      <c r="D4" s="14" t="s">
        <v>1</v>
      </c>
      <c r="E4" s="14" t="s">
        <v>2</v>
      </c>
    </row>
    <row r="5" spans="1:5" ht="21.75" customHeight="1" x14ac:dyDescent="0.25">
      <c r="A5" s="16"/>
      <c r="B5" s="6" t="s">
        <v>0</v>
      </c>
      <c r="C5" s="17">
        <f>C7+C24</f>
        <v>170536</v>
      </c>
      <c r="D5" s="17">
        <f>D7+D24</f>
        <v>81449</v>
      </c>
      <c r="E5" s="17">
        <f>E7+E24</f>
        <v>89087</v>
      </c>
    </row>
    <row r="6" spans="1:5" ht="9.75" customHeight="1" x14ac:dyDescent="0.25">
      <c r="A6" s="16"/>
      <c r="B6" s="16"/>
      <c r="C6" s="16"/>
      <c r="D6" s="16"/>
      <c r="E6" s="16"/>
    </row>
    <row r="7" spans="1:5" ht="21.75" customHeight="1" x14ac:dyDescent="0.25">
      <c r="A7" s="16"/>
      <c r="B7" s="22" t="s">
        <v>462</v>
      </c>
      <c r="C7" s="17">
        <f>SUM(C8:C22)</f>
        <v>57208</v>
      </c>
      <c r="D7" s="17">
        <f t="shared" ref="D7:E7" si="0">SUM(D8:D22)</f>
        <v>27345</v>
      </c>
      <c r="E7" s="17">
        <f t="shared" si="0"/>
        <v>29863</v>
      </c>
    </row>
    <row r="8" spans="1:5" ht="21.75" customHeight="1" x14ac:dyDescent="0.25">
      <c r="A8" s="16">
        <v>1</v>
      </c>
      <c r="B8" s="16" t="s">
        <v>135</v>
      </c>
      <c r="C8" s="16">
        <v>4520</v>
      </c>
      <c r="D8" s="16">
        <v>2163</v>
      </c>
      <c r="E8" s="16">
        <v>2357</v>
      </c>
    </row>
    <row r="9" spans="1:5" ht="21.75" customHeight="1" x14ac:dyDescent="0.25">
      <c r="A9" s="16">
        <v>2</v>
      </c>
      <c r="B9" s="16" t="s">
        <v>136</v>
      </c>
      <c r="C9" s="16">
        <v>2213</v>
      </c>
      <c r="D9" s="16">
        <v>1070</v>
      </c>
      <c r="E9" s="16">
        <v>1143</v>
      </c>
    </row>
    <row r="10" spans="1:5" ht="21.75" customHeight="1" x14ac:dyDescent="0.25">
      <c r="A10" s="16">
        <v>3</v>
      </c>
      <c r="B10" s="16" t="s">
        <v>137</v>
      </c>
      <c r="C10" s="16">
        <v>4444</v>
      </c>
      <c r="D10" s="16">
        <v>2097</v>
      </c>
      <c r="E10" s="16">
        <v>2347</v>
      </c>
    </row>
    <row r="11" spans="1:5" ht="21.75" customHeight="1" x14ac:dyDescent="0.25">
      <c r="A11" s="16">
        <v>4</v>
      </c>
      <c r="B11" s="16" t="s">
        <v>138</v>
      </c>
      <c r="C11" s="16">
        <v>2441</v>
      </c>
      <c r="D11" s="16">
        <v>1078</v>
      </c>
      <c r="E11" s="16">
        <v>1363</v>
      </c>
    </row>
    <row r="12" spans="1:5" ht="21.75" customHeight="1" x14ac:dyDescent="0.25">
      <c r="A12" s="16">
        <v>5</v>
      </c>
      <c r="B12" s="16" t="s">
        <v>139</v>
      </c>
      <c r="C12" s="16">
        <v>2042</v>
      </c>
      <c r="D12" s="16">
        <v>1008</v>
      </c>
      <c r="E12" s="16">
        <v>1034</v>
      </c>
    </row>
    <row r="13" spans="1:5" ht="21.75" customHeight="1" x14ac:dyDescent="0.25">
      <c r="A13" s="16">
        <v>6</v>
      </c>
      <c r="B13" s="16" t="s">
        <v>140</v>
      </c>
      <c r="C13" s="16">
        <v>4483</v>
      </c>
      <c r="D13" s="16">
        <v>2187</v>
      </c>
      <c r="E13" s="16">
        <v>2296</v>
      </c>
    </row>
    <row r="14" spans="1:5" ht="21.75" customHeight="1" x14ac:dyDescent="0.25">
      <c r="A14" s="16">
        <v>7</v>
      </c>
      <c r="B14" s="16" t="s">
        <v>141</v>
      </c>
      <c r="C14" s="16">
        <v>2483</v>
      </c>
      <c r="D14" s="16">
        <v>1165</v>
      </c>
      <c r="E14" s="16">
        <v>1318</v>
      </c>
    </row>
    <row r="15" spans="1:5" ht="21.75" customHeight="1" x14ac:dyDescent="0.25">
      <c r="A15" s="16">
        <v>8</v>
      </c>
      <c r="B15" s="16" t="s">
        <v>142</v>
      </c>
      <c r="C15" s="16">
        <v>7225</v>
      </c>
      <c r="D15" s="16">
        <v>3392</v>
      </c>
      <c r="E15" s="16">
        <v>3833</v>
      </c>
    </row>
    <row r="16" spans="1:5" ht="21.75" customHeight="1" x14ac:dyDescent="0.25">
      <c r="A16" s="16">
        <v>9</v>
      </c>
      <c r="B16" s="16" t="s">
        <v>143</v>
      </c>
      <c r="C16" s="16">
        <v>6391</v>
      </c>
      <c r="D16" s="16">
        <v>3200</v>
      </c>
      <c r="E16" s="16">
        <v>3191</v>
      </c>
    </row>
    <row r="17" spans="1:5" ht="21.75" customHeight="1" x14ac:dyDescent="0.25">
      <c r="A17" s="16">
        <v>10</v>
      </c>
      <c r="B17" s="16" t="s">
        <v>144</v>
      </c>
      <c r="C17" s="16">
        <v>3123</v>
      </c>
      <c r="D17" s="16">
        <v>1313</v>
      </c>
      <c r="E17" s="16">
        <v>1810</v>
      </c>
    </row>
    <row r="18" spans="1:5" ht="21.75" customHeight="1" x14ac:dyDescent="0.25">
      <c r="A18" s="16">
        <v>11</v>
      </c>
      <c r="B18" s="16" t="s">
        <v>145</v>
      </c>
      <c r="C18" s="16">
        <v>3385</v>
      </c>
      <c r="D18" s="16">
        <v>1651</v>
      </c>
      <c r="E18" s="16">
        <v>1734</v>
      </c>
    </row>
    <row r="19" spans="1:5" ht="21.75" customHeight="1" x14ac:dyDescent="0.25">
      <c r="A19" s="16">
        <v>12</v>
      </c>
      <c r="B19" s="16" t="s">
        <v>146</v>
      </c>
      <c r="C19" s="16">
        <v>3619</v>
      </c>
      <c r="D19" s="16">
        <v>1717</v>
      </c>
      <c r="E19" s="16">
        <v>1902</v>
      </c>
    </row>
    <row r="20" spans="1:5" ht="21.75" customHeight="1" x14ac:dyDescent="0.25">
      <c r="A20" s="16">
        <v>13</v>
      </c>
      <c r="B20" s="16" t="s">
        <v>147</v>
      </c>
      <c r="C20" s="16">
        <v>9135</v>
      </c>
      <c r="D20" s="16">
        <v>4492</v>
      </c>
      <c r="E20" s="16">
        <v>4643</v>
      </c>
    </row>
    <row r="21" spans="1:5" ht="21.75" customHeight="1" x14ac:dyDescent="0.25">
      <c r="A21" s="16">
        <v>14</v>
      </c>
      <c r="B21" s="16" t="s">
        <v>148</v>
      </c>
      <c r="C21" s="16">
        <v>1172</v>
      </c>
      <c r="D21" s="16">
        <v>536</v>
      </c>
      <c r="E21" s="16">
        <v>636</v>
      </c>
    </row>
    <row r="22" spans="1:5" ht="21.75" customHeight="1" x14ac:dyDescent="0.25">
      <c r="A22" s="16">
        <v>15</v>
      </c>
      <c r="B22" s="16" t="s">
        <v>149</v>
      </c>
      <c r="C22" s="16">
        <v>532</v>
      </c>
      <c r="D22" s="16">
        <v>276</v>
      </c>
      <c r="E22" s="16">
        <v>256</v>
      </c>
    </row>
    <row r="23" spans="1:5" ht="12" customHeight="1" x14ac:dyDescent="0.25">
      <c r="A23" s="16"/>
      <c r="B23" s="16"/>
      <c r="C23" s="16"/>
      <c r="D23" s="16"/>
      <c r="E23" s="16"/>
    </row>
    <row r="24" spans="1:5" ht="21.75" customHeight="1" x14ac:dyDescent="0.25">
      <c r="A24" s="16"/>
      <c r="B24" s="22" t="s">
        <v>463</v>
      </c>
      <c r="C24" s="17">
        <f>SUM(C25:C50)</f>
        <v>113328</v>
      </c>
      <c r="D24" s="17">
        <f t="shared" ref="D24:E24" si="1">SUM(D25:D50)</f>
        <v>54104</v>
      </c>
      <c r="E24" s="17">
        <f t="shared" si="1"/>
        <v>59224</v>
      </c>
    </row>
    <row r="25" spans="1:5" ht="21.75" customHeight="1" x14ac:dyDescent="0.25">
      <c r="A25" s="16">
        <v>1</v>
      </c>
      <c r="B25" s="16" t="s">
        <v>150</v>
      </c>
      <c r="C25" s="16">
        <v>2100</v>
      </c>
      <c r="D25" s="16">
        <v>975</v>
      </c>
      <c r="E25" s="16">
        <v>1125</v>
      </c>
    </row>
    <row r="26" spans="1:5" ht="21.75" customHeight="1" x14ac:dyDescent="0.25">
      <c r="A26" s="16">
        <v>2</v>
      </c>
      <c r="B26" s="16" t="s">
        <v>151</v>
      </c>
      <c r="C26" s="16">
        <v>4330</v>
      </c>
      <c r="D26" s="16">
        <v>1943</v>
      </c>
      <c r="E26" s="16">
        <v>2387</v>
      </c>
    </row>
    <row r="27" spans="1:5" ht="21.75" customHeight="1" x14ac:dyDescent="0.25">
      <c r="A27" s="16">
        <v>3</v>
      </c>
      <c r="B27" s="16" t="s">
        <v>152</v>
      </c>
      <c r="C27" s="16">
        <v>2373</v>
      </c>
      <c r="D27" s="16">
        <v>1164</v>
      </c>
      <c r="E27" s="16">
        <v>1209</v>
      </c>
    </row>
    <row r="28" spans="1:5" ht="21.75" customHeight="1" x14ac:dyDescent="0.25">
      <c r="A28" s="16">
        <v>4</v>
      </c>
      <c r="B28" s="16" t="s">
        <v>153</v>
      </c>
      <c r="C28" s="16">
        <v>4652</v>
      </c>
      <c r="D28" s="16">
        <v>2141</v>
      </c>
      <c r="E28" s="16">
        <v>2511</v>
      </c>
    </row>
    <row r="29" spans="1:5" ht="21.75" customHeight="1" x14ac:dyDescent="0.25">
      <c r="A29" s="16">
        <v>5</v>
      </c>
      <c r="B29" s="16" t="s">
        <v>154</v>
      </c>
      <c r="C29" s="16">
        <v>1364</v>
      </c>
      <c r="D29" s="16">
        <v>625</v>
      </c>
      <c r="E29" s="16">
        <v>739</v>
      </c>
    </row>
    <row r="30" spans="1:5" ht="21.75" customHeight="1" x14ac:dyDescent="0.25">
      <c r="A30" s="16">
        <v>6</v>
      </c>
      <c r="B30" s="16" t="s">
        <v>155</v>
      </c>
      <c r="C30" s="16">
        <v>2667</v>
      </c>
      <c r="D30" s="16">
        <v>1271</v>
      </c>
      <c r="E30" s="16">
        <v>1396</v>
      </c>
    </row>
    <row r="31" spans="1:5" ht="21.75" customHeight="1" x14ac:dyDescent="0.25">
      <c r="A31" s="16">
        <v>7</v>
      </c>
      <c r="B31" s="16" t="s">
        <v>156</v>
      </c>
      <c r="C31" s="16">
        <v>6956</v>
      </c>
      <c r="D31" s="16">
        <v>3289</v>
      </c>
      <c r="E31" s="16">
        <v>3667</v>
      </c>
    </row>
    <row r="32" spans="1:5" ht="21.75" customHeight="1" x14ac:dyDescent="0.25">
      <c r="A32" s="16">
        <v>8</v>
      </c>
      <c r="B32" s="16" t="s">
        <v>157</v>
      </c>
      <c r="C32" s="16">
        <v>7481</v>
      </c>
      <c r="D32" s="16">
        <v>3644</v>
      </c>
      <c r="E32" s="16">
        <v>3837</v>
      </c>
    </row>
    <row r="33" spans="1:5" ht="21.75" customHeight="1" x14ac:dyDescent="0.25">
      <c r="A33" s="16">
        <v>9</v>
      </c>
      <c r="B33" s="16" t="s">
        <v>158</v>
      </c>
      <c r="C33" s="16">
        <v>1770</v>
      </c>
      <c r="D33" s="16">
        <v>831</v>
      </c>
      <c r="E33" s="16">
        <v>939</v>
      </c>
    </row>
    <row r="34" spans="1:5" ht="21.75" customHeight="1" x14ac:dyDescent="0.25">
      <c r="A34" s="16">
        <v>10</v>
      </c>
      <c r="B34" s="16" t="s">
        <v>159</v>
      </c>
      <c r="C34" s="16">
        <v>5919</v>
      </c>
      <c r="D34" s="16">
        <v>2857</v>
      </c>
      <c r="E34" s="16">
        <v>3062</v>
      </c>
    </row>
    <row r="35" spans="1:5" ht="21.75" customHeight="1" x14ac:dyDescent="0.25">
      <c r="A35" s="16">
        <v>11</v>
      </c>
      <c r="B35" s="16" t="s">
        <v>160</v>
      </c>
      <c r="C35" s="16">
        <v>3109</v>
      </c>
      <c r="D35" s="16">
        <v>1521</v>
      </c>
      <c r="E35" s="16">
        <v>1588</v>
      </c>
    </row>
    <row r="36" spans="1:5" ht="21.75" customHeight="1" x14ac:dyDescent="0.25">
      <c r="A36" s="16">
        <v>12</v>
      </c>
      <c r="B36" s="16" t="s">
        <v>161</v>
      </c>
      <c r="C36" s="16">
        <v>1546</v>
      </c>
      <c r="D36" s="16">
        <v>704</v>
      </c>
      <c r="E36" s="16">
        <v>842</v>
      </c>
    </row>
    <row r="37" spans="1:5" ht="21.75" customHeight="1" x14ac:dyDescent="0.25">
      <c r="A37" s="16">
        <v>13</v>
      </c>
      <c r="B37" s="16" t="s">
        <v>162</v>
      </c>
      <c r="C37" s="16">
        <v>15317</v>
      </c>
      <c r="D37" s="16">
        <v>7245</v>
      </c>
      <c r="E37" s="16">
        <v>8072</v>
      </c>
    </row>
    <row r="38" spans="1:5" ht="21.75" customHeight="1" x14ac:dyDescent="0.25">
      <c r="A38" s="16">
        <v>14</v>
      </c>
      <c r="B38" s="16" t="s">
        <v>163</v>
      </c>
      <c r="C38" s="16">
        <v>3922</v>
      </c>
      <c r="D38" s="16">
        <v>1888</v>
      </c>
      <c r="E38" s="16">
        <v>2034</v>
      </c>
    </row>
    <row r="39" spans="1:5" ht="21.75" customHeight="1" x14ac:dyDescent="0.25">
      <c r="A39" s="16">
        <v>15</v>
      </c>
      <c r="B39" s="16" t="s">
        <v>164</v>
      </c>
      <c r="C39" s="16">
        <v>3886</v>
      </c>
      <c r="D39" s="16">
        <v>2069</v>
      </c>
      <c r="E39" s="16">
        <v>1817</v>
      </c>
    </row>
    <row r="40" spans="1:5" ht="21.75" customHeight="1" x14ac:dyDescent="0.25">
      <c r="A40" s="16">
        <v>16</v>
      </c>
      <c r="B40" s="16" t="s">
        <v>165</v>
      </c>
      <c r="C40" s="16">
        <v>2501</v>
      </c>
      <c r="D40" s="16">
        <v>1211</v>
      </c>
      <c r="E40" s="16">
        <v>1290</v>
      </c>
    </row>
    <row r="41" spans="1:5" ht="21.75" customHeight="1" x14ac:dyDescent="0.25">
      <c r="A41" s="16">
        <v>17</v>
      </c>
      <c r="B41" s="16" t="s">
        <v>166</v>
      </c>
      <c r="C41" s="16">
        <v>3588</v>
      </c>
      <c r="D41" s="16">
        <v>1708</v>
      </c>
      <c r="E41" s="16">
        <v>1880</v>
      </c>
    </row>
    <row r="42" spans="1:5" ht="21.75" customHeight="1" x14ac:dyDescent="0.25">
      <c r="A42" s="16">
        <v>18</v>
      </c>
      <c r="B42" s="16" t="s">
        <v>167</v>
      </c>
      <c r="C42" s="16">
        <v>6651</v>
      </c>
      <c r="D42" s="16">
        <v>3017</v>
      </c>
      <c r="E42" s="16">
        <v>3634</v>
      </c>
    </row>
    <row r="43" spans="1:5" ht="21.75" customHeight="1" x14ac:dyDescent="0.25">
      <c r="A43" s="16">
        <v>19</v>
      </c>
      <c r="B43" s="16" t="s">
        <v>168</v>
      </c>
      <c r="C43" s="16">
        <v>3674</v>
      </c>
      <c r="D43" s="16">
        <v>1801</v>
      </c>
      <c r="E43" s="16">
        <v>1873</v>
      </c>
    </row>
    <row r="44" spans="1:5" ht="21.75" customHeight="1" x14ac:dyDescent="0.25">
      <c r="A44" s="16">
        <v>20</v>
      </c>
      <c r="B44" s="16" t="s">
        <v>169</v>
      </c>
      <c r="C44" s="16">
        <v>2705</v>
      </c>
      <c r="D44" s="16">
        <v>1283</v>
      </c>
      <c r="E44" s="16">
        <v>1422</v>
      </c>
    </row>
    <row r="45" spans="1:5" ht="21.75" customHeight="1" x14ac:dyDescent="0.25">
      <c r="A45" s="16">
        <v>21</v>
      </c>
      <c r="B45" s="16" t="s">
        <v>170</v>
      </c>
      <c r="C45" s="16">
        <v>1936</v>
      </c>
      <c r="D45" s="16">
        <v>878</v>
      </c>
      <c r="E45" s="16">
        <v>1058</v>
      </c>
    </row>
    <row r="46" spans="1:5" ht="21.75" customHeight="1" x14ac:dyDescent="0.25">
      <c r="A46" s="16">
        <v>22</v>
      </c>
      <c r="B46" s="16" t="s">
        <v>171</v>
      </c>
      <c r="C46" s="16">
        <v>2062</v>
      </c>
      <c r="D46" s="16">
        <v>954</v>
      </c>
      <c r="E46" s="16">
        <v>1108</v>
      </c>
    </row>
    <row r="47" spans="1:5" ht="21.75" customHeight="1" x14ac:dyDescent="0.25">
      <c r="A47" s="16">
        <v>23</v>
      </c>
      <c r="B47" s="16" t="s">
        <v>172</v>
      </c>
      <c r="C47" s="16">
        <v>5686</v>
      </c>
      <c r="D47" s="16">
        <v>2677</v>
      </c>
      <c r="E47" s="16">
        <v>3009</v>
      </c>
    </row>
    <row r="48" spans="1:5" ht="21.75" customHeight="1" x14ac:dyDescent="0.25">
      <c r="A48" s="16">
        <v>24</v>
      </c>
      <c r="B48" s="16" t="s">
        <v>173</v>
      </c>
      <c r="C48" s="16">
        <v>7077</v>
      </c>
      <c r="D48" s="16">
        <v>3532</v>
      </c>
      <c r="E48" s="16">
        <v>3545</v>
      </c>
    </row>
    <row r="49" spans="1:5" ht="21.75" customHeight="1" x14ac:dyDescent="0.25">
      <c r="A49" s="16">
        <v>25</v>
      </c>
      <c r="B49" s="16" t="s">
        <v>174</v>
      </c>
      <c r="C49" s="16">
        <v>1811</v>
      </c>
      <c r="D49" s="16">
        <v>876</v>
      </c>
      <c r="E49" s="16">
        <v>935</v>
      </c>
    </row>
    <row r="50" spans="1:5" ht="21.75" customHeight="1" x14ac:dyDescent="0.25">
      <c r="A50" s="18">
        <v>26</v>
      </c>
      <c r="B50" s="18" t="s">
        <v>175</v>
      </c>
      <c r="C50" s="18">
        <v>8245</v>
      </c>
      <c r="D50" s="18">
        <v>4000</v>
      </c>
      <c r="E50" s="18">
        <v>4245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 Mawlamyine District, Thanbyuzayat 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30.85546875" customWidth="1"/>
    <col min="3" max="5" width="15.7109375" customWidth="1"/>
  </cols>
  <sheetData>
    <row r="1" spans="1:5" ht="18.75" x14ac:dyDescent="0.25">
      <c r="A1" s="32" t="s">
        <v>454</v>
      </c>
      <c r="B1" s="32"/>
      <c r="C1" s="32"/>
      <c r="D1" s="32"/>
      <c r="E1" s="32"/>
    </row>
    <row r="2" spans="1:5" ht="21" x14ac:dyDescent="0.35">
      <c r="B2" s="12"/>
      <c r="C2" s="12"/>
      <c r="E2" s="8" t="s">
        <v>449</v>
      </c>
    </row>
    <row r="3" spans="1:5" ht="15.75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5" ht="20.25" customHeight="1" x14ac:dyDescent="0.25">
      <c r="A4" s="31"/>
      <c r="B4" s="31"/>
      <c r="C4" s="14" t="s">
        <v>0</v>
      </c>
      <c r="D4" s="14" t="s">
        <v>1</v>
      </c>
      <c r="E4" s="14" t="s">
        <v>2</v>
      </c>
    </row>
    <row r="5" spans="1:5" ht="21.75" customHeight="1" x14ac:dyDescent="0.25">
      <c r="A5" s="2"/>
      <c r="B5" s="6" t="s">
        <v>0</v>
      </c>
      <c r="C5" s="4">
        <f>C7+C13</f>
        <v>190737</v>
      </c>
      <c r="D5" s="4">
        <f t="shared" ref="D5:E5" si="0">D7+D13</f>
        <v>89976</v>
      </c>
      <c r="E5" s="4">
        <f t="shared" si="0"/>
        <v>100761</v>
      </c>
    </row>
    <row r="6" spans="1:5" ht="9" customHeight="1" x14ac:dyDescent="0.25">
      <c r="A6" s="2"/>
      <c r="B6" s="2"/>
      <c r="C6" s="2"/>
      <c r="D6" s="2"/>
      <c r="E6" s="2"/>
    </row>
    <row r="7" spans="1:5" ht="21.75" customHeight="1" x14ac:dyDescent="0.25">
      <c r="A7" s="2"/>
      <c r="B7" s="20" t="s">
        <v>462</v>
      </c>
      <c r="C7" s="4">
        <f>SUM(C8:C11)</f>
        <v>52514</v>
      </c>
      <c r="D7" s="4">
        <f t="shared" ref="D7:E7" si="1">SUM(D8:D11)</f>
        <v>24801</v>
      </c>
      <c r="E7" s="4">
        <f t="shared" si="1"/>
        <v>27713</v>
      </c>
    </row>
    <row r="8" spans="1:5" ht="21.75" customHeight="1" x14ac:dyDescent="0.25">
      <c r="A8" s="2">
        <v>1</v>
      </c>
      <c r="B8" s="2" t="s">
        <v>176</v>
      </c>
      <c r="C8" s="2">
        <v>14537</v>
      </c>
      <c r="D8" s="2">
        <v>6583</v>
      </c>
      <c r="E8" s="2">
        <v>7954</v>
      </c>
    </row>
    <row r="9" spans="1:5" ht="21.75" customHeight="1" x14ac:dyDescent="0.25">
      <c r="A9" s="2">
        <v>2</v>
      </c>
      <c r="B9" s="2" t="s">
        <v>177</v>
      </c>
      <c r="C9" s="2">
        <v>12727</v>
      </c>
      <c r="D9" s="2">
        <v>6005</v>
      </c>
      <c r="E9" s="2">
        <v>6722</v>
      </c>
    </row>
    <row r="10" spans="1:5" ht="21.75" customHeight="1" x14ac:dyDescent="0.25">
      <c r="A10" s="2">
        <v>3</v>
      </c>
      <c r="B10" s="2" t="s">
        <v>178</v>
      </c>
      <c r="C10" s="2">
        <v>6763</v>
      </c>
      <c r="D10" s="2">
        <v>3049</v>
      </c>
      <c r="E10" s="2">
        <v>3714</v>
      </c>
    </row>
    <row r="11" spans="1:5" ht="21.75" customHeight="1" x14ac:dyDescent="0.25">
      <c r="A11" s="2">
        <v>4</v>
      </c>
      <c r="B11" s="2" t="s">
        <v>179</v>
      </c>
      <c r="C11" s="2">
        <v>18487</v>
      </c>
      <c r="D11" s="2">
        <v>9164</v>
      </c>
      <c r="E11" s="2">
        <v>9323</v>
      </c>
    </row>
    <row r="12" spans="1:5" ht="12" customHeight="1" x14ac:dyDescent="0.25">
      <c r="A12" s="2"/>
      <c r="B12" s="2"/>
      <c r="C12" s="2"/>
      <c r="D12" s="2"/>
      <c r="E12" s="2"/>
    </row>
    <row r="13" spans="1:5" ht="21.75" customHeight="1" x14ac:dyDescent="0.25">
      <c r="A13" s="2"/>
      <c r="B13" s="20" t="s">
        <v>463</v>
      </c>
      <c r="C13" s="4">
        <f>SUM(C14:C51)</f>
        <v>138223</v>
      </c>
      <c r="D13" s="4">
        <f t="shared" ref="D13:E13" si="2">SUM(D14:D51)</f>
        <v>65175</v>
      </c>
      <c r="E13" s="4">
        <f t="shared" si="2"/>
        <v>73048</v>
      </c>
    </row>
    <row r="14" spans="1:5" ht="21.75" customHeight="1" x14ac:dyDescent="0.25">
      <c r="A14" s="2">
        <v>1</v>
      </c>
      <c r="B14" s="2" t="s">
        <v>180</v>
      </c>
      <c r="C14" s="2">
        <v>3915</v>
      </c>
      <c r="D14" s="2">
        <v>1774</v>
      </c>
      <c r="E14" s="2">
        <v>2141</v>
      </c>
    </row>
    <row r="15" spans="1:5" ht="21.75" customHeight="1" x14ac:dyDescent="0.25">
      <c r="A15" s="2">
        <v>2</v>
      </c>
      <c r="B15" s="2" t="s">
        <v>181</v>
      </c>
      <c r="C15" s="2">
        <v>4253</v>
      </c>
      <c r="D15" s="2">
        <v>2053</v>
      </c>
      <c r="E15" s="2">
        <v>2200</v>
      </c>
    </row>
    <row r="16" spans="1:5" ht="21.75" customHeight="1" x14ac:dyDescent="0.25">
      <c r="A16" s="2">
        <v>3</v>
      </c>
      <c r="B16" s="2" t="s">
        <v>182</v>
      </c>
      <c r="C16" s="2">
        <v>2471</v>
      </c>
      <c r="D16" s="2">
        <v>1150</v>
      </c>
      <c r="E16" s="2">
        <v>1321</v>
      </c>
    </row>
    <row r="17" spans="1:5" ht="21.75" customHeight="1" x14ac:dyDescent="0.25">
      <c r="A17" s="2">
        <v>4</v>
      </c>
      <c r="B17" s="2" t="s">
        <v>183</v>
      </c>
      <c r="C17" s="2">
        <v>4499</v>
      </c>
      <c r="D17" s="2">
        <v>2255</v>
      </c>
      <c r="E17" s="2">
        <v>2244</v>
      </c>
    </row>
    <row r="18" spans="1:5" ht="21.75" customHeight="1" x14ac:dyDescent="0.25">
      <c r="A18" s="2">
        <v>5</v>
      </c>
      <c r="B18" s="2" t="s">
        <v>184</v>
      </c>
      <c r="C18" s="2">
        <v>2536</v>
      </c>
      <c r="D18" s="2">
        <v>1238</v>
      </c>
      <c r="E18" s="2">
        <v>1298</v>
      </c>
    </row>
    <row r="19" spans="1:5" ht="21.75" customHeight="1" x14ac:dyDescent="0.25">
      <c r="A19" s="2">
        <v>6</v>
      </c>
      <c r="B19" s="2" t="s">
        <v>185</v>
      </c>
      <c r="C19" s="2">
        <v>5223</v>
      </c>
      <c r="D19" s="2">
        <v>2399</v>
      </c>
      <c r="E19" s="2">
        <v>2824</v>
      </c>
    </row>
    <row r="20" spans="1:5" ht="21.75" customHeight="1" x14ac:dyDescent="0.25">
      <c r="A20" s="2">
        <v>7</v>
      </c>
      <c r="B20" s="2" t="s">
        <v>186</v>
      </c>
      <c r="C20" s="2">
        <v>4062</v>
      </c>
      <c r="D20" s="2">
        <v>1934</v>
      </c>
      <c r="E20" s="2">
        <v>2128</v>
      </c>
    </row>
    <row r="21" spans="1:5" ht="21.75" customHeight="1" x14ac:dyDescent="0.25">
      <c r="A21" s="2">
        <v>8</v>
      </c>
      <c r="B21" s="2" t="s">
        <v>187</v>
      </c>
      <c r="C21" s="2">
        <v>3809</v>
      </c>
      <c r="D21" s="2">
        <v>1784</v>
      </c>
      <c r="E21" s="2">
        <v>2025</v>
      </c>
    </row>
    <row r="22" spans="1:5" ht="21.75" customHeight="1" x14ac:dyDescent="0.25">
      <c r="A22" s="2">
        <v>9</v>
      </c>
      <c r="B22" s="2" t="s">
        <v>188</v>
      </c>
      <c r="C22" s="2">
        <v>1612</v>
      </c>
      <c r="D22" s="2">
        <v>798</v>
      </c>
      <c r="E22" s="2">
        <v>814</v>
      </c>
    </row>
    <row r="23" spans="1:5" ht="21.75" customHeight="1" x14ac:dyDescent="0.25">
      <c r="A23" s="2">
        <v>10</v>
      </c>
      <c r="B23" s="2" t="s">
        <v>189</v>
      </c>
      <c r="C23" s="2">
        <v>5047</v>
      </c>
      <c r="D23" s="2">
        <v>2438</v>
      </c>
      <c r="E23" s="2">
        <v>2609</v>
      </c>
    </row>
    <row r="24" spans="1:5" ht="21.75" customHeight="1" x14ac:dyDescent="0.25">
      <c r="A24" s="2">
        <v>11</v>
      </c>
      <c r="B24" s="2" t="s">
        <v>190</v>
      </c>
      <c r="C24" s="2">
        <v>2257</v>
      </c>
      <c r="D24" s="2">
        <v>1052</v>
      </c>
      <c r="E24" s="2">
        <v>1205</v>
      </c>
    </row>
    <row r="25" spans="1:5" ht="21.75" customHeight="1" x14ac:dyDescent="0.25">
      <c r="A25" s="2">
        <v>12</v>
      </c>
      <c r="B25" s="2" t="s">
        <v>191</v>
      </c>
      <c r="C25" s="2">
        <v>6501</v>
      </c>
      <c r="D25" s="2">
        <v>3044</v>
      </c>
      <c r="E25" s="2">
        <v>3457</v>
      </c>
    </row>
    <row r="26" spans="1:5" ht="21.75" customHeight="1" x14ac:dyDescent="0.25">
      <c r="A26" s="2">
        <v>13</v>
      </c>
      <c r="B26" s="2" t="s">
        <v>192</v>
      </c>
      <c r="C26" s="2">
        <v>4230</v>
      </c>
      <c r="D26" s="2">
        <v>1979</v>
      </c>
      <c r="E26" s="2">
        <v>2251</v>
      </c>
    </row>
    <row r="27" spans="1:5" ht="21.75" customHeight="1" x14ac:dyDescent="0.25">
      <c r="A27" s="2">
        <v>14</v>
      </c>
      <c r="B27" s="2" t="s">
        <v>193</v>
      </c>
      <c r="C27" s="2">
        <v>1460</v>
      </c>
      <c r="D27" s="2">
        <v>741</v>
      </c>
      <c r="E27" s="2">
        <v>719</v>
      </c>
    </row>
    <row r="28" spans="1:5" ht="21.75" customHeight="1" x14ac:dyDescent="0.25">
      <c r="A28" s="2">
        <v>15</v>
      </c>
      <c r="B28" s="2" t="s">
        <v>194</v>
      </c>
      <c r="C28" s="2">
        <v>1908</v>
      </c>
      <c r="D28" s="2">
        <v>886</v>
      </c>
      <c r="E28" s="2">
        <v>1022</v>
      </c>
    </row>
    <row r="29" spans="1:5" ht="21.75" customHeight="1" x14ac:dyDescent="0.25">
      <c r="A29" s="2">
        <v>16</v>
      </c>
      <c r="B29" s="2" t="s">
        <v>164</v>
      </c>
      <c r="C29" s="2">
        <v>662</v>
      </c>
      <c r="D29" s="2">
        <v>334</v>
      </c>
      <c r="E29" s="2">
        <v>328</v>
      </c>
    </row>
    <row r="30" spans="1:5" ht="21.75" customHeight="1" x14ac:dyDescent="0.25">
      <c r="A30" s="2">
        <v>17</v>
      </c>
      <c r="B30" s="2" t="s">
        <v>195</v>
      </c>
      <c r="C30" s="2">
        <v>3649</v>
      </c>
      <c r="D30" s="2">
        <v>1727</v>
      </c>
      <c r="E30" s="2">
        <v>1922</v>
      </c>
    </row>
    <row r="31" spans="1:5" ht="21.75" customHeight="1" x14ac:dyDescent="0.25">
      <c r="A31" s="2">
        <v>18</v>
      </c>
      <c r="B31" s="2" t="s">
        <v>196</v>
      </c>
      <c r="C31" s="2">
        <v>4652</v>
      </c>
      <c r="D31" s="2">
        <v>2156</v>
      </c>
      <c r="E31" s="2">
        <v>2496</v>
      </c>
    </row>
    <row r="32" spans="1:5" ht="21.75" customHeight="1" x14ac:dyDescent="0.25">
      <c r="A32" s="2">
        <v>19</v>
      </c>
      <c r="B32" s="2" t="s">
        <v>197</v>
      </c>
      <c r="C32" s="2">
        <v>3906</v>
      </c>
      <c r="D32" s="2">
        <v>1830</v>
      </c>
      <c r="E32" s="2">
        <v>2076</v>
      </c>
    </row>
    <row r="33" spans="1:5" ht="21.75" customHeight="1" x14ac:dyDescent="0.25">
      <c r="A33" s="2">
        <v>20</v>
      </c>
      <c r="B33" s="2" t="s">
        <v>198</v>
      </c>
      <c r="C33" s="2">
        <v>5778</v>
      </c>
      <c r="D33" s="2">
        <v>2614</v>
      </c>
      <c r="E33" s="2">
        <v>3164</v>
      </c>
    </row>
    <row r="34" spans="1:5" ht="21.75" customHeight="1" x14ac:dyDescent="0.25">
      <c r="A34" s="2">
        <v>21</v>
      </c>
      <c r="B34" s="2" t="s">
        <v>199</v>
      </c>
      <c r="C34" s="2">
        <v>555</v>
      </c>
      <c r="D34" s="2">
        <v>259</v>
      </c>
      <c r="E34" s="2">
        <v>296</v>
      </c>
    </row>
    <row r="35" spans="1:5" ht="21.75" customHeight="1" x14ac:dyDescent="0.25">
      <c r="A35" s="2">
        <v>22</v>
      </c>
      <c r="B35" s="2" t="s">
        <v>200</v>
      </c>
      <c r="C35" s="2">
        <v>2831</v>
      </c>
      <c r="D35" s="2">
        <v>1356</v>
      </c>
      <c r="E35" s="2">
        <v>1475</v>
      </c>
    </row>
    <row r="36" spans="1:5" ht="21.75" customHeight="1" x14ac:dyDescent="0.25">
      <c r="A36" s="2">
        <v>23</v>
      </c>
      <c r="B36" s="2" t="s">
        <v>201</v>
      </c>
      <c r="C36" s="2">
        <v>9065</v>
      </c>
      <c r="D36" s="2">
        <v>4344</v>
      </c>
      <c r="E36" s="2">
        <v>4721</v>
      </c>
    </row>
    <row r="37" spans="1:5" ht="21.75" customHeight="1" x14ac:dyDescent="0.25">
      <c r="A37" s="2">
        <v>24</v>
      </c>
      <c r="B37" s="2" t="s">
        <v>202</v>
      </c>
      <c r="C37" s="2">
        <v>6345</v>
      </c>
      <c r="D37" s="2">
        <v>2849</v>
      </c>
      <c r="E37" s="2">
        <v>3496</v>
      </c>
    </row>
    <row r="38" spans="1:5" ht="21.75" customHeight="1" x14ac:dyDescent="0.25">
      <c r="A38" s="2">
        <v>25</v>
      </c>
      <c r="B38" s="2" t="s">
        <v>203</v>
      </c>
      <c r="C38" s="2">
        <v>2698</v>
      </c>
      <c r="D38" s="2">
        <v>1240</v>
      </c>
      <c r="E38" s="2">
        <v>1458</v>
      </c>
    </row>
    <row r="39" spans="1:5" ht="21.75" customHeight="1" x14ac:dyDescent="0.25">
      <c r="A39" s="2">
        <v>26</v>
      </c>
      <c r="B39" s="2" t="s">
        <v>204</v>
      </c>
      <c r="C39" s="2">
        <v>6451</v>
      </c>
      <c r="D39" s="2">
        <v>2990</v>
      </c>
      <c r="E39" s="2">
        <v>3461</v>
      </c>
    </row>
    <row r="40" spans="1:5" ht="21.75" customHeight="1" x14ac:dyDescent="0.25">
      <c r="A40" s="2">
        <v>27</v>
      </c>
      <c r="B40" s="2" t="s">
        <v>205</v>
      </c>
      <c r="C40" s="2">
        <v>1770</v>
      </c>
      <c r="D40" s="2">
        <v>807</v>
      </c>
      <c r="E40" s="2">
        <v>963</v>
      </c>
    </row>
    <row r="41" spans="1:5" ht="21.75" customHeight="1" x14ac:dyDescent="0.25">
      <c r="A41" s="2">
        <v>28</v>
      </c>
      <c r="B41" s="2" t="s">
        <v>206</v>
      </c>
      <c r="C41" s="2">
        <v>5969</v>
      </c>
      <c r="D41" s="2">
        <v>2822</v>
      </c>
      <c r="E41" s="2">
        <v>3147</v>
      </c>
    </row>
    <row r="42" spans="1:5" ht="21.75" customHeight="1" x14ac:dyDescent="0.25">
      <c r="A42" s="2">
        <v>29</v>
      </c>
      <c r="B42" s="2" t="s">
        <v>207</v>
      </c>
      <c r="C42" s="2">
        <v>3387</v>
      </c>
      <c r="D42" s="2">
        <v>1528</v>
      </c>
      <c r="E42" s="2">
        <v>1859</v>
      </c>
    </row>
    <row r="43" spans="1:5" ht="21.75" customHeight="1" x14ac:dyDescent="0.25">
      <c r="A43" s="2">
        <v>30</v>
      </c>
      <c r="B43" s="2" t="s">
        <v>208</v>
      </c>
      <c r="C43" s="2">
        <v>905</v>
      </c>
      <c r="D43" s="2">
        <v>424</v>
      </c>
      <c r="E43" s="2">
        <v>481</v>
      </c>
    </row>
    <row r="44" spans="1:5" ht="21.75" customHeight="1" x14ac:dyDescent="0.25">
      <c r="A44" s="2">
        <v>31</v>
      </c>
      <c r="B44" s="2" t="s">
        <v>209</v>
      </c>
      <c r="C44" s="2">
        <v>4262</v>
      </c>
      <c r="D44" s="2">
        <v>1937</v>
      </c>
      <c r="E44" s="2">
        <v>2325</v>
      </c>
    </row>
    <row r="45" spans="1:5" ht="21.75" customHeight="1" x14ac:dyDescent="0.25">
      <c r="A45" s="2">
        <v>32</v>
      </c>
      <c r="B45" s="2" t="s">
        <v>210</v>
      </c>
      <c r="C45" s="2">
        <v>1042</v>
      </c>
      <c r="D45" s="2">
        <v>518</v>
      </c>
      <c r="E45" s="2">
        <v>524</v>
      </c>
    </row>
    <row r="46" spans="1:5" ht="21.75" customHeight="1" x14ac:dyDescent="0.25">
      <c r="A46" s="2">
        <v>33</v>
      </c>
      <c r="B46" s="2" t="s">
        <v>211</v>
      </c>
      <c r="C46" s="2">
        <v>1652</v>
      </c>
      <c r="D46" s="2">
        <v>776</v>
      </c>
      <c r="E46" s="2">
        <v>876</v>
      </c>
    </row>
    <row r="47" spans="1:5" ht="21.75" customHeight="1" x14ac:dyDescent="0.25">
      <c r="A47" s="2">
        <v>34</v>
      </c>
      <c r="B47" s="2" t="s">
        <v>212</v>
      </c>
      <c r="C47" s="2">
        <v>5943</v>
      </c>
      <c r="D47" s="2">
        <v>2885</v>
      </c>
      <c r="E47" s="2">
        <v>3058</v>
      </c>
    </row>
    <row r="48" spans="1:5" ht="21.75" customHeight="1" x14ac:dyDescent="0.25">
      <c r="A48" s="2">
        <v>35</v>
      </c>
      <c r="B48" s="2" t="s">
        <v>213</v>
      </c>
      <c r="C48" s="2">
        <v>2815</v>
      </c>
      <c r="D48" s="2">
        <v>1424</v>
      </c>
      <c r="E48" s="2">
        <v>1391</v>
      </c>
    </row>
    <row r="49" spans="1:5" ht="21.75" customHeight="1" x14ac:dyDescent="0.25">
      <c r="A49" s="2">
        <v>36</v>
      </c>
      <c r="B49" s="2" t="s">
        <v>214</v>
      </c>
      <c r="C49" s="2">
        <v>677</v>
      </c>
      <c r="D49" s="2">
        <v>331</v>
      </c>
      <c r="E49" s="2">
        <v>346</v>
      </c>
    </row>
    <row r="50" spans="1:5" ht="21.75" customHeight="1" x14ac:dyDescent="0.25">
      <c r="A50" s="2">
        <v>37</v>
      </c>
      <c r="B50" s="2" t="s">
        <v>215</v>
      </c>
      <c r="C50" s="2">
        <v>2704</v>
      </c>
      <c r="D50" s="2">
        <v>1313</v>
      </c>
      <c r="E50" s="2">
        <v>1391</v>
      </c>
    </row>
    <row r="51" spans="1:5" ht="21.75" customHeight="1" x14ac:dyDescent="0.25">
      <c r="A51" s="3">
        <v>38</v>
      </c>
      <c r="B51" s="3" t="s">
        <v>123</v>
      </c>
      <c r="C51" s="3">
        <v>6722</v>
      </c>
      <c r="D51" s="3">
        <v>3186</v>
      </c>
      <c r="E51" s="3">
        <v>3536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 Mawlamyine District,    Mudon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sqref="A1:E1"/>
    </sheetView>
  </sheetViews>
  <sheetFormatPr defaultRowHeight="15" x14ac:dyDescent="0.25"/>
  <cols>
    <col min="1" max="1" width="7.5703125" customWidth="1"/>
    <col min="2" max="2" width="27.5703125" customWidth="1"/>
    <col min="3" max="5" width="15.7109375" customWidth="1"/>
  </cols>
  <sheetData>
    <row r="1" spans="1:7" ht="18.75" x14ac:dyDescent="0.25">
      <c r="A1" s="32" t="s">
        <v>455</v>
      </c>
      <c r="B1" s="32"/>
      <c r="C1" s="32"/>
      <c r="D1" s="32"/>
      <c r="E1" s="32"/>
    </row>
    <row r="2" spans="1:7" ht="21" x14ac:dyDescent="0.35">
      <c r="B2" s="12"/>
      <c r="C2" s="12"/>
      <c r="E2" s="8" t="s">
        <v>449</v>
      </c>
    </row>
    <row r="3" spans="1:7" ht="24.75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7" ht="21.75" customHeight="1" x14ac:dyDescent="0.25">
      <c r="A4" s="31"/>
      <c r="B4" s="31"/>
      <c r="C4" s="14" t="s">
        <v>0</v>
      </c>
      <c r="D4" s="14" t="s">
        <v>1</v>
      </c>
      <c r="E4" s="14" t="s">
        <v>2</v>
      </c>
    </row>
    <row r="5" spans="1:7" ht="21.75" customHeight="1" x14ac:dyDescent="0.25">
      <c r="A5" s="1"/>
      <c r="B5" s="6" t="s">
        <v>0</v>
      </c>
      <c r="C5" s="9">
        <f>C7+C18</f>
        <v>152485</v>
      </c>
      <c r="D5" s="9">
        <f t="shared" ref="D5:E5" si="0">D7+D18</f>
        <v>76089</v>
      </c>
      <c r="E5" s="9">
        <f t="shared" si="0"/>
        <v>76396</v>
      </c>
    </row>
    <row r="6" spans="1:7" ht="12" customHeight="1" x14ac:dyDescent="0.25">
      <c r="A6" s="1"/>
      <c r="B6" s="1"/>
      <c r="C6" s="1"/>
      <c r="D6" s="1"/>
      <c r="E6" s="1"/>
    </row>
    <row r="7" spans="1:7" ht="21.75" customHeight="1" x14ac:dyDescent="0.25">
      <c r="A7" s="1"/>
      <c r="B7" s="21" t="s">
        <v>462</v>
      </c>
      <c r="C7" s="9">
        <f>SUM(C8:C16)</f>
        <v>34430</v>
      </c>
      <c r="D7" s="9">
        <f t="shared" ref="D7:E7" si="1">SUM(D8:D16)</f>
        <v>16619</v>
      </c>
      <c r="E7" s="9">
        <f t="shared" si="1"/>
        <v>17811</v>
      </c>
    </row>
    <row r="8" spans="1:7" ht="21.75" customHeight="1" x14ac:dyDescent="0.25">
      <c r="A8" s="1">
        <v>1</v>
      </c>
      <c r="B8" s="1" t="s">
        <v>216</v>
      </c>
      <c r="C8" s="1">
        <v>2127</v>
      </c>
      <c r="D8" s="1">
        <v>997</v>
      </c>
      <c r="E8" s="1">
        <v>1130</v>
      </c>
      <c r="G8" s="23"/>
    </row>
    <row r="9" spans="1:7" ht="21.75" customHeight="1" x14ac:dyDescent="0.25">
      <c r="A9" s="1">
        <v>2</v>
      </c>
      <c r="B9" s="1" t="s">
        <v>217</v>
      </c>
      <c r="C9" s="1">
        <v>1885</v>
      </c>
      <c r="D9" s="1">
        <v>878</v>
      </c>
      <c r="E9" s="1">
        <v>1007</v>
      </c>
    </row>
    <row r="10" spans="1:7" ht="21.75" customHeight="1" x14ac:dyDescent="0.25">
      <c r="A10" s="1">
        <v>3</v>
      </c>
      <c r="B10" s="1" t="s">
        <v>218</v>
      </c>
      <c r="C10" s="1">
        <v>7510</v>
      </c>
      <c r="D10" s="1">
        <v>3703</v>
      </c>
      <c r="E10" s="1">
        <v>3807</v>
      </c>
    </row>
    <row r="11" spans="1:7" ht="21.75" customHeight="1" x14ac:dyDescent="0.25">
      <c r="A11" s="1">
        <v>4</v>
      </c>
      <c r="B11" s="1" t="s">
        <v>219</v>
      </c>
      <c r="C11" s="1">
        <v>3244</v>
      </c>
      <c r="D11" s="1">
        <v>1606</v>
      </c>
      <c r="E11" s="1">
        <v>1638</v>
      </c>
    </row>
    <row r="12" spans="1:7" ht="21.75" customHeight="1" x14ac:dyDescent="0.25">
      <c r="A12" s="1">
        <v>5</v>
      </c>
      <c r="B12" s="1" t="s">
        <v>45</v>
      </c>
      <c r="C12" s="1">
        <v>4488</v>
      </c>
      <c r="D12" s="1">
        <v>2154</v>
      </c>
      <c r="E12" s="1">
        <v>2334</v>
      </c>
    </row>
    <row r="13" spans="1:7" ht="21.75" customHeight="1" x14ac:dyDescent="0.25">
      <c r="A13" s="1">
        <v>6</v>
      </c>
      <c r="B13" s="1" t="s">
        <v>220</v>
      </c>
      <c r="C13" s="1">
        <v>3895</v>
      </c>
      <c r="D13" s="1">
        <v>1846</v>
      </c>
      <c r="E13" s="1">
        <v>2049</v>
      </c>
    </row>
    <row r="14" spans="1:7" ht="21.75" customHeight="1" x14ac:dyDescent="0.25">
      <c r="A14" s="1">
        <v>7</v>
      </c>
      <c r="B14" s="1" t="s">
        <v>147</v>
      </c>
      <c r="C14" s="1">
        <v>2057</v>
      </c>
      <c r="D14" s="1">
        <v>968</v>
      </c>
      <c r="E14" s="1">
        <v>1089</v>
      </c>
    </row>
    <row r="15" spans="1:7" ht="21.75" customHeight="1" x14ac:dyDescent="0.25">
      <c r="A15" s="1">
        <v>8</v>
      </c>
      <c r="B15" s="1" t="s">
        <v>221</v>
      </c>
      <c r="C15" s="1">
        <v>4555</v>
      </c>
      <c r="D15" s="1">
        <v>2244</v>
      </c>
      <c r="E15" s="1">
        <v>2311</v>
      </c>
    </row>
    <row r="16" spans="1:7" ht="21.75" customHeight="1" x14ac:dyDescent="0.25">
      <c r="A16" s="1">
        <v>9</v>
      </c>
      <c r="B16" s="1" t="s">
        <v>138</v>
      </c>
      <c r="C16" s="1">
        <v>4669</v>
      </c>
      <c r="D16" s="1">
        <v>2223</v>
      </c>
      <c r="E16" s="1">
        <v>2446</v>
      </c>
    </row>
    <row r="17" spans="1:5" ht="12" customHeight="1" x14ac:dyDescent="0.25">
      <c r="A17" s="1"/>
      <c r="B17" s="1"/>
      <c r="C17" s="1"/>
      <c r="D17" s="1"/>
      <c r="E17" s="1"/>
    </row>
    <row r="18" spans="1:5" ht="21.75" customHeight="1" x14ac:dyDescent="0.25">
      <c r="A18" s="1"/>
      <c r="B18" s="21" t="s">
        <v>463</v>
      </c>
      <c r="C18" s="9">
        <f>SUM(C19:C31)</f>
        <v>118055</v>
      </c>
      <c r="D18" s="9">
        <f t="shared" ref="D18:E18" si="2">SUM(D19:D31)</f>
        <v>59470</v>
      </c>
      <c r="E18" s="9">
        <f t="shared" si="2"/>
        <v>58585</v>
      </c>
    </row>
    <row r="19" spans="1:5" ht="21.75" customHeight="1" x14ac:dyDescent="0.25">
      <c r="A19" s="1">
        <v>1</v>
      </c>
      <c r="B19" s="1" t="s">
        <v>222</v>
      </c>
      <c r="C19" s="1">
        <v>21462</v>
      </c>
      <c r="D19" s="1">
        <v>10851</v>
      </c>
      <c r="E19" s="1">
        <v>10611</v>
      </c>
    </row>
    <row r="20" spans="1:5" ht="21.75" customHeight="1" x14ac:dyDescent="0.25">
      <c r="A20" s="1">
        <v>2</v>
      </c>
      <c r="B20" s="1" t="s">
        <v>223</v>
      </c>
      <c r="C20" s="1">
        <v>8662</v>
      </c>
      <c r="D20" s="1">
        <v>4555</v>
      </c>
      <c r="E20" s="1">
        <v>4107</v>
      </c>
    </row>
    <row r="21" spans="1:5" ht="21.75" customHeight="1" x14ac:dyDescent="0.25">
      <c r="A21" s="1">
        <v>3</v>
      </c>
      <c r="B21" s="1" t="s">
        <v>224</v>
      </c>
      <c r="C21" s="1">
        <v>7859</v>
      </c>
      <c r="D21" s="1">
        <v>3848</v>
      </c>
      <c r="E21" s="1">
        <v>4011</v>
      </c>
    </row>
    <row r="22" spans="1:5" ht="21.75" customHeight="1" x14ac:dyDescent="0.25">
      <c r="A22" s="1">
        <v>4</v>
      </c>
      <c r="B22" s="1" t="s">
        <v>225</v>
      </c>
      <c r="C22" s="1">
        <v>6621</v>
      </c>
      <c r="D22" s="1">
        <v>3429</v>
      </c>
      <c r="E22" s="1">
        <v>3192</v>
      </c>
    </row>
    <row r="23" spans="1:5" ht="21.75" customHeight="1" x14ac:dyDescent="0.25">
      <c r="A23" s="1">
        <v>5</v>
      </c>
      <c r="B23" s="1" t="s">
        <v>174</v>
      </c>
      <c r="C23" s="1">
        <v>16996</v>
      </c>
      <c r="D23" s="1">
        <v>8692</v>
      </c>
      <c r="E23" s="1">
        <v>8304</v>
      </c>
    </row>
    <row r="24" spans="1:5" ht="21.75" customHeight="1" x14ac:dyDescent="0.25">
      <c r="A24" s="1">
        <v>6</v>
      </c>
      <c r="B24" s="1" t="s">
        <v>226</v>
      </c>
      <c r="C24" s="1">
        <v>8097</v>
      </c>
      <c r="D24" s="1">
        <v>3924</v>
      </c>
      <c r="E24" s="1">
        <v>4173</v>
      </c>
    </row>
    <row r="25" spans="1:5" ht="21.75" customHeight="1" x14ac:dyDescent="0.25">
      <c r="A25" s="1">
        <v>7</v>
      </c>
      <c r="B25" s="1" t="s">
        <v>106</v>
      </c>
      <c r="C25" s="1">
        <v>4538</v>
      </c>
      <c r="D25" s="1">
        <v>2283</v>
      </c>
      <c r="E25" s="1">
        <v>2255</v>
      </c>
    </row>
    <row r="26" spans="1:5" ht="21.75" customHeight="1" x14ac:dyDescent="0.25">
      <c r="A26" s="1">
        <v>8</v>
      </c>
      <c r="B26" s="1" t="s">
        <v>227</v>
      </c>
      <c r="C26" s="1">
        <v>5170</v>
      </c>
      <c r="D26" s="1">
        <v>2678</v>
      </c>
      <c r="E26" s="1">
        <v>2492</v>
      </c>
    </row>
    <row r="27" spans="1:5" ht="21.75" customHeight="1" x14ac:dyDescent="0.25">
      <c r="A27" s="1">
        <v>9</v>
      </c>
      <c r="B27" s="1" t="s">
        <v>228</v>
      </c>
      <c r="C27" s="1">
        <v>7427</v>
      </c>
      <c r="D27" s="1">
        <v>3734</v>
      </c>
      <c r="E27" s="1">
        <v>3693</v>
      </c>
    </row>
    <row r="28" spans="1:5" ht="21.75" customHeight="1" x14ac:dyDescent="0.25">
      <c r="A28" s="1">
        <v>10</v>
      </c>
      <c r="B28" s="1" t="s">
        <v>229</v>
      </c>
      <c r="C28" s="1">
        <v>9890</v>
      </c>
      <c r="D28" s="1">
        <v>4820</v>
      </c>
      <c r="E28" s="1">
        <v>5070</v>
      </c>
    </row>
    <row r="29" spans="1:5" ht="21.75" customHeight="1" x14ac:dyDescent="0.25">
      <c r="A29" s="1">
        <v>11</v>
      </c>
      <c r="B29" s="1" t="s">
        <v>230</v>
      </c>
      <c r="C29" s="1">
        <v>3237</v>
      </c>
      <c r="D29" s="1">
        <v>1573</v>
      </c>
      <c r="E29" s="1">
        <v>1664</v>
      </c>
    </row>
    <row r="30" spans="1:5" ht="21.75" customHeight="1" x14ac:dyDescent="0.25">
      <c r="A30" s="1">
        <v>12</v>
      </c>
      <c r="B30" s="1" t="s">
        <v>231</v>
      </c>
      <c r="C30" s="1">
        <v>9035</v>
      </c>
      <c r="D30" s="1">
        <v>4609</v>
      </c>
      <c r="E30" s="1">
        <v>4426</v>
      </c>
    </row>
    <row r="31" spans="1:5" ht="21.75" customHeight="1" x14ac:dyDescent="0.25">
      <c r="A31" s="10">
        <v>13</v>
      </c>
      <c r="B31" s="10" t="s">
        <v>232</v>
      </c>
      <c r="C31" s="10">
        <v>9061</v>
      </c>
      <c r="D31" s="10">
        <v>4474</v>
      </c>
      <c r="E31" s="10">
        <v>4587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 Mawlamyine District, Ye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28.42578125" customWidth="1"/>
    <col min="3" max="5" width="15.7109375" customWidth="1"/>
  </cols>
  <sheetData>
    <row r="1" spans="1:5" ht="30.75" customHeight="1" x14ac:dyDescent="0.25">
      <c r="A1" s="32" t="s">
        <v>456</v>
      </c>
      <c r="B1" s="32"/>
      <c r="C1" s="32"/>
      <c r="D1" s="32"/>
      <c r="E1" s="32"/>
    </row>
    <row r="2" spans="1:5" ht="21" x14ac:dyDescent="0.35">
      <c r="B2" s="12"/>
      <c r="C2" s="12"/>
      <c r="E2" s="8" t="s">
        <v>449</v>
      </c>
    </row>
    <row r="3" spans="1:5" ht="22.5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5" ht="25.5" customHeight="1" x14ac:dyDescent="0.25">
      <c r="A4" s="31"/>
      <c r="B4" s="31"/>
      <c r="C4" s="14" t="s">
        <v>0</v>
      </c>
      <c r="D4" s="14" t="s">
        <v>1</v>
      </c>
      <c r="E4" s="14" t="s">
        <v>2</v>
      </c>
    </row>
    <row r="5" spans="1:5" ht="21.75" customHeight="1" x14ac:dyDescent="0.25">
      <c r="A5" s="5"/>
      <c r="B5" s="6" t="s">
        <v>0</v>
      </c>
      <c r="C5" s="4">
        <v>88476</v>
      </c>
      <c r="D5" s="4">
        <v>41634</v>
      </c>
      <c r="E5" s="4">
        <v>46842</v>
      </c>
    </row>
    <row r="6" spans="1:5" ht="13.5" customHeight="1" x14ac:dyDescent="0.25">
      <c r="A6" s="5"/>
      <c r="B6" s="4"/>
      <c r="C6" s="4"/>
      <c r="D6" s="4"/>
      <c r="E6" s="4"/>
    </row>
    <row r="7" spans="1:5" ht="21.75" customHeight="1" x14ac:dyDescent="0.25">
      <c r="A7" s="2"/>
      <c r="B7" s="20" t="s">
        <v>462</v>
      </c>
      <c r="C7" s="4">
        <f>SUM(C8:C10)</f>
        <v>13614</v>
      </c>
      <c r="D7" s="4">
        <f t="shared" ref="D7:E7" si="0">SUM(D8:D10)</f>
        <v>6360</v>
      </c>
      <c r="E7" s="4">
        <f t="shared" si="0"/>
        <v>7254</v>
      </c>
    </row>
    <row r="8" spans="1:5" ht="21.75" customHeight="1" x14ac:dyDescent="0.25">
      <c r="A8" s="2">
        <v>1</v>
      </c>
      <c r="B8" s="2" t="s">
        <v>233</v>
      </c>
      <c r="C8" s="2">
        <v>5214</v>
      </c>
      <c r="D8" s="2">
        <v>2346</v>
      </c>
      <c r="E8" s="2">
        <v>2868</v>
      </c>
    </row>
    <row r="9" spans="1:5" ht="21.75" customHeight="1" x14ac:dyDescent="0.25">
      <c r="A9" s="2">
        <v>2</v>
      </c>
      <c r="B9" s="2" t="s">
        <v>234</v>
      </c>
      <c r="C9" s="2">
        <v>3938</v>
      </c>
      <c r="D9" s="2">
        <v>1981</v>
      </c>
      <c r="E9" s="2">
        <v>1957</v>
      </c>
    </row>
    <row r="10" spans="1:5" ht="21.75" customHeight="1" x14ac:dyDescent="0.25">
      <c r="A10" s="2">
        <v>3</v>
      </c>
      <c r="B10" s="2" t="s">
        <v>235</v>
      </c>
      <c r="C10" s="2">
        <v>4462</v>
      </c>
      <c r="D10" s="2">
        <v>2033</v>
      </c>
      <c r="E10" s="2">
        <v>2429</v>
      </c>
    </row>
    <row r="11" spans="1:5" ht="12" customHeight="1" x14ac:dyDescent="0.25">
      <c r="A11" s="2"/>
      <c r="B11" s="2"/>
      <c r="C11" s="2"/>
      <c r="D11" s="2"/>
      <c r="E11" s="2"/>
    </row>
    <row r="12" spans="1:5" ht="21.75" customHeight="1" x14ac:dyDescent="0.25">
      <c r="A12" s="2"/>
      <c r="B12" s="20" t="s">
        <v>463</v>
      </c>
      <c r="C12" s="4">
        <f>SUM(C13:C23)</f>
        <v>74862</v>
      </c>
      <c r="D12" s="4">
        <f t="shared" ref="D12:E12" si="1">SUM(D13:D23)</f>
        <v>35274</v>
      </c>
      <c r="E12" s="4">
        <f t="shared" si="1"/>
        <v>39588</v>
      </c>
    </row>
    <row r="13" spans="1:5" ht="21.75" customHeight="1" x14ac:dyDescent="0.25">
      <c r="A13" s="2">
        <v>1</v>
      </c>
      <c r="B13" s="2" t="s">
        <v>236</v>
      </c>
      <c r="C13" s="2">
        <v>17552</v>
      </c>
      <c r="D13" s="2">
        <v>8403</v>
      </c>
      <c r="E13" s="2">
        <v>9149</v>
      </c>
    </row>
    <row r="14" spans="1:5" ht="21.75" customHeight="1" x14ac:dyDescent="0.25">
      <c r="A14" s="2">
        <v>2</v>
      </c>
      <c r="B14" s="2" t="s">
        <v>237</v>
      </c>
      <c r="C14" s="2">
        <v>4154</v>
      </c>
      <c r="D14" s="2">
        <v>2023</v>
      </c>
      <c r="E14" s="2">
        <v>2131</v>
      </c>
    </row>
    <row r="15" spans="1:5" ht="21.75" customHeight="1" x14ac:dyDescent="0.25">
      <c r="A15" s="2">
        <v>3</v>
      </c>
      <c r="B15" s="2" t="s">
        <v>238</v>
      </c>
      <c r="C15" s="2">
        <v>8480</v>
      </c>
      <c r="D15" s="2">
        <v>3565</v>
      </c>
      <c r="E15" s="2">
        <v>4915</v>
      </c>
    </row>
    <row r="16" spans="1:5" ht="21.75" customHeight="1" x14ac:dyDescent="0.25">
      <c r="A16" s="2">
        <v>4</v>
      </c>
      <c r="B16" s="2" t="s">
        <v>239</v>
      </c>
      <c r="C16" s="2">
        <v>5255</v>
      </c>
      <c r="D16" s="2">
        <v>2469</v>
      </c>
      <c r="E16" s="2">
        <v>2786</v>
      </c>
    </row>
    <row r="17" spans="1:5" ht="21.75" customHeight="1" x14ac:dyDescent="0.25">
      <c r="A17" s="2">
        <v>5</v>
      </c>
      <c r="B17" s="2" t="s">
        <v>240</v>
      </c>
      <c r="C17" s="2">
        <v>3674</v>
      </c>
      <c r="D17" s="2">
        <v>1803</v>
      </c>
      <c r="E17" s="2">
        <v>1871</v>
      </c>
    </row>
    <row r="18" spans="1:5" ht="21.75" customHeight="1" x14ac:dyDescent="0.25">
      <c r="A18" s="2">
        <v>6</v>
      </c>
      <c r="B18" s="2" t="s">
        <v>241</v>
      </c>
      <c r="C18" s="2">
        <v>9204</v>
      </c>
      <c r="D18" s="2">
        <v>4425</v>
      </c>
      <c r="E18" s="2">
        <v>4779</v>
      </c>
    </row>
    <row r="19" spans="1:5" ht="21.75" customHeight="1" x14ac:dyDescent="0.25">
      <c r="A19" s="2">
        <v>7</v>
      </c>
      <c r="B19" s="2" t="s">
        <v>242</v>
      </c>
      <c r="C19" s="2">
        <v>10195</v>
      </c>
      <c r="D19" s="2">
        <v>4694</v>
      </c>
      <c r="E19" s="2">
        <v>5501</v>
      </c>
    </row>
    <row r="20" spans="1:5" ht="21.75" customHeight="1" x14ac:dyDescent="0.25">
      <c r="A20" s="2">
        <v>8</v>
      </c>
      <c r="B20" s="2" t="s">
        <v>243</v>
      </c>
      <c r="C20" s="2">
        <v>3630</v>
      </c>
      <c r="D20" s="2">
        <v>1763</v>
      </c>
      <c r="E20" s="2">
        <v>1867</v>
      </c>
    </row>
    <row r="21" spans="1:5" ht="21.75" customHeight="1" x14ac:dyDescent="0.25">
      <c r="A21" s="2">
        <v>9</v>
      </c>
      <c r="B21" s="2" t="s">
        <v>244</v>
      </c>
      <c r="C21" s="2">
        <v>1754</v>
      </c>
      <c r="D21" s="2">
        <v>860</v>
      </c>
      <c r="E21" s="2">
        <v>894</v>
      </c>
    </row>
    <row r="22" spans="1:5" ht="21.75" customHeight="1" x14ac:dyDescent="0.25">
      <c r="A22" s="2">
        <v>10</v>
      </c>
      <c r="B22" s="2" t="s">
        <v>245</v>
      </c>
      <c r="C22" s="2">
        <v>3665</v>
      </c>
      <c r="D22" s="2">
        <v>1791</v>
      </c>
      <c r="E22" s="2">
        <v>1874</v>
      </c>
    </row>
    <row r="23" spans="1:5" ht="21.75" customHeight="1" x14ac:dyDescent="0.25">
      <c r="A23" s="3">
        <v>11</v>
      </c>
      <c r="B23" s="3" t="s">
        <v>246</v>
      </c>
      <c r="C23" s="3">
        <v>7299</v>
      </c>
      <c r="D23" s="3">
        <v>3478</v>
      </c>
      <c r="E23" s="3">
        <v>3821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 Mawlamyine District,   Lamine(Sub-Township) 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26.140625" customWidth="1"/>
    <col min="3" max="5" width="15.7109375" customWidth="1"/>
  </cols>
  <sheetData>
    <row r="1" spans="1:5" ht="25.5" customHeight="1" x14ac:dyDescent="0.25">
      <c r="A1" s="32" t="s">
        <v>457</v>
      </c>
      <c r="B1" s="32"/>
      <c r="C1" s="32"/>
      <c r="D1" s="32"/>
      <c r="E1" s="32"/>
    </row>
    <row r="2" spans="1:5" ht="21" x14ac:dyDescent="0.35">
      <c r="B2" s="12"/>
      <c r="C2" s="12"/>
      <c r="E2" s="8" t="s">
        <v>449</v>
      </c>
    </row>
    <row r="3" spans="1:5" ht="22.5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5" ht="24" customHeight="1" x14ac:dyDescent="0.25">
      <c r="A4" s="31"/>
      <c r="B4" s="31"/>
      <c r="C4" s="13" t="s">
        <v>0</v>
      </c>
      <c r="D4" s="13" t="s">
        <v>1</v>
      </c>
      <c r="E4" s="13" t="s">
        <v>2</v>
      </c>
    </row>
    <row r="5" spans="1:5" ht="21.75" customHeight="1" x14ac:dyDescent="0.25">
      <c r="A5" s="2"/>
      <c r="B5" s="6" t="s">
        <v>0</v>
      </c>
      <c r="C5" s="4">
        <f>C7+C11</f>
        <v>22663</v>
      </c>
      <c r="D5" s="4">
        <f t="shared" ref="D5:E5" si="0">D7+D11</f>
        <v>11160</v>
      </c>
      <c r="E5" s="4">
        <f t="shared" si="0"/>
        <v>11503</v>
      </c>
    </row>
    <row r="6" spans="1:5" ht="10.5" customHeight="1" x14ac:dyDescent="0.25">
      <c r="A6" s="2"/>
      <c r="B6" s="2"/>
      <c r="C6" s="2"/>
      <c r="D6" s="2"/>
      <c r="E6" s="2"/>
    </row>
    <row r="7" spans="1:5" ht="21.75" customHeight="1" x14ac:dyDescent="0.25">
      <c r="A7" s="2"/>
      <c r="B7" s="20" t="s">
        <v>462</v>
      </c>
      <c r="C7" s="4">
        <f>SUM(C8:C9)</f>
        <v>3844</v>
      </c>
      <c r="D7" s="4">
        <f t="shared" ref="D7:E7" si="1">SUM(D8:D9)</f>
        <v>1924</v>
      </c>
      <c r="E7" s="4">
        <f t="shared" si="1"/>
        <v>1920</v>
      </c>
    </row>
    <row r="8" spans="1:5" ht="21.75" customHeight="1" x14ac:dyDescent="0.25">
      <c r="A8" s="2">
        <v>1</v>
      </c>
      <c r="B8" s="2" t="s">
        <v>233</v>
      </c>
      <c r="C8" s="2">
        <v>2042</v>
      </c>
      <c r="D8" s="2">
        <v>997</v>
      </c>
      <c r="E8" s="2">
        <v>1045</v>
      </c>
    </row>
    <row r="9" spans="1:5" ht="21.75" customHeight="1" x14ac:dyDescent="0.25">
      <c r="A9" s="2">
        <v>2</v>
      </c>
      <c r="B9" s="2" t="s">
        <v>234</v>
      </c>
      <c r="C9" s="2">
        <v>1802</v>
      </c>
      <c r="D9" s="2">
        <v>927</v>
      </c>
      <c r="E9" s="2">
        <v>875</v>
      </c>
    </row>
    <row r="10" spans="1:5" ht="12" customHeight="1" x14ac:dyDescent="0.25">
      <c r="A10" s="2"/>
      <c r="B10" s="2"/>
      <c r="C10" s="2"/>
      <c r="D10" s="2"/>
      <c r="E10" s="2"/>
    </row>
    <row r="11" spans="1:5" ht="21.75" customHeight="1" x14ac:dyDescent="0.25">
      <c r="A11" s="2"/>
      <c r="B11" s="20" t="s">
        <v>463</v>
      </c>
      <c r="C11" s="4">
        <f>SUM(C12:C17)</f>
        <v>18819</v>
      </c>
      <c r="D11" s="4">
        <f t="shared" ref="D11:E11" si="2">SUM(D12:D17)</f>
        <v>9236</v>
      </c>
      <c r="E11" s="4">
        <f t="shared" si="2"/>
        <v>9583</v>
      </c>
    </row>
    <row r="12" spans="1:5" ht="21.75" customHeight="1" x14ac:dyDescent="0.25">
      <c r="A12" s="2">
        <v>1</v>
      </c>
      <c r="B12" s="2" t="s">
        <v>247</v>
      </c>
      <c r="C12" s="2">
        <v>3784</v>
      </c>
      <c r="D12" s="2">
        <v>1990</v>
      </c>
      <c r="E12" s="2">
        <v>1794</v>
      </c>
    </row>
    <row r="13" spans="1:5" ht="21.75" customHeight="1" x14ac:dyDescent="0.25">
      <c r="A13" s="2">
        <v>2</v>
      </c>
      <c r="B13" s="2" t="s">
        <v>248</v>
      </c>
      <c r="C13" s="2">
        <v>4927</v>
      </c>
      <c r="D13" s="2">
        <v>2384</v>
      </c>
      <c r="E13" s="2">
        <v>2543</v>
      </c>
    </row>
    <row r="14" spans="1:5" ht="21.75" customHeight="1" x14ac:dyDescent="0.25">
      <c r="A14" s="2">
        <v>3</v>
      </c>
      <c r="B14" s="2" t="s">
        <v>249</v>
      </c>
      <c r="C14" s="2">
        <v>2776</v>
      </c>
      <c r="D14" s="2">
        <v>1320</v>
      </c>
      <c r="E14" s="2">
        <v>1456</v>
      </c>
    </row>
    <row r="15" spans="1:5" ht="21.75" customHeight="1" x14ac:dyDescent="0.25">
      <c r="A15" s="2">
        <v>4</v>
      </c>
      <c r="B15" s="2" t="s">
        <v>250</v>
      </c>
      <c r="C15" s="2">
        <v>2387</v>
      </c>
      <c r="D15" s="2">
        <v>1174</v>
      </c>
      <c r="E15" s="2">
        <v>1213</v>
      </c>
    </row>
    <row r="16" spans="1:5" ht="21.75" customHeight="1" x14ac:dyDescent="0.25">
      <c r="A16" s="2">
        <v>5</v>
      </c>
      <c r="B16" s="2" t="s">
        <v>251</v>
      </c>
      <c r="C16" s="2">
        <v>3120</v>
      </c>
      <c r="D16" s="2">
        <v>1490</v>
      </c>
      <c r="E16" s="2">
        <v>1630</v>
      </c>
    </row>
    <row r="17" spans="1:5" ht="21.75" customHeight="1" x14ac:dyDescent="0.25">
      <c r="A17" s="3">
        <v>6</v>
      </c>
      <c r="B17" s="3" t="s">
        <v>252</v>
      </c>
      <c r="C17" s="3">
        <v>1825</v>
      </c>
      <c r="D17" s="3">
        <v>878</v>
      </c>
      <c r="E17" s="3">
        <v>947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    Mawlamyine District, Khawzar(Sub-Township) 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sqref="A1:E1"/>
    </sheetView>
  </sheetViews>
  <sheetFormatPr defaultRowHeight="15" x14ac:dyDescent="0.25"/>
  <cols>
    <col min="1" max="1" width="7.42578125" customWidth="1"/>
    <col min="2" max="2" width="33.28515625" customWidth="1"/>
    <col min="3" max="5" width="15.7109375" customWidth="1"/>
  </cols>
  <sheetData>
    <row r="1" spans="1:5" ht="18.75" x14ac:dyDescent="0.25">
      <c r="A1" s="32" t="s">
        <v>458</v>
      </c>
      <c r="B1" s="32"/>
      <c r="C1" s="32"/>
      <c r="D1" s="32"/>
      <c r="E1" s="32"/>
    </row>
    <row r="2" spans="1:5" ht="21" x14ac:dyDescent="0.35">
      <c r="B2" s="12"/>
      <c r="C2" s="12"/>
      <c r="E2" s="24" t="s">
        <v>449</v>
      </c>
    </row>
    <row r="3" spans="1:5" ht="21.75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5" ht="21" customHeight="1" x14ac:dyDescent="0.25">
      <c r="A4" s="31"/>
      <c r="B4" s="31"/>
      <c r="C4" s="13" t="s">
        <v>0</v>
      </c>
      <c r="D4" s="13" t="s">
        <v>1</v>
      </c>
      <c r="E4" s="13" t="s">
        <v>2</v>
      </c>
    </row>
    <row r="5" spans="1:5" ht="21.75" customHeight="1" x14ac:dyDescent="0.25">
      <c r="A5" s="5"/>
      <c r="B5" s="6" t="s">
        <v>0</v>
      </c>
      <c r="C5" s="4">
        <f>C7+C14</f>
        <v>238106</v>
      </c>
      <c r="D5" s="4">
        <f t="shared" ref="D5:E5" si="0">D7+D14</f>
        <v>116394</v>
      </c>
      <c r="E5" s="4">
        <f t="shared" si="0"/>
        <v>121712</v>
      </c>
    </row>
    <row r="6" spans="1:5" ht="10.5" customHeight="1" x14ac:dyDescent="0.25">
      <c r="A6" s="2"/>
      <c r="B6" s="2"/>
      <c r="C6" s="2"/>
      <c r="D6" s="2"/>
      <c r="E6" s="2"/>
    </row>
    <row r="7" spans="1:5" ht="21.75" customHeight="1" x14ac:dyDescent="0.25">
      <c r="A7" s="2"/>
      <c r="B7" s="20" t="s">
        <v>462</v>
      </c>
      <c r="C7" s="4">
        <f>SUM(C8:C12)</f>
        <v>55047</v>
      </c>
      <c r="D7" s="4">
        <f t="shared" ref="D7:E7" si="1">SUM(D8:D12)</f>
        <v>26585</v>
      </c>
      <c r="E7" s="4">
        <f t="shared" si="1"/>
        <v>28462</v>
      </c>
    </row>
    <row r="8" spans="1:5" ht="21.75" customHeight="1" x14ac:dyDescent="0.25">
      <c r="A8" s="2">
        <v>1</v>
      </c>
      <c r="B8" s="2" t="s">
        <v>253</v>
      </c>
      <c r="C8" s="2">
        <v>14934</v>
      </c>
      <c r="D8" s="2">
        <v>7374</v>
      </c>
      <c r="E8" s="2">
        <v>7560</v>
      </c>
    </row>
    <row r="9" spans="1:5" ht="21.75" customHeight="1" x14ac:dyDescent="0.25">
      <c r="A9" s="2">
        <v>2</v>
      </c>
      <c r="B9" s="2" t="s">
        <v>254</v>
      </c>
      <c r="C9" s="2">
        <v>8026</v>
      </c>
      <c r="D9" s="2">
        <v>4013</v>
      </c>
      <c r="E9" s="2">
        <v>4013</v>
      </c>
    </row>
    <row r="10" spans="1:5" ht="21.75" customHeight="1" x14ac:dyDescent="0.25">
      <c r="A10" s="2">
        <v>3</v>
      </c>
      <c r="B10" s="2" t="s">
        <v>6</v>
      </c>
      <c r="C10" s="2">
        <v>11858</v>
      </c>
      <c r="D10" s="2">
        <v>5549</v>
      </c>
      <c r="E10" s="2">
        <v>6309</v>
      </c>
    </row>
    <row r="11" spans="1:5" ht="21.75" customHeight="1" x14ac:dyDescent="0.25">
      <c r="A11" s="2">
        <v>4</v>
      </c>
      <c r="B11" s="2" t="s">
        <v>255</v>
      </c>
      <c r="C11" s="2">
        <v>9608</v>
      </c>
      <c r="D11" s="2">
        <v>4519</v>
      </c>
      <c r="E11" s="2">
        <v>5089</v>
      </c>
    </row>
    <row r="12" spans="1:5" ht="21.75" customHeight="1" x14ac:dyDescent="0.25">
      <c r="A12" s="2">
        <v>5</v>
      </c>
      <c r="B12" s="2" t="s">
        <v>256</v>
      </c>
      <c r="C12" s="2">
        <v>10621</v>
      </c>
      <c r="D12" s="2">
        <v>5130</v>
      </c>
      <c r="E12" s="2">
        <v>5491</v>
      </c>
    </row>
    <row r="13" spans="1:5" ht="15" customHeight="1" x14ac:dyDescent="0.25">
      <c r="A13" s="2"/>
      <c r="B13" s="2"/>
      <c r="C13" s="2"/>
      <c r="D13" s="2"/>
      <c r="E13" s="2"/>
    </row>
    <row r="14" spans="1:5" ht="21.75" customHeight="1" x14ac:dyDescent="0.25">
      <c r="A14" s="2"/>
      <c r="B14" s="20" t="s">
        <v>463</v>
      </c>
      <c r="C14" s="4">
        <f>SUM(C15:C64)</f>
        <v>183059</v>
      </c>
      <c r="D14" s="4">
        <f t="shared" ref="D14:E14" si="2">SUM(D15:D64)</f>
        <v>89809</v>
      </c>
      <c r="E14" s="4">
        <f t="shared" si="2"/>
        <v>93250</v>
      </c>
    </row>
    <row r="15" spans="1:5" ht="21.75" customHeight="1" x14ac:dyDescent="0.25">
      <c r="A15" s="2">
        <v>1</v>
      </c>
      <c r="B15" s="2" t="s">
        <v>258</v>
      </c>
      <c r="C15" s="2">
        <v>2621</v>
      </c>
      <c r="D15" s="2">
        <v>1285</v>
      </c>
      <c r="E15" s="2">
        <v>1336</v>
      </c>
    </row>
    <row r="16" spans="1:5" ht="21.75" customHeight="1" x14ac:dyDescent="0.25">
      <c r="A16" s="2">
        <v>2</v>
      </c>
      <c r="B16" s="2" t="s">
        <v>259</v>
      </c>
      <c r="C16" s="2">
        <v>3376</v>
      </c>
      <c r="D16" s="2">
        <v>1658</v>
      </c>
      <c r="E16" s="2">
        <v>1718</v>
      </c>
    </row>
    <row r="17" spans="1:5" ht="21.75" customHeight="1" x14ac:dyDescent="0.25">
      <c r="A17" s="2">
        <v>3</v>
      </c>
      <c r="B17" s="2" t="s">
        <v>248</v>
      </c>
      <c r="C17" s="2">
        <v>2057</v>
      </c>
      <c r="D17" s="2">
        <v>976</v>
      </c>
      <c r="E17" s="2">
        <v>1081</v>
      </c>
    </row>
    <row r="18" spans="1:5" ht="21.75" customHeight="1" x14ac:dyDescent="0.25">
      <c r="A18" s="2">
        <v>4</v>
      </c>
      <c r="B18" s="2" t="s">
        <v>260</v>
      </c>
      <c r="C18" s="2">
        <v>505</v>
      </c>
      <c r="D18" s="2">
        <v>227</v>
      </c>
      <c r="E18" s="2">
        <v>278</v>
      </c>
    </row>
    <row r="19" spans="1:5" ht="21.75" customHeight="1" x14ac:dyDescent="0.25">
      <c r="A19" s="2">
        <v>5</v>
      </c>
      <c r="B19" s="2" t="s">
        <v>261</v>
      </c>
      <c r="C19" s="2">
        <v>2835</v>
      </c>
      <c r="D19" s="2">
        <v>1393</v>
      </c>
      <c r="E19" s="2">
        <v>1442</v>
      </c>
    </row>
    <row r="20" spans="1:5" ht="21.75" customHeight="1" x14ac:dyDescent="0.25">
      <c r="A20" s="2">
        <v>6</v>
      </c>
      <c r="B20" s="2" t="s">
        <v>262</v>
      </c>
      <c r="C20" s="2">
        <v>5274</v>
      </c>
      <c r="D20" s="2">
        <v>2567</v>
      </c>
      <c r="E20" s="2">
        <v>2707</v>
      </c>
    </row>
    <row r="21" spans="1:5" ht="21.75" customHeight="1" x14ac:dyDescent="0.25">
      <c r="A21" s="2">
        <v>7</v>
      </c>
      <c r="B21" s="2" t="s">
        <v>263</v>
      </c>
      <c r="C21" s="2">
        <v>2868</v>
      </c>
      <c r="D21" s="2">
        <v>1432</v>
      </c>
      <c r="E21" s="2">
        <v>1436</v>
      </c>
    </row>
    <row r="22" spans="1:5" ht="21.75" customHeight="1" x14ac:dyDescent="0.25">
      <c r="A22" s="2">
        <v>8</v>
      </c>
      <c r="B22" s="2" t="s">
        <v>264</v>
      </c>
      <c r="C22" s="2">
        <v>568</v>
      </c>
      <c r="D22" s="2">
        <v>264</v>
      </c>
      <c r="E22" s="2">
        <v>304</v>
      </c>
    </row>
    <row r="23" spans="1:5" ht="21.75" customHeight="1" x14ac:dyDescent="0.25">
      <c r="A23" s="2">
        <v>9</v>
      </c>
      <c r="B23" s="2" t="s">
        <v>265</v>
      </c>
      <c r="C23" s="2">
        <v>1132</v>
      </c>
      <c r="D23" s="2">
        <v>518</v>
      </c>
      <c r="E23" s="2">
        <v>614</v>
      </c>
    </row>
    <row r="24" spans="1:5" ht="21.75" customHeight="1" x14ac:dyDescent="0.25">
      <c r="A24" s="2">
        <v>10</v>
      </c>
      <c r="B24" s="2" t="s">
        <v>266</v>
      </c>
      <c r="C24" s="2">
        <v>2488</v>
      </c>
      <c r="D24" s="2">
        <v>1115</v>
      </c>
      <c r="E24" s="2">
        <v>1373</v>
      </c>
    </row>
    <row r="25" spans="1:5" ht="21.75" customHeight="1" x14ac:dyDescent="0.25">
      <c r="A25" s="2">
        <v>11</v>
      </c>
      <c r="B25" s="2" t="s">
        <v>267</v>
      </c>
      <c r="C25" s="2">
        <v>10656</v>
      </c>
      <c r="D25" s="2">
        <v>5123</v>
      </c>
      <c r="E25" s="2">
        <v>5533</v>
      </c>
    </row>
    <row r="26" spans="1:5" ht="21.75" customHeight="1" x14ac:dyDescent="0.25">
      <c r="A26" s="2">
        <v>12</v>
      </c>
      <c r="B26" s="2" t="s">
        <v>268</v>
      </c>
      <c r="C26" s="2">
        <v>8593</v>
      </c>
      <c r="D26" s="2">
        <v>4107</v>
      </c>
      <c r="E26" s="2">
        <v>4486</v>
      </c>
    </row>
    <row r="27" spans="1:5" ht="21.75" customHeight="1" x14ac:dyDescent="0.25">
      <c r="A27" s="2">
        <v>13</v>
      </c>
      <c r="B27" s="2" t="s">
        <v>269</v>
      </c>
      <c r="C27" s="2">
        <v>7515</v>
      </c>
      <c r="D27" s="2">
        <v>3695</v>
      </c>
      <c r="E27" s="2">
        <v>3820</v>
      </c>
    </row>
    <row r="28" spans="1:5" ht="21.75" customHeight="1" x14ac:dyDescent="0.25">
      <c r="A28" s="2">
        <v>14</v>
      </c>
      <c r="B28" s="2" t="s">
        <v>270</v>
      </c>
      <c r="C28" s="2">
        <v>8072</v>
      </c>
      <c r="D28" s="2">
        <v>4006</v>
      </c>
      <c r="E28" s="2">
        <v>4066</v>
      </c>
    </row>
    <row r="29" spans="1:5" ht="21.75" customHeight="1" x14ac:dyDescent="0.25">
      <c r="A29" s="2">
        <v>15</v>
      </c>
      <c r="B29" s="2" t="s">
        <v>271</v>
      </c>
      <c r="C29" s="2">
        <v>7775</v>
      </c>
      <c r="D29" s="2">
        <v>3821</v>
      </c>
      <c r="E29" s="2">
        <v>3954</v>
      </c>
    </row>
    <row r="30" spans="1:5" ht="21.75" customHeight="1" x14ac:dyDescent="0.25">
      <c r="A30" s="2">
        <v>16</v>
      </c>
      <c r="B30" s="2" t="s">
        <v>272</v>
      </c>
      <c r="C30" s="2">
        <v>2143</v>
      </c>
      <c r="D30" s="2">
        <v>1006</v>
      </c>
      <c r="E30" s="2">
        <v>1137</v>
      </c>
    </row>
    <row r="31" spans="1:5" ht="21.75" customHeight="1" x14ac:dyDescent="0.25">
      <c r="A31" s="2">
        <v>17</v>
      </c>
      <c r="B31" s="2" t="s">
        <v>273</v>
      </c>
      <c r="C31" s="2">
        <v>2981</v>
      </c>
      <c r="D31" s="2">
        <v>1479</v>
      </c>
      <c r="E31" s="2">
        <v>1502</v>
      </c>
    </row>
    <row r="32" spans="1:5" ht="21.75" customHeight="1" x14ac:dyDescent="0.25">
      <c r="A32" s="2">
        <v>18</v>
      </c>
      <c r="B32" s="2" t="s">
        <v>274</v>
      </c>
      <c r="C32" s="2">
        <v>565</v>
      </c>
      <c r="D32" s="2">
        <v>272</v>
      </c>
      <c r="E32" s="2">
        <v>293</v>
      </c>
    </row>
    <row r="33" spans="1:5" ht="21.75" customHeight="1" x14ac:dyDescent="0.25">
      <c r="A33" s="2">
        <v>19</v>
      </c>
      <c r="B33" s="2" t="s">
        <v>275</v>
      </c>
      <c r="C33" s="2">
        <v>2901</v>
      </c>
      <c r="D33" s="2">
        <v>1427</v>
      </c>
      <c r="E33" s="2">
        <v>1474</v>
      </c>
    </row>
    <row r="34" spans="1:5" ht="21.75" customHeight="1" x14ac:dyDescent="0.25">
      <c r="A34" s="2">
        <v>20</v>
      </c>
      <c r="B34" s="2" t="s">
        <v>276</v>
      </c>
      <c r="C34" s="2">
        <v>1472</v>
      </c>
      <c r="D34" s="2">
        <v>726</v>
      </c>
      <c r="E34" s="2">
        <v>746</v>
      </c>
    </row>
    <row r="35" spans="1:5" ht="21.75" customHeight="1" x14ac:dyDescent="0.25">
      <c r="A35" s="2">
        <v>21</v>
      </c>
      <c r="B35" s="2" t="s">
        <v>277</v>
      </c>
      <c r="C35" s="2">
        <v>731</v>
      </c>
      <c r="D35" s="2">
        <v>357</v>
      </c>
      <c r="E35" s="2">
        <v>374</v>
      </c>
    </row>
    <row r="36" spans="1:5" ht="21.75" customHeight="1" x14ac:dyDescent="0.25">
      <c r="A36" s="2">
        <v>22</v>
      </c>
      <c r="B36" s="2" t="s">
        <v>278</v>
      </c>
      <c r="C36" s="2">
        <v>10704</v>
      </c>
      <c r="D36" s="2">
        <v>5624</v>
      </c>
      <c r="E36" s="2">
        <v>5080</v>
      </c>
    </row>
    <row r="37" spans="1:5" ht="21.75" customHeight="1" x14ac:dyDescent="0.25">
      <c r="A37" s="2">
        <v>23</v>
      </c>
      <c r="B37" s="2" t="s">
        <v>279</v>
      </c>
      <c r="C37" s="2">
        <v>2682</v>
      </c>
      <c r="D37" s="2">
        <v>1305</v>
      </c>
      <c r="E37" s="2">
        <v>1377</v>
      </c>
    </row>
    <row r="38" spans="1:5" ht="21.75" customHeight="1" x14ac:dyDescent="0.25">
      <c r="A38" s="2">
        <v>24</v>
      </c>
      <c r="B38" s="2" t="s">
        <v>280</v>
      </c>
      <c r="C38" s="2">
        <v>1273</v>
      </c>
      <c r="D38" s="2">
        <v>626</v>
      </c>
      <c r="E38" s="2">
        <v>647</v>
      </c>
    </row>
    <row r="39" spans="1:5" ht="21.75" customHeight="1" x14ac:dyDescent="0.25">
      <c r="A39" s="2">
        <v>25</v>
      </c>
      <c r="B39" s="2" t="s">
        <v>281</v>
      </c>
      <c r="C39" s="2">
        <v>8454</v>
      </c>
      <c r="D39" s="2">
        <v>4163</v>
      </c>
      <c r="E39" s="2">
        <v>4291</v>
      </c>
    </row>
    <row r="40" spans="1:5" ht="21.75" customHeight="1" x14ac:dyDescent="0.25">
      <c r="A40" s="2">
        <v>26</v>
      </c>
      <c r="B40" s="2" t="s">
        <v>282</v>
      </c>
      <c r="C40" s="2">
        <v>5149</v>
      </c>
      <c r="D40" s="2">
        <v>2542</v>
      </c>
      <c r="E40" s="2">
        <v>2607</v>
      </c>
    </row>
    <row r="41" spans="1:5" ht="21.75" customHeight="1" x14ac:dyDescent="0.25">
      <c r="A41" s="2">
        <v>27</v>
      </c>
      <c r="B41" s="2" t="s">
        <v>283</v>
      </c>
      <c r="C41" s="2">
        <v>647</v>
      </c>
      <c r="D41" s="2">
        <v>336</v>
      </c>
      <c r="E41" s="2">
        <v>311</v>
      </c>
    </row>
    <row r="42" spans="1:5" ht="21.75" customHeight="1" x14ac:dyDescent="0.25">
      <c r="A42" s="2">
        <v>28</v>
      </c>
      <c r="B42" s="2" t="s">
        <v>284</v>
      </c>
      <c r="C42" s="2">
        <v>6937</v>
      </c>
      <c r="D42" s="2">
        <v>3398</v>
      </c>
      <c r="E42" s="2">
        <v>3539</v>
      </c>
    </row>
    <row r="43" spans="1:5" ht="21.75" customHeight="1" x14ac:dyDescent="0.25">
      <c r="A43" s="2">
        <v>29</v>
      </c>
      <c r="B43" s="2" t="s">
        <v>285</v>
      </c>
      <c r="C43" s="2">
        <v>1192</v>
      </c>
      <c r="D43" s="2">
        <v>620</v>
      </c>
      <c r="E43" s="2">
        <v>572</v>
      </c>
    </row>
    <row r="44" spans="1:5" ht="21.75" customHeight="1" x14ac:dyDescent="0.25">
      <c r="A44" s="2">
        <v>30</v>
      </c>
      <c r="B44" s="2" t="s">
        <v>286</v>
      </c>
      <c r="C44" s="2">
        <v>2302</v>
      </c>
      <c r="D44" s="2">
        <v>1166</v>
      </c>
      <c r="E44" s="2">
        <v>1136</v>
      </c>
    </row>
    <row r="45" spans="1:5" ht="21.75" customHeight="1" x14ac:dyDescent="0.25">
      <c r="A45" s="2">
        <v>31</v>
      </c>
      <c r="B45" s="2" t="s">
        <v>287</v>
      </c>
      <c r="C45" s="2">
        <v>10751</v>
      </c>
      <c r="D45" s="2">
        <v>5414</v>
      </c>
      <c r="E45" s="2">
        <v>5337</v>
      </c>
    </row>
    <row r="46" spans="1:5" ht="21.75" customHeight="1" x14ac:dyDescent="0.25">
      <c r="A46" s="2">
        <v>32</v>
      </c>
      <c r="B46" s="2" t="s">
        <v>288</v>
      </c>
      <c r="C46" s="2">
        <v>1924</v>
      </c>
      <c r="D46" s="2">
        <v>972</v>
      </c>
      <c r="E46" s="2">
        <v>952</v>
      </c>
    </row>
    <row r="47" spans="1:5" ht="21.75" customHeight="1" x14ac:dyDescent="0.25">
      <c r="A47" s="2">
        <v>33</v>
      </c>
      <c r="B47" s="2" t="s">
        <v>289</v>
      </c>
      <c r="C47" s="2">
        <v>1436</v>
      </c>
      <c r="D47" s="2">
        <v>674</v>
      </c>
      <c r="E47" s="2">
        <v>762</v>
      </c>
    </row>
    <row r="48" spans="1:5" ht="21.75" customHeight="1" x14ac:dyDescent="0.25">
      <c r="A48" s="2">
        <v>34</v>
      </c>
      <c r="B48" s="2" t="s">
        <v>290</v>
      </c>
      <c r="C48" s="2">
        <v>2097</v>
      </c>
      <c r="D48" s="2">
        <v>976</v>
      </c>
      <c r="E48" s="2">
        <v>1121</v>
      </c>
    </row>
    <row r="49" spans="1:5" ht="21.75" customHeight="1" x14ac:dyDescent="0.25">
      <c r="A49" s="2">
        <v>35</v>
      </c>
      <c r="B49" s="2" t="s">
        <v>127</v>
      </c>
      <c r="C49" s="2">
        <v>1822</v>
      </c>
      <c r="D49" s="2">
        <v>857</v>
      </c>
      <c r="E49" s="2">
        <v>965</v>
      </c>
    </row>
    <row r="50" spans="1:5" ht="21.75" customHeight="1" x14ac:dyDescent="0.25">
      <c r="A50" s="2">
        <v>36</v>
      </c>
      <c r="B50" s="2" t="s">
        <v>291</v>
      </c>
      <c r="C50" s="2">
        <v>939</v>
      </c>
      <c r="D50" s="2">
        <v>466</v>
      </c>
      <c r="E50" s="2">
        <v>473</v>
      </c>
    </row>
    <row r="51" spans="1:5" ht="21.75" customHeight="1" x14ac:dyDescent="0.25">
      <c r="A51" s="2">
        <v>37</v>
      </c>
      <c r="B51" s="2" t="s">
        <v>292</v>
      </c>
      <c r="C51" s="2">
        <v>1551</v>
      </c>
      <c r="D51" s="2">
        <v>738</v>
      </c>
      <c r="E51" s="2">
        <v>813</v>
      </c>
    </row>
    <row r="52" spans="1:5" ht="21.75" customHeight="1" x14ac:dyDescent="0.25">
      <c r="A52" s="2">
        <v>38</v>
      </c>
      <c r="B52" s="2" t="s">
        <v>293</v>
      </c>
      <c r="C52" s="2">
        <v>2730</v>
      </c>
      <c r="D52" s="2">
        <v>1314</v>
      </c>
      <c r="E52" s="2">
        <v>1416</v>
      </c>
    </row>
    <row r="53" spans="1:5" ht="21.75" customHeight="1" x14ac:dyDescent="0.25">
      <c r="A53" s="2">
        <v>39</v>
      </c>
      <c r="B53" s="2" t="s">
        <v>294</v>
      </c>
      <c r="C53" s="2">
        <v>2620</v>
      </c>
      <c r="D53" s="2">
        <v>1275</v>
      </c>
      <c r="E53" s="2">
        <v>1345</v>
      </c>
    </row>
    <row r="54" spans="1:5" ht="21.75" customHeight="1" x14ac:dyDescent="0.25">
      <c r="A54" s="2">
        <v>40</v>
      </c>
      <c r="B54" s="2" t="s">
        <v>295</v>
      </c>
      <c r="C54" s="2">
        <v>733</v>
      </c>
      <c r="D54" s="2">
        <v>343</v>
      </c>
      <c r="E54" s="2">
        <v>390</v>
      </c>
    </row>
    <row r="55" spans="1:5" ht="21.75" customHeight="1" x14ac:dyDescent="0.25">
      <c r="A55" s="2">
        <v>41</v>
      </c>
      <c r="B55" s="2" t="s">
        <v>296</v>
      </c>
      <c r="C55" s="2">
        <v>1542</v>
      </c>
      <c r="D55" s="2">
        <v>777</v>
      </c>
      <c r="E55" s="2">
        <v>765</v>
      </c>
    </row>
    <row r="56" spans="1:5" ht="21.75" customHeight="1" x14ac:dyDescent="0.25">
      <c r="A56" s="2">
        <v>42</v>
      </c>
      <c r="B56" s="2" t="s">
        <v>297</v>
      </c>
      <c r="C56" s="2">
        <v>10138</v>
      </c>
      <c r="D56" s="2">
        <v>4934</v>
      </c>
      <c r="E56" s="2">
        <v>5204</v>
      </c>
    </row>
    <row r="57" spans="1:5" ht="21.75" customHeight="1" x14ac:dyDescent="0.25">
      <c r="A57" s="2">
        <v>43</v>
      </c>
      <c r="B57" s="2" t="s">
        <v>298</v>
      </c>
      <c r="C57" s="2">
        <v>9984</v>
      </c>
      <c r="D57" s="2">
        <v>4949</v>
      </c>
      <c r="E57" s="2">
        <v>5035</v>
      </c>
    </row>
    <row r="58" spans="1:5" ht="21.75" customHeight="1" x14ac:dyDescent="0.25">
      <c r="A58" s="2">
        <v>44</v>
      </c>
      <c r="B58" s="2" t="s">
        <v>299</v>
      </c>
      <c r="C58" s="2">
        <v>3032</v>
      </c>
      <c r="D58" s="2">
        <v>1447</v>
      </c>
      <c r="E58" s="2">
        <v>1585</v>
      </c>
    </row>
    <row r="59" spans="1:5" ht="21.75" customHeight="1" x14ac:dyDescent="0.25">
      <c r="A59" s="2">
        <v>45</v>
      </c>
      <c r="B59" s="2" t="s">
        <v>300</v>
      </c>
      <c r="C59" s="2">
        <v>2126</v>
      </c>
      <c r="D59" s="2">
        <v>1097</v>
      </c>
      <c r="E59" s="2">
        <v>1029</v>
      </c>
    </row>
    <row r="60" spans="1:5" ht="21.75" customHeight="1" x14ac:dyDescent="0.25">
      <c r="A60" s="2">
        <v>46</v>
      </c>
      <c r="B60" s="2" t="s">
        <v>301</v>
      </c>
      <c r="C60" s="2">
        <v>2119</v>
      </c>
      <c r="D60" s="2">
        <v>1013</v>
      </c>
      <c r="E60" s="2">
        <v>1106</v>
      </c>
    </row>
    <row r="61" spans="1:5" ht="21.75" customHeight="1" x14ac:dyDescent="0.25">
      <c r="A61" s="2">
        <v>47</v>
      </c>
      <c r="B61" s="2" t="s">
        <v>168</v>
      </c>
      <c r="C61" s="2">
        <v>3112</v>
      </c>
      <c r="D61" s="2">
        <v>1464</v>
      </c>
      <c r="E61" s="2">
        <v>1648</v>
      </c>
    </row>
    <row r="62" spans="1:5" ht="21.75" customHeight="1" x14ac:dyDescent="0.25">
      <c r="A62" s="2">
        <v>48</v>
      </c>
      <c r="B62" s="2" t="s">
        <v>302</v>
      </c>
      <c r="C62" s="2">
        <v>3090</v>
      </c>
      <c r="D62" s="2">
        <v>1480</v>
      </c>
      <c r="E62" s="2">
        <v>1610</v>
      </c>
    </row>
    <row r="63" spans="1:5" ht="21.75" customHeight="1" x14ac:dyDescent="0.25">
      <c r="A63" s="2">
        <v>49</v>
      </c>
      <c r="B63" s="2" t="s">
        <v>303</v>
      </c>
      <c r="C63" s="2">
        <v>4673</v>
      </c>
      <c r="D63" s="2">
        <v>2299</v>
      </c>
      <c r="E63" s="2">
        <v>2374</v>
      </c>
    </row>
    <row r="64" spans="1:5" ht="21.75" customHeight="1" x14ac:dyDescent="0.25">
      <c r="A64" s="3">
        <v>50</v>
      </c>
      <c r="B64" s="3" t="s">
        <v>257</v>
      </c>
      <c r="C64" s="3">
        <v>172</v>
      </c>
      <c r="D64" s="3">
        <v>86</v>
      </c>
      <c r="E64" s="3">
        <v>86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Thaton District,Thaton Township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33.140625" customWidth="1"/>
    <col min="3" max="5" width="15.7109375" customWidth="1"/>
    <col min="6" max="6" width="13" customWidth="1"/>
  </cols>
  <sheetData>
    <row r="1" spans="1:5" ht="24" customHeight="1" x14ac:dyDescent="0.25">
      <c r="A1" s="32" t="s">
        <v>459</v>
      </c>
      <c r="B1" s="32"/>
      <c r="C1" s="32"/>
      <c r="D1" s="32"/>
      <c r="E1" s="32"/>
    </row>
    <row r="2" spans="1:5" ht="21" x14ac:dyDescent="0.35">
      <c r="B2" s="12"/>
      <c r="C2" s="12"/>
      <c r="E2" s="8" t="s">
        <v>449</v>
      </c>
    </row>
    <row r="3" spans="1:5" ht="21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5" ht="22.5" customHeight="1" x14ac:dyDescent="0.25">
      <c r="A4" s="31"/>
      <c r="B4" s="31"/>
      <c r="C4" s="14" t="s">
        <v>0</v>
      </c>
      <c r="D4" s="14" t="s">
        <v>1</v>
      </c>
      <c r="E4" s="14" t="s">
        <v>2</v>
      </c>
    </row>
    <row r="5" spans="1:5" ht="21.75" customHeight="1" x14ac:dyDescent="0.25">
      <c r="A5" s="5"/>
      <c r="B5" s="6" t="s">
        <v>0</v>
      </c>
      <c r="C5" s="15">
        <f>C7+C13</f>
        <v>218459</v>
      </c>
      <c r="D5" s="15">
        <f t="shared" ref="D5:E5" si="0">D7+D13</f>
        <v>105371</v>
      </c>
      <c r="E5" s="15">
        <f t="shared" si="0"/>
        <v>113088</v>
      </c>
    </row>
    <row r="6" spans="1:5" ht="21.75" customHeight="1" x14ac:dyDescent="0.25">
      <c r="A6" s="2"/>
      <c r="B6" s="2"/>
      <c r="C6" s="2"/>
      <c r="D6" s="2"/>
      <c r="E6" s="2"/>
    </row>
    <row r="7" spans="1:5" ht="21.75" customHeight="1" x14ac:dyDescent="0.25">
      <c r="A7" s="2"/>
      <c r="B7" s="20" t="s">
        <v>462</v>
      </c>
      <c r="C7" s="4">
        <f>SUM(C8:C11)</f>
        <v>29434</v>
      </c>
      <c r="D7" s="4">
        <f t="shared" ref="D7:E7" si="1">SUM(D8:D11)</f>
        <v>13871</v>
      </c>
      <c r="E7" s="4">
        <f t="shared" si="1"/>
        <v>15563</v>
      </c>
    </row>
    <row r="8" spans="1:5" ht="21.75" customHeight="1" x14ac:dyDescent="0.25">
      <c r="A8" s="2">
        <v>1</v>
      </c>
      <c r="B8" s="2" t="s">
        <v>304</v>
      </c>
      <c r="C8" s="2">
        <v>4276</v>
      </c>
      <c r="D8" s="2">
        <v>2062</v>
      </c>
      <c r="E8" s="2">
        <v>2214</v>
      </c>
    </row>
    <row r="9" spans="1:5" ht="21.75" customHeight="1" x14ac:dyDescent="0.25">
      <c r="A9" s="2">
        <v>2</v>
      </c>
      <c r="B9" s="2" t="s">
        <v>305</v>
      </c>
      <c r="C9" s="2">
        <v>7489</v>
      </c>
      <c r="D9" s="2">
        <v>3489</v>
      </c>
      <c r="E9" s="2">
        <v>4000</v>
      </c>
    </row>
    <row r="10" spans="1:5" ht="21.75" customHeight="1" x14ac:dyDescent="0.25">
      <c r="A10" s="2">
        <v>3</v>
      </c>
      <c r="B10" s="2" t="s">
        <v>306</v>
      </c>
      <c r="C10" s="2">
        <v>6934</v>
      </c>
      <c r="D10" s="2">
        <v>3283</v>
      </c>
      <c r="E10" s="2">
        <v>3651</v>
      </c>
    </row>
    <row r="11" spans="1:5" ht="21.75" customHeight="1" x14ac:dyDescent="0.25">
      <c r="A11" s="2">
        <v>4</v>
      </c>
      <c r="B11" s="2" t="s">
        <v>307</v>
      </c>
      <c r="C11" s="2">
        <v>10735</v>
      </c>
      <c r="D11" s="2">
        <v>5037</v>
      </c>
      <c r="E11" s="2">
        <v>5698</v>
      </c>
    </row>
    <row r="12" spans="1:5" ht="10.5" customHeight="1" x14ac:dyDescent="0.25">
      <c r="A12" s="2"/>
      <c r="B12" s="2"/>
      <c r="C12" s="2"/>
      <c r="D12" s="2"/>
      <c r="E12" s="2"/>
    </row>
    <row r="13" spans="1:5" ht="21.75" customHeight="1" x14ac:dyDescent="0.25">
      <c r="A13" s="2"/>
      <c r="B13" s="20" t="s">
        <v>463</v>
      </c>
      <c r="C13" s="4">
        <f>SUM(C14:C63)</f>
        <v>189025</v>
      </c>
      <c r="D13" s="4">
        <f t="shared" ref="D13:E13" si="2">SUM(D14:D63)</f>
        <v>91500</v>
      </c>
      <c r="E13" s="4">
        <f t="shared" si="2"/>
        <v>97525</v>
      </c>
    </row>
    <row r="14" spans="1:5" ht="21.75" customHeight="1" x14ac:dyDescent="0.25">
      <c r="A14" s="2">
        <v>1</v>
      </c>
      <c r="B14" s="2" t="s">
        <v>308</v>
      </c>
      <c r="C14" s="2">
        <v>1722</v>
      </c>
      <c r="D14" s="2">
        <v>825</v>
      </c>
      <c r="E14" s="2">
        <v>897</v>
      </c>
    </row>
    <row r="15" spans="1:5" ht="21.75" customHeight="1" x14ac:dyDescent="0.25">
      <c r="A15" s="2">
        <v>2</v>
      </c>
      <c r="B15" s="2" t="s">
        <v>309</v>
      </c>
      <c r="C15" s="2">
        <v>7270</v>
      </c>
      <c r="D15" s="2">
        <v>3781</v>
      </c>
      <c r="E15" s="2">
        <v>3489</v>
      </c>
    </row>
    <row r="16" spans="1:5" ht="21.75" customHeight="1" x14ac:dyDescent="0.25">
      <c r="A16" s="2">
        <v>3</v>
      </c>
      <c r="B16" s="2" t="s">
        <v>310</v>
      </c>
      <c r="C16" s="2">
        <v>6395</v>
      </c>
      <c r="D16" s="2">
        <v>3187</v>
      </c>
      <c r="E16" s="2">
        <v>3208</v>
      </c>
    </row>
    <row r="17" spans="1:5" ht="21.75" customHeight="1" x14ac:dyDescent="0.25">
      <c r="A17" s="2">
        <v>4</v>
      </c>
      <c r="B17" s="2" t="s">
        <v>311</v>
      </c>
      <c r="C17" s="2">
        <v>1389</v>
      </c>
      <c r="D17" s="2">
        <v>655</v>
      </c>
      <c r="E17" s="2">
        <v>734</v>
      </c>
    </row>
    <row r="18" spans="1:5" ht="21.75" customHeight="1" x14ac:dyDescent="0.25">
      <c r="A18" s="2">
        <v>5</v>
      </c>
      <c r="B18" s="2" t="s">
        <v>312</v>
      </c>
      <c r="C18" s="2">
        <v>1152</v>
      </c>
      <c r="D18" s="2">
        <v>564</v>
      </c>
      <c r="E18" s="2">
        <v>588</v>
      </c>
    </row>
    <row r="19" spans="1:5" ht="21.75" customHeight="1" x14ac:dyDescent="0.25">
      <c r="A19" s="2">
        <v>6</v>
      </c>
      <c r="B19" s="2" t="s">
        <v>313</v>
      </c>
      <c r="C19" s="2">
        <v>707</v>
      </c>
      <c r="D19" s="2">
        <v>315</v>
      </c>
      <c r="E19" s="2">
        <v>392</v>
      </c>
    </row>
    <row r="20" spans="1:5" ht="21.75" customHeight="1" x14ac:dyDescent="0.25">
      <c r="A20" s="2">
        <v>7</v>
      </c>
      <c r="B20" s="2" t="s">
        <v>314</v>
      </c>
      <c r="C20" s="2">
        <v>1343</v>
      </c>
      <c r="D20" s="2">
        <v>622</v>
      </c>
      <c r="E20" s="2">
        <v>721</v>
      </c>
    </row>
    <row r="21" spans="1:5" ht="21.75" customHeight="1" x14ac:dyDescent="0.25">
      <c r="A21" s="2">
        <v>8</v>
      </c>
      <c r="B21" s="2" t="s">
        <v>315</v>
      </c>
      <c r="C21" s="2">
        <v>6816</v>
      </c>
      <c r="D21" s="2">
        <v>3321</v>
      </c>
      <c r="E21" s="2">
        <v>3495</v>
      </c>
    </row>
    <row r="22" spans="1:5" ht="21.75" customHeight="1" x14ac:dyDescent="0.25">
      <c r="A22" s="2">
        <v>9</v>
      </c>
      <c r="B22" s="2" t="s">
        <v>316</v>
      </c>
      <c r="C22" s="2">
        <v>20888</v>
      </c>
      <c r="D22" s="2">
        <v>9854</v>
      </c>
      <c r="E22" s="2">
        <v>11034</v>
      </c>
    </row>
    <row r="23" spans="1:5" ht="21.75" customHeight="1" x14ac:dyDescent="0.25">
      <c r="A23" s="2">
        <v>10</v>
      </c>
      <c r="B23" s="2" t="s">
        <v>317</v>
      </c>
      <c r="C23" s="2">
        <v>774</v>
      </c>
      <c r="D23" s="2">
        <v>400</v>
      </c>
      <c r="E23" s="2">
        <v>374</v>
      </c>
    </row>
    <row r="24" spans="1:5" ht="21.75" customHeight="1" x14ac:dyDescent="0.25">
      <c r="A24" s="2">
        <v>11</v>
      </c>
      <c r="B24" s="2" t="s">
        <v>318</v>
      </c>
      <c r="C24" s="2">
        <v>1468</v>
      </c>
      <c r="D24" s="2">
        <v>680</v>
      </c>
      <c r="E24" s="2">
        <v>788</v>
      </c>
    </row>
    <row r="25" spans="1:5" ht="21.75" customHeight="1" x14ac:dyDescent="0.25">
      <c r="A25" s="2">
        <v>12</v>
      </c>
      <c r="B25" s="2" t="s">
        <v>319</v>
      </c>
      <c r="C25" s="2">
        <v>5800</v>
      </c>
      <c r="D25" s="2">
        <v>2752</v>
      </c>
      <c r="E25" s="2">
        <v>3048</v>
      </c>
    </row>
    <row r="26" spans="1:5" ht="21.75" customHeight="1" x14ac:dyDescent="0.25">
      <c r="A26" s="2">
        <v>13</v>
      </c>
      <c r="B26" s="2" t="s">
        <v>320</v>
      </c>
      <c r="C26" s="2">
        <v>1682</v>
      </c>
      <c r="D26" s="2">
        <v>792</v>
      </c>
      <c r="E26" s="2">
        <v>890</v>
      </c>
    </row>
    <row r="27" spans="1:5" ht="21.75" customHeight="1" x14ac:dyDescent="0.25">
      <c r="A27" s="2">
        <v>14</v>
      </c>
      <c r="B27" s="2" t="s">
        <v>321</v>
      </c>
      <c r="C27" s="2">
        <v>1028</v>
      </c>
      <c r="D27" s="2">
        <v>487</v>
      </c>
      <c r="E27" s="2">
        <v>541</v>
      </c>
    </row>
    <row r="28" spans="1:5" ht="21.75" customHeight="1" x14ac:dyDescent="0.25">
      <c r="A28" s="2">
        <v>15</v>
      </c>
      <c r="B28" s="2" t="s">
        <v>322</v>
      </c>
      <c r="C28" s="2">
        <v>2282</v>
      </c>
      <c r="D28" s="2">
        <v>1098</v>
      </c>
      <c r="E28" s="2">
        <v>1184</v>
      </c>
    </row>
    <row r="29" spans="1:5" ht="21.75" customHeight="1" x14ac:dyDescent="0.25">
      <c r="A29" s="2">
        <v>16</v>
      </c>
      <c r="B29" s="2" t="s">
        <v>323</v>
      </c>
      <c r="C29" s="2">
        <v>1518</v>
      </c>
      <c r="D29" s="2">
        <v>760</v>
      </c>
      <c r="E29" s="2">
        <v>758</v>
      </c>
    </row>
    <row r="30" spans="1:5" ht="21.75" customHeight="1" x14ac:dyDescent="0.25">
      <c r="A30" s="2">
        <v>17</v>
      </c>
      <c r="B30" s="2" t="s">
        <v>324</v>
      </c>
      <c r="C30" s="2">
        <v>2789</v>
      </c>
      <c r="D30" s="2">
        <v>1321</v>
      </c>
      <c r="E30" s="2">
        <v>1468</v>
      </c>
    </row>
    <row r="31" spans="1:5" ht="21.75" customHeight="1" x14ac:dyDescent="0.25">
      <c r="A31" s="2">
        <v>18</v>
      </c>
      <c r="B31" s="2" t="s">
        <v>325</v>
      </c>
      <c r="C31" s="2">
        <v>8630</v>
      </c>
      <c r="D31" s="2">
        <v>4097</v>
      </c>
      <c r="E31" s="2">
        <v>4533</v>
      </c>
    </row>
    <row r="32" spans="1:5" ht="21.75" customHeight="1" x14ac:dyDescent="0.25">
      <c r="A32" s="2">
        <v>19</v>
      </c>
      <c r="B32" s="2" t="s">
        <v>326</v>
      </c>
      <c r="C32" s="2">
        <v>3094</v>
      </c>
      <c r="D32" s="2">
        <v>1423</v>
      </c>
      <c r="E32" s="2">
        <v>1671</v>
      </c>
    </row>
    <row r="33" spans="1:5" ht="21.75" customHeight="1" x14ac:dyDescent="0.25">
      <c r="A33" s="2">
        <v>20</v>
      </c>
      <c r="B33" s="2" t="s">
        <v>327</v>
      </c>
      <c r="C33" s="2">
        <v>1353</v>
      </c>
      <c r="D33" s="2">
        <v>624</v>
      </c>
      <c r="E33" s="2">
        <v>729</v>
      </c>
    </row>
    <row r="34" spans="1:5" ht="21.75" customHeight="1" x14ac:dyDescent="0.25">
      <c r="A34" s="2">
        <v>21</v>
      </c>
      <c r="B34" s="2" t="s">
        <v>328</v>
      </c>
      <c r="C34" s="2">
        <v>2912</v>
      </c>
      <c r="D34" s="2">
        <v>1552</v>
      </c>
      <c r="E34" s="2">
        <v>1360</v>
      </c>
    </row>
    <row r="35" spans="1:5" ht="21.75" customHeight="1" x14ac:dyDescent="0.25">
      <c r="A35" s="2">
        <v>22</v>
      </c>
      <c r="B35" s="2" t="s">
        <v>329</v>
      </c>
      <c r="C35" s="2">
        <v>3899</v>
      </c>
      <c r="D35" s="2">
        <v>1942</v>
      </c>
      <c r="E35" s="2">
        <v>1957</v>
      </c>
    </row>
    <row r="36" spans="1:5" ht="21.75" customHeight="1" x14ac:dyDescent="0.25">
      <c r="A36" s="2">
        <v>23</v>
      </c>
      <c r="B36" s="2" t="s">
        <v>330</v>
      </c>
      <c r="C36" s="2">
        <v>2218</v>
      </c>
      <c r="D36" s="2">
        <v>1084</v>
      </c>
      <c r="E36" s="2">
        <v>1134</v>
      </c>
    </row>
    <row r="37" spans="1:5" ht="21.75" customHeight="1" x14ac:dyDescent="0.25">
      <c r="A37" s="2">
        <v>24</v>
      </c>
      <c r="B37" s="2" t="s">
        <v>331</v>
      </c>
      <c r="C37" s="2">
        <v>2557</v>
      </c>
      <c r="D37" s="2">
        <v>1255</v>
      </c>
      <c r="E37" s="2">
        <v>1302</v>
      </c>
    </row>
    <row r="38" spans="1:5" ht="21.75" customHeight="1" x14ac:dyDescent="0.25">
      <c r="A38" s="2">
        <v>25</v>
      </c>
      <c r="B38" s="2" t="s">
        <v>332</v>
      </c>
      <c r="C38" s="2">
        <v>764</v>
      </c>
      <c r="D38" s="2">
        <v>389</v>
      </c>
      <c r="E38" s="2">
        <v>375</v>
      </c>
    </row>
    <row r="39" spans="1:5" ht="21.75" customHeight="1" x14ac:dyDescent="0.25">
      <c r="A39" s="2">
        <v>26</v>
      </c>
      <c r="B39" s="2" t="s">
        <v>333</v>
      </c>
      <c r="C39" s="2">
        <v>1923</v>
      </c>
      <c r="D39" s="2">
        <v>981</v>
      </c>
      <c r="E39" s="2">
        <v>942</v>
      </c>
    </row>
    <row r="40" spans="1:5" ht="21.75" customHeight="1" x14ac:dyDescent="0.25">
      <c r="A40" s="2">
        <v>27</v>
      </c>
      <c r="B40" s="2" t="s">
        <v>334</v>
      </c>
      <c r="C40" s="2">
        <v>2593</v>
      </c>
      <c r="D40" s="2">
        <v>1236</v>
      </c>
      <c r="E40" s="2">
        <v>1357</v>
      </c>
    </row>
    <row r="41" spans="1:5" ht="21.75" customHeight="1" x14ac:dyDescent="0.25">
      <c r="A41" s="2">
        <v>28</v>
      </c>
      <c r="B41" s="2" t="s">
        <v>335</v>
      </c>
      <c r="C41" s="2">
        <v>1669</v>
      </c>
      <c r="D41" s="2">
        <v>778</v>
      </c>
      <c r="E41" s="2">
        <v>891</v>
      </c>
    </row>
    <row r="42" spans="1:5" ht="21.75" customHeight="1" x14ac:dyDescent="0.25">
      <c r="A42" s="2">
        <v>29</v>
      </c>
      <c r="B42" s="2" t="s">
        <v>336</v>
      </c>
      <c r="C42" s="2">
        <v>7905</v>
      </c>
      <c r="D42" s="2">
        <v>3839</v>
      </c>
      <c r="E42" s="2">
        <v>4066</v>
      </c>
    </row>
    <row r="43" spans="1:5" ht="21.75" customHeight="1" x14ac:dyDescent="0.25">
      <c r="A43" s="2">
        <v>30</v>
      </c>
      <c r="B43" s="2" t="s">
        <v>337</v>
      </c>
      <c r="C43" s="2">
        <v>1990</v>
      </c>
      <c r="D43" s="2">
        <v>997</v>
      </c>
      <c r="E43" s="2">
        <v>993</v>
      </c>
    </row>
    <row r="44" spans="1:5" ht="21.75" customHeight="1" x14ac:dyDescent="0.25">
      <c r="A44" s="2">
        <v>31</v>
      </c>
      <c r="B44" s="2" t="s">
        <v>338</v>
      </c>
      <c r="C44" s="2">
        <v>4330</v>
      </c>
      <c r="D44" s="2">
        <v>2156</v>
      </c>
      <c r="E44" s="2">
        <v>2174</v>
      </c>
    </row>
    <row r="45" spans="1:5" ht="21.75" customHeight="1" x14ac:dyDescent="0.25">
      <c r="A45" s="2">
        <v>32</v>
      </c>
      <c r="B45" s="2" t="s">
        <v>339</v>
      </c>
      <c r="C45" s="2">
        <v>4298</v>
      </c>
      <c r="D45" s="2">
        <v>2068</v>
      </c>
      <c r="E45" s="2">
        <v>2230</v>
      </c>
    </row>
    <row r="46" spans="1:5" ht="21.75" customHeight="1" x14ac:dyDescent="0.25">
      <c r="A46" s="2">
        <v>33</v>
      </c>
      <c r="B46" s="2" t="s">
        <v>340</v>
      </c>
      <c r="C46" s="2">
        <v>3658</v>
      </c>
      <c r="D46" s="2">
        <v>1859</v>
      </c>
      <c r="E46" s="2">
        <v>1799</v>
      </c>
    </row>
    <row r="47" spans="1:5" ht="21.75" customHeight="1" x14ac:dyDescent="0.25">
      <c r="A47" s="2">
        <v>34</v>
      </c>
      <c r="B47" s="2" t="s">
        <v>341</v>
      </c>
      <c r="C47" s="2">
        <v>2214</v>
      </c>
      <c r="D47" s="2">
        <v>1064</v>
      </c>
      <c r="E47" s="2">
        <v>1150</v>
      </c>
    </row>
    <row r="48" spans="1:5" ht="21.75" customHeight="1" x14ac:dyDescent="0.25">
      <c r="A48" s="2">
        <v>35</v>
      </c>
      <c r="B48" s="2" t="s">
        <v>342</v>
      </c>
      <c r="C48" s="2">
        <v>950</v>
      </c>
      <c r="D48" s="2">
        <v>471</v>
      </c>
      <c r="E48" s="2">
        <v>479</v>
      </c>
    </row>
    <row r="49" spans="1:5" ht="21.75" customHeight="1" x14ac:dyDescent="0.25">
      <c r="A49" s="2">
        <v>36</v>
      </c>
      <c r="B49" s="2" t="s">
        <v>343</v>
      </c>
      <c r="C49" s="2">
        <v>3264</v>
      </c>
      <c r="D49" s="2">
        <v>1510</v>
      </c>
      <c r="E49" s="2">
        <v>1754</v>
      </c>
    </row>
    <row r="50" spans="1:5" ht="21.75" customHeight="1" x14ac:dyDescent="0.25">
      <c r="A50" s="2">
        <v>37</v>
      </c>
      <c r="B50" s="2" t="s">
        <v>344</v>
      </c>
      <c r="C50" s="2">
        <v>586</v>
      </c>
      <c r="D50" s="2">
        <v>303</v>
      </c>
      <c r="E50" s="2">
        <v>283</v>
      </c>
    </row>
    <row r="51" spans="1:5" ht="21.75" customHeight="1" x14ac:dyDescent="0.25">
      <c r="A51" s="2">
        <v>38</v>
      </c>
      <c r="B51" s="2" t="s">
        <v>345</v>
      </c>
      <c r="C51" s="2">
        <v>2440</v>
      </c>
      <c r="D51" s="2">
        <v>1173</v>
      </c>
      <c r="E51" s="2">
        <v>1267</v>
      </c>
    </row>
    <row r="52" spans="1:5" ht="21.75" customHeight="1" x14ac:dyDescent="0.25">
      <c r="A52" s="2">
        <v>39</v>
      </c>
      <c r="B52" s="2" t="s">
        <v>134</v>
      </c>
      <c r="C52" s="2">
        <v>2829</v>
      </c>
      <c r="D52" s="2">
        <v>1396</v>
      </c>
      <c r="E52" s="2">
        <v>1433</v>
      </c>
    </row>
    <row r="53" spans="1:5" ht="21.75" customHeight="1" x14ac:dyDescent="0.25">
      <c r="A53" s="2">
        <v>40</v>
      </c>
      <c r="B53" s="2" t="s">
        <v>346</v>
      </c>
      <c r="C53" s="2">
        <v>4683</v>
      </c>
      <c r="D53" s="2">
        <v>2261</v>
      </c>
      <c r="E53" s="2">
        <v>2422</v>
      </c>
    </row>
    <row r="54" spans="1:5" ht="21.75" customHeight="1" x14ac:dyDescent="0.25">
      <c r="A54" s="2">
        <v>41</v>
      </c>
      <c r="B54" s="2" t="s">
        <v>347</v>
      </c>
      <c r="C54" s="2">
        <v>4361</v>
      </c>
      <c r="D54" s="2">
        <v>2081</v>
      </c>
      <c r="E54" s="2">
        <v>2280</v>
      </c>
    </row>
    <row r="55" spans="1:5" ht="21.75" customHeight="1" x14ac:dyDescent="0.25">
      <c r="A55" s="2">
        <v>42</v>
      </c>
      <c r="B55" s="2" t="s">
        <v>121</v>
      </c>
      <c r="C55" s="2">
        <v>2059</v>
      </c>
      <c r="D55" s="2">
        <v>968</v>
      </c>
      <c r="E55" s="2">
        <v>1091</v>
      </c>
    </row>
    <row r="56" spans="1:5" ht="21.75" customHeight="1" x14ac:dyDescent="0.25">
      <c r="A56" s="2">
        <v>43</v>
      </c>
      <c r="B56" s="2" t="s">
        <v>348</v>
      </c>
      <c r="C56" s="2">
        <v>2164</v>
      </c>
      <c r="D56" s="2">
        <v>1014</v>
      </c>
      <c r="E56" s="2">
        <v>1150</v>
      </c>
    </row>
    <row r="57" spans="1:5" ht="21.75" customHeight="1" x14ac:dyDescent="0.25">
      <c r="A57" s="2">
        <v>44</v>
      </c>
      <c r="B57" s="2" t="s">
        <v>349</v>
      </c>
      <c r="C57" s="2">
        <v>22355</v>
      </c>
      <c r="D57" s="2">
        <v>10870</v>
      </c>
      <c r="E57" s="2">
        <v>11485</v>
      </c>
    </row>
    <row r="58" spans="1:5" ht="21.75" customHeight="1" x14ac:dyDescent="0.25">
      <c r="A58" s="2">
        <v>45</v>
      </c>
      <c r="B58" s="2" t="s">
        <v>350</v>
      </c>
      <c r="C58" s="2">
        <v>2403</v>
      </c>
      <c r="D58" s="2">
        <v>1140</v>
      </c>
      <c r="E58" s="2">
        <v>1263</v>
      </c>
    </row>
    <row r="59" spans="1:5" ht="21.75" customHeight="1" x14ac:dyDescent="0.25">
      <c r="A59" s="2">
        <v>46</v>
      </c>
      <c r="B59" s="2" t="s">
        <v>351</v>
      </c>
      <c r="C59" s="2">
        <v>3546</v>
      </c>
      <c r="D59" s="2">
        <v>1741</v>
      </c>
      <c r="E59" s="2">
        <v>1805</v>
      </c>
    </row>
    <row r="60" spans="1:5" ht="21.75" customHeight="1" x14ac:dyDescent="0.25">
      <c r="A60" s="2">
        <v>47</v>
      </c>
      <c r="B60" s="2" t="s">
        <v>352</v>
      </c>
      <c r="C60" s="2">
        <v>8228</v>
      </c>
      <c r="D60" s="2">
        <v>3982</v>
      </c>
      <c r="E60" s="2">
        <v>4246</v>
      </c>
    </row>
    <row r="61" spans="1:5" ht="21.75" customHeight="1" x14ac:dyDescent="0.25">
      <c r="A61" s="2">
        <v>48</v>
      </c>
      <c r="B61" s="2" t="s">
        <v>353</v>
      </c>
      <c r="C61" s="2">
        <v>968</v>
      </c>
      <c r="D61" s="2">
        <v>452</v>
      </c>
      <c r="E61" s="2">
        <v>516</v>
      </c>
    </row>
    <row r="62" spans="1:5" ht="21.75" customHeight="1" x14ac:dyDescent="0.25">
      <c r="A62" s="2">
        <v>49</v>
      </c>
      <c r="B62" s="2" t="s">
        <v>354</v>
      </c>
      <c r="C62" s="2">
        <v>3856</v>
      </c>
      <c r="D62" s="2">
        <v>1840</v>
      </c>
      <c r="E62" s="2">
        <v>2016</v>
      </c>
    </row>
    <row r="63" spans="1:5" ht="21.75" customHeight="1" x14ac:dyDescent="0.25">
      <c r="A63" s="3">
        <v>50</v>
      </c>
      <c r="B63" s="3" t="s">
        <v>355</v>
      </c>
      <c r="C63" s="3">
        <v>3303</v>
      </c>
      <c r="D63" s="3">
        <v>1540</v>
      </c>
      <c r="E63" s="3">
        <v>1763</v>
      </c>
    </row>
  </sheetData>
  <mergeCells count="4">
    <mergeCell ref="A1:E1"/>
    <mergeCell ref="A3:A4"/>
    <mergeCell ref="B3:B4"/>
    <mergeCell ref="C3:E3"/>
  </mergeCells>
  <hyperlinks>
    <hyperlink ref="A1:E1" location="'List of Township'!A1" display="Mon State,Thaton District, Paung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sqref="A1:E1"/>
    </sheetView>
  </sheetViews>
  <sheetFormatPr defaultRowHeight="15" x14ac:dyDescent="0.25"/>
  <cols>
    <col min="1" max="1" width="5.85546875" customWidth="1"/>
    <col min="2" max="2" width="33.5703125" customWidth="1"/>
    <col min="3" max="5" width="15.7109375" customWidth="1"/>
  </cols>
  <sheetData>
    <row r="1" spans="1:6" ht="25.5" customHeight="1" x14ac:dyDescent="0.35">
      <c r="A1" s="32" t="s">
        <v>460</v>
      </c>
      <c r="B1" s="32"/>
      <c r="C1" s="32"/>
      <c r="D1" s="32"/>
      <c r="E1" s="32"/>
      <c r="F1" s="11"/>
    </row>
    <row r="2" spans="1:6" ht="21" x14ac:dyDescent="0.35">
      <c r="B2" s="12"/>
      <c r="C2" s="12"/>
      <c r="D2" s="12"/>
      <c r="E2" s="24" t="s">
        <v>449</v>
      </c>
    </row>
    <row r="3" spans="1:6" ht="22.5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6" ht="22.5" customHeight="1" x14ac:dyDescent="0.25">
      <c r="A4" s="31"/>
      <c r="B4" s="31"/>
      <c r="C4" s="14" t="s">
        <v>0</v>
      </c>
      <c r="D4" s="14" t="s">
        <v>1</v>
      </c>
      <c r="E4" s="14" t="s">
        <v>2</v>
      </c>
    </row>
    <row r="5" spans="1:6" ht="21.75" customHeight="1" x14ac:dyDescent="0.25">
      <c r="A5" s="2"/>
      <c r="B5" s="6" t="s">
        <v>0</v>
      </c>
      <c r="C5" s="4">
        <v>184532</v>
      </c>
      <c r="D5" s="4">
        <v>90031</v>
      </c>
      <c r="E5" s="4">
        <v>94501</v>
      </c>
    </row>
    <row r="6" spans="1:6" ht="12" customHeight="1" x14ac:dyDescent="0.25">
      <c r="A6" s="2"/>
      <c r="B6" s="2"/>
      <c r="C6" s="2"/>
      <c r="D6" s="2"/>
      <c r="E6" s="2"/>
    </row>
    <row r="7" spans="1:6" ht="21.75" customHeight="1" x14ac:dyDescent="0.25">
      <c r="A7" s="2"/>
      <c r="B7" s="20" t="s">
        <v>462</v>
      </c>
      <c r="C7" s="4">
        <f>SUM(C8:C13)</f>
        <v>35224</v>
      </c>
      <c r="D7" s="4">
        <f t="shared" ref="D7:E7" si="0">SUM(D8:D13)</f>
        <v>16622</v>
      </c>
      <c r="E7" s="4">
        <f t="shared" si="0"/>
        <v>18602</v>
      </c>
    </row>
    <row r="8" spans="1:6" ht="21.75" customHeight="1" x14ac:dyDescent="0.25">
      <c r="A8" s="2">
        <v>1</v>
      </c>
      <c r="B8" s="2" t="s">
        <v>356</v>
      </c>
      <c r="C8" s="2">
        <v>3661</v>
      </c>
      <c r="D8" s="2">
        <v>1714</v>
      </c>
      <c r="E8" s="2">
        <v>1947</v>
      </c>
    </row>
    <row r="9" spans="1:6" ht="21.75" customHeight="1" x14ac:dyDescent="0.25">
      <c r="A9" s="2">
        <v>2</v>
      </c>
      <c r="B9" s="2" t="s">
        <v>357</v>
      </c>
      <c r="C9" s="2">
        <v>2893</v>
      </c>
      <c r="D9" s="2">
        <v>1354</v>
      </c>
      <c r="E9" s="2">
        <v>1539</v>
      </c>
    </row>
    <row r="10" spans="1:6" ht="21.75" customHeight="1" x14ac:dyDescent="0.25">
      <c r="A10" s="2">
        <v>3</v>
      </c>
      <c r="B10" s="2" t="s">
        <v>358</v>
      </c>
      <c r="C10" s="2">
        <v>7546</v>
      </c>
      <c r="D10" s="2">
        <v>3590</v>
      </c>
      <c r="E10" s="2">
        <v>3956</v>
      </c>
    </row>
    <row r="11" spans="1:6" ht="21.75" customHeight="1" x14ac:dyDescent="0.25">
      <c r="A11" s="2">
        <v>4</v>
      </c>
      <c r="B11" s="2" t="s">
        <v>359</v>
      </c>
      <c r="C11" s="2">
        <v>5110</v>
      </c>
      <c r="D11" s="2">
        <v>2452</v>
      </c>
      <c r="E11" s="2">
        <v>2658</v>
      </c>
    </row>
    <row r="12" spans="1:6" ht="21.75" customHeight="1" x14ac:dyDescent="0.25">
      <c r="A12" s="2">
        <v>5</v>
      </c>
      <c r="B12" s="2" t="s">
        <v>360</v>
      </c>
      <c r="C12" s="2">
        <v>8995</v>
      </c>
      <c r="D12" s="2">
        <v>4185</v>
      </c>
      <c r="E12" s="2">
        <v>4810</v>
      </c>
    </row>
    <row r="13" spans="1:6" ht="21.75" customHeight="1" x14ac:dyDescent="0.25">
      <c r="A13" s="2">
        <v>6</v>
      </c>
      <c r="B13" s="2" t="s">
        <v>361</v>
      </c>
      <c r="C13" s="2">
        <v>7019</v>
      </c>
      <c r="D13" s="2">
        <v>3327</v>
      </c>
      <c r="E13" s="2">
        <v>3692</v>
      </c>
    </row>
    <row r="14" spans="1:6" ht="12.75" customHeight="1" x14ac:dyDescent="0.25">
      <c r="A14" s="2"/>
      <c r="B14" s="2"/>
      <c r="C14" s="2"/>
      <c r="D14" s="2"/>
      <c r="E14" s="2"/>
    </row>
    <row r="15" spans="1:6" ht="21.75" customHeight="1" x14ac:dyDescent="0.25">
      <c r="A15" s="2"/>
      <c r="B15" s="20" t="s">
        <v>463</v>
      </c>
      <c r="C15" s="4">
        <f>SUM(C16:C50)</f>
        <v>149308</v>
      </c>
      <c r="D15" s="4">
        <f t="shared" ref="D15:E15" si="1">SUM(D16:D50)</f>
        <v>73409</v>
      </c>
      <c r="E15" s="4">
        <f t="shared" si="1"/>
        <v>75899</v>
      </c>
    </row>
    <row r="16" spans="1:6" ht="21.75" customHeight="1" x14ac:dyDescent="0.25">
      <c r="A16" s="2">
        <v>1</v>
      </c>
      <c r="B16" s="2" t="s">
        <v>362</v>
      </c>
      <c r="C16" s="2">
        <v>2931</v>
      </c>
      <c r="D16" s="2">
        <v>1480</v>
      </c>
      <c r="E16" s="2">
        <v>1451</v>
      </c>
    </row>
    <row r="17" spans="1:5" ht="21.75" customHeight="1" x14ac:dyDescent="0.25">
      <c r="A17" s="2">
        <v>2</v>
      </c>
      <c r="B17" s="2" t="s">
        <v>363</v>
      </c>
      <c r="C17" s="2">
        <v>2061</v>
      </c>
      <c r="D17" s="2">
        <v>967</v>
      </c>
      <c r="E17" s="2">
        <v>1094</v>
      </c>
    </row>
    <row r="18" spans="1:5" ht="21.75" customHeight="1" x14ac:dyDescent="0.25">
      <c r="A18" s="2">
        <v>3</v>
      </c>
      <c r="B18" s="2" t="s">
        <v>364</v>
      </c>
      <c r="C18" s="2">
        <v>2189</v>
      </c>
      <c r="D18" s="2">
        <v>1269</v>
      </c>
      <c r="E18" s="2">
        <v>920</v>
      </c>
    </row>
    <row r="19" spans="1:5" ht="21.75" customHeight="1" x14ac:dyDescent="0.25">
      <c r="A19" s="2">
        <v>4</v>
      </c>
      <c r="B19" s="2" t="s">
        <v>365</v>
      </c>
      <c r="C19" s="2">
        <v>1516</v>
      </c>
      <c r="D19" s="2">
        <v>784</v>
      </c>
      <c r="E19" s="2">
        <v>732</v>
      </c>
    </row>
    <row r="20" spans="1:5" ht="21.75" customHeight="1" x14ac:dyDescent="0.25">
      <c r="A20" s="2">
        <v>5</v>
      </c>
      <c r="B20" s="2" t="s">
        <v>366</v>
      </c>
      <c r="C20" s="2">
        <v>4059</v>
      </c>
      <c r="D20" s="2">
        <v>2042</v>
      </c>
      <c r="E20" s="2">
        <v>2017</v>
      </c>
    </row>
    <row r="21" spans="1:5" ht="21.75" customHeight="1" x14ac:dyDescent="0.25">
      <c r="A21" s="2">
        <v>6</v>
      </c>
      <c r="B21" s="2" t="s">
        <v>367</v>
      </c>
      <c r="C21" s="2">
        <v>4371</v>
      </c>
      <c r="D21" s="2">
        <v>2125</v>
      </c>
      <c r="E21" s="2">
        <v>2246</v>
      </c>
    </row>
    <row r="22" spans="1:5" ht="21.75" customHeight="1" x14ac:dyDescent="0.25">
      <c r="A22" s="2">
        <v>7</v>
      </c>
      <c r="B22" s="2" t="s">
        <v>368</v>
      </c>
      <c r="C22" s="2">
        <v>2661</v>
      </c>
      <c r="D22" s="2">
        <v>1296</v>
      </c>
      <c r="E22" s="2">
        <v>1365</v>
      </c>
    </row>
    <row r="23" spans="1:5" ht="21.75" customHeight="1" x14ac:dyDescent="0.25">
      <c r="A23" s="2">
        <v>8</v>
      </c>
      <c r="B23" s="2" t="s">
        <v>369</v>
      </c>
      <c r="C23" s="2">
        <v>2574</v>
      </c>
      <c r="D23" s="2">
        <v>1309</v>
      </c>
      <c r="E23" s="2">
        <v>1265</v>
      </c>
    </row>
    <row r="24" spans="1:5" ht="21.75" customHeight="1" x14ac:dyDescent="0.25">
      <c r="A24" s="2">
        <v>9</v>
      </c>
      <c r="B24" s="2" t="s">
        <v>370</v>
      </c>
      <c r="C24" s="2">
        <v>2736</v>
      </c>
      <c r="D24" s="2">
        <v>1333</v>
      </c>
      <c r="E24" s="2">
        <v>1403</v>
      </c>
    </row>
    <row r="25" spans="1:5" ht="21.75" customHeight="1" x14ac:dyDescent="0.25">
      <c r="A25" s="2">
        <v>10</v>
      </c>
      <c r="B25" s="2" t="s">
        <v>371</v>
      </c>
      <c r="C25" s="2">
        <v>1578</v>
      </c>
      <c r="D25" s="2">
        <v>773</v>
      </c>
      <c r="E25" s="2">
        <v>805</v>
      </c>
    </row>
    <row r="26" spans="1:5" ht="21.75" customHeight="1" x14ac:dyDescent="0.25">
      <c r="A26" s="2">
        <v>11</v>
      </c>
      <c r="B26" s="2" t="s">
        <v>372</v>
      </c>
      <c r="C26" s="2">
        <v>4553</v>
      </c>
      <c r="D26" s="2">
        <v>2220</v>
      </c>
      <c r="E26" s="2">
        <v>2333</v>
      </c>
    </row>
    <row r="27" spans="1:5" ht="21.75" customHeight="1" x14ac:dyDescent="0.25">
      <c r="A27" s="2">
        <v>12</v>
      </c>
      <c r="B27" s="2" t="s">
        <v>373</v>
      </c>
      <c r="C27" s="2">
        <v>2550</v>
      </c>
      <c r="D27" s="2">
        <v>1217</v>
      </c>
      <c r="E27" s="2">
        <v>1333</v>
      </c>
    </row>
    <row r="28" spans="1:5" ht="21.75" customHeight="1" x14ac:dyDescent="0.25">
      <c r="A28" s="2">
        <v>13</v>
      </c>
      <c r="B28" s="2" t="s">
        <v>174</v>
      </c>
      <c r="C28" s="2">
        <v>2324</v>
      </c>
      <c r="D28" s="2">
        <v>1132</v>
      </c>
      <c r="E28" s="2">
        <v>1192</v>
      </c>
    </row>
    <row r="29" spans="1:5" ht="21.75" customHeight="1" x14ac:dyDescent="0.25">
      <c r="A29" s="2">
        <v>14</v>
      </c>
      <c r="B29" s="2" t="s">
        <v>374</v>
      </c>
      <c r="C29" s="2">
        <v>6275</v>
      </c>
      <c r="D29" s="2">
        <v>3056</v>
      </c>
      <c r="E29" s="2">
        <v>3219</v>
      </c>
    </row>
    <row r="30" spans="1:5" ht="21.75" customHeight="1" x14ac:dyDescent="0.25">
      <c r="A30" s="2">
        <v>15</v>
      </c>
      <c r="B30" s="2" t="s">
        <v>375</v>
      </c>
      <c r="C30" s="2">
        <v>3605</v>
      </c>
      <c r="D30" s="2">
        <v>1753</v>
      </c>
      <c r="E30" s="2">
        <v>1852</v>
      </c>
    </row>
    <row r="31" spans="1:5" ht="21.75" customHeight="1" x14ac:dyDescent="0.25">
      <c r="A31" s="2">
        <v>16</v>
      </c>
      <c r="B31" s="2" t="s">
        <v>376</v>
      </c>
      <c r="C31" s="2">
        <v>20647</v>
      </c>
      <c r="D31" s="2">
        <v>9794</v>
      </c>
      <c r="E31" s="2">
        <v>10853</v>
      </c>
    </row>
    <row r="32" spans="1:5" ht="21.75" customHeight="1" x14ac:dyDescent="0.25">
      <c r="A32" s="2">
        <v>17</v>
      </c>
      <c r="B32" s="2" t="s">
        <v>377</v>
      </c>
      <c r="C32" s="2">
        <v>4448</v>
      </c>
      <c r="D32" s="2">
        <v>2209</v>
      </c>
      <c r="E32" s="2">
        <v>2239</v>
      </c>
    </row>
    <row r="33" spans="1:5" ht="21.75" customHeight="1" x14ac:dyDescent="0.25">
      <c r="A33" s="2">
        <v>18</v>
      </c>
      <c r="B33" s="2" t="s">
        <v>378</v>
      </c>
      <c r="C33" s="2">
        <v>386</v>
      </c>
      <c r="D33" s="2">
        <v>197</v>
      </c>
      <c r="E33" s="2">
        <v>189</v>
      </c>
    </row>
    <row r="34" spans="1:5" ht="21.75" customHeight="1" x14ac:dyDescent="0.25">
      <c r="A34" s="2">
        <v>19</v>
      </c>
      <c r="B34" s="2" t="s">
        <v>379</v>
      </c>
      <c r="C34" s="2">
        <v>3544</v>
      </c>
      <c r="D34" s="2">
        <v>1719</v>
      </c>
      <c r="E34" s="2">
        <v>1825</v>
      </c>
    </row>
    <row r="35" spans="1:5" ht="21.75" customHeight="1" x14ac:dyDescent="0.25">
      <c r="A35" s="2">
        <v>20</v>
      </c>
      <c r="B35" s="2" t="s">
        <v>380</v>
      </c>
      <c r="C35" s="2">
        <v>4107</v>
      </c>
      <c r="D35" s="2">
        <v>2285</v>
      </c>
      <c r="E35" s="2">
        <v>1822</v>
      </c>
    </row>
    <row r="36" spans="1:5" ht="21.75" customHeight="1" x14ac:dyDescent="0.25">
      <c r="A36" s="2">
        <v>21</v>
      </c>
      <c r="B36" s="2" t="s">
        <v>381</v>
      </c>
      <c r="C36" s="2">
        <v>3149</v>
      </c>
      <c r="D36" s="2">
        <v>1573</v>
      </c>
      <c r="E36" s="2">
        <v>1576</v>
      </c>
    </row>
    <row r="37" spans="1:5" ht="21.75" customHeight="1" x14ac:dyDescent="0.25">
      <c r="A37" s="2">
        <v>22</v>
      </c>
      <c r="B37" s="2" t="s">
        <v>382</v>
      </c>
      <c r="C37" s="2">
        <v>2262</v>
      </c>
      <c r="D37" s="2">
        <v>1129</v>
      </c>
      <c r="E37" s="2">
        <v>1133</v>
      </c>
    </row>
    <row r="38" spans="1:5" ht="21.75" customHeight="1" x14ac:dyDescent="0.25">
      <c r="A38" s="2">
        <v>23</v>
      </c>
      <c r="B38" s="2" t="s">
        <v>383</v>
      </c>
      <c r="C38" s="2">
        <v>22853</v>
      </c>
      <c r="D38" s="2">
        <v>11013</v>
      </c>
      <c r="E38" s="2">
        <v>11840</v>
      </c>
    </row>
    <row r="39" spans="1:5" ht="21.75" customHeight="1" x14ac:dyDescent="0.25">
      <c r="A39" s="2">
        <v>24</v>
      </c>
      <c r="B39" s="2" t="s">
        <v>384</v>
      </c>
      <c r="C39" s="2">
        <v>2962</v>
      </c>
      <c r="D39" s="2">
        <v>1438</v>
      </c>
      <c r="E39" s="2">
        <v>1524</v>
      </c>
    </row>
    <row r="40" spans="1:5" ht="21.75" customHeight="1" x14ac:dyDescent="0.25">
      <c r="A40" s="2">
        <v>25</v>
      </c>
      <c r="B40" s="2" t="s">
        <v>385</v>
      </c>
      <c r="C40" s="2">
        <v>3553</v>
      </c>
      <c r="D40" s="2">
        <v>1722</v>
      </c>
      <c r="E40" s="2">
        <v>1831</v>
      </c>
    </row>
    <row r="41" spans="1:5" ht="21.75" customHeight="1" x14ac:dyDescent="0.25">
      <c r="A41" s="2">
        <v>26</v>
      </c>
      <c r="B41" s="2" t="s">
        <v>386</v>
      </c>
      <c r="C41" s="2">
        <v>3608</v>
      </c>
      <c r="D41" s="2">
        <v>1902</v>
      </c>
      <c r="E41" s="2">
        <v>1706</v>
      </c>
    </row>
    <row r="42" spans="1:5" ht="21.75" customHeight="1" x14ac:dyDescent="0.25">
      <c r="A42" s="2">
        <v>27</v>
      </c>
      <c r="B42" s="2" t="s">
        <v>387</v>
      </c>
      <c r="C42" s="2">
        <v>7714</v>
      </c>
      <c r="D42" s="2">
        <v>3670</v>
      </c>
      <c r="E42" s="2">
        <v>4044</v>
      </c>
    </row>
    <row r="43" spans="1:5" ht="21.75" customHeight="1" x14ac:dyDescent="0.25">
      <c r="A43" s="2">
        <v>28</v>
      </c>
      <c r="B43" s="2" t="s">
        <v>388</v>
      </c>
      <c r="C43" s="2">
        <v>679</v>
      </c>
      <c r="D43" s="2">
        <v>337</v>
      </c>
      <c r="E43" s="2">
        <v>342</v>
      </c>
    </row>
    <row r="44" spans="1:5" ht="21.75" customHeight="1" x14ac:dyDescent="0.25">
      <c r="A44" s="2">
        <v>29</v>
      </c>
      <c r="B44" s="2" t="s">
        <v>389</v>
      </c>
      <c r="C44" s="2">
        <v>2974</v>
      </c>
      <c r="D44" s="2">
        <v>1426</v>
      </c>
      <c r="E44" s="2">
        <v>1548</v>
      </c>
    </row>
    <row r="45" spans="1:5" ht="21.75" customHeight="1" x14ac:dyDescent="0.25">
      <c r="A45" s="2">
        <v>30</v>
      </c>
      <c r="B45" s="2" t="s">
        <v>390</v>
      </c>
      <c r="C45" s="2">
        <v>2136</v>
      </c>
      <c r="D45" s="2">
        <v>1026</v>
      </c>
      <c r="E45" s="2">
        <v>1110</v>
      </c>
    </row>
    <row r="46" spans="1:5" ht="21.75" customHeight="1" x14ac:dyDescent="0.25">
      <c r="A46" s="2">
        <v>31</v>
      </c>
      <c r="B46" s="2" t="s">
        <v>391</v>
      </c>
      <c r="C46" s="2">
        <v>2640</v>
      </c>
      <c r="D46" s="2">
        <v>1256</v>
      </c>
      <c r="E46" s="2">
        <v>1384</v>
      </c>
    </row>
    <row r="47" spans="1:5" ht="21.75" customHeight="1" x14ac:dyDescent="0.25">
      <c r="A47" s="2">
        <v>32</v>
      </c>
      <c r="B47" s="2" t="s">
        <v>392</v>
      </c>
      <c r="C47" s="2">
        <v>1977</v>
      </c>
      <c r="D47" s="2">
        <v>1004</v>
      </c>
      <c r="E47" s="2">
        <v>973</v>
      </c>
    </row>
    <row r="48" spans="1:5" ht="21.75" customHeight="1" x14ac:dyDescent="0.25">
      <c r="A48" s="2">
        <v>33</v>
      </c>
      <c r="B48" s="2" t="s">
        <v>393</v>
      </c>
      <c r="C48" s="2">
        <v>4472</v>
      </c>
      <c r="D48" s="2">
        <v>2375</v>
      </c>
      <c r="E48" s="2">
        <v>2097</v>
      </c>
    </row>
    <row r="49" spans="1:5" ht="21.75" customHeight="1" x14ac:dyDescent="0.25">
      <c r="A49" s="2">
        <v>34</v>
      </c>
      <c r="B49" s="2" t="s">
        <v>394</v>
      </c>
      <c r="C49" s="2">
        <v>2780</v>
      </c>
      <c r="D49" s="2">
        <v>1438</v>
      </c>
      <c r="E49" s="2">
        <v>1342</v>
      </c>
    </row>
    <row r="50" spans="1:5" ht="21.75" customHeight="1" x14ac:dyDescent="0.25">
      <c r="A50" s="3">
        <v>35</v>
      </c>
      <c r="B50" s="3" t="s">
        <v>395</v>
      </c>
      <c r="C50" s="3">
        <v>6434</v>
      </c>
      <c r="D50" s="3">
        <v>3140</v>
      </c>
      <c r="E50" s="3">
        <v>3294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Mon State,Thaton District, Kyaikto Township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24.7109375" customWidth="1"/>
    <col min="3" max="5" width="15.7109375" customWidth="1"/>
  </cols>
  <sheetData>
    <row r="1" spans="1:7" ht="27.75" customHeight="1" x14ac:dyDescent="0.25">
      <c r="A1" s="32" t="s">
        <v>461</v>
      </c>
      <c r="B1" s="32"/>
      <c r="C1" s="32"/>
      <c r="D1" s="32"/>
      <c r="E1" s="32"/>
    </row>
    <row r="2" spans="1:7" ht="21" x14ac:dyDescent="0.35">
      <c r="A2" s="12"/>
      <c r="B2" s="12"/>
      <c r="C2" s="12"/>
      <c r="D2" s="12"/>
      <c r="E2" s="24" t="s">
        <v>449</v>
      </c>
    </row>
    <row r="3" spans="1:7" ht="23.25" customHeight="1" x14ac:dyDescent="0.25">
      <c r="A3" s="30" t="s">
        <v>447</v>
      </c>
      <c r="B3" s="30" t="s">
        <v>464</v>
      </c>
      <c r="C3" s="26" t="s">
        <v>448</v>
      </c>
      <c r="D3" s="26"/>
      <c r="E3" s="26"/>
    </row>
    <row r="4" spans="1:7" ht="21.75" customHeight="1" x14ac:dyDescent="0.25">
      <c r="A4" s="31"/>
      <c r="B4" s="31"/>
      <c r="C4" s="13" t="s">
        <v>0</v>
      </c>
      <c r="D4" s="13" t="s">
        <v>1</v>
      </c>
      <c r="E4" s="13" t="s">
        <v>2</v>
      </c>
    </row>
    <row r="5" spans="1:7" ht="22.5" customHeight="1" x14ac:dyDescent="0.25">
      <c r="A5" s="5"/>
      <c r="B5" s="6" t="s">
        <v>0</v>
      </c>
      <c r="C5" s="6">
        <v>181075</v>
      </c>
      <c r="D5" s="6">
        <v>87920</v>
      </c>
      <c r="E5" s="6">
        <v>93155</v>
      </c>
    </row>
    <row r="6" spans="1:7" ht="10.5" customHeight="1" x14ac:dyDescent="0.25">
      <c r="A6" s="2"/>
      <c r="B6" s="4"/>
      <c r="C6" s="4"/>
      <c r="D6" s="4"/>
      <c r="E6" s="4"/>
    </row>
    <row r="7" spans="1:7" ht="22.5" customHeight="1" x14ac:dyDescent="0.25">
      <c r="A7" s="2"/>
      <c r="B7" s="20" t="s">
        <v>462</v>
      </c>
      <c r="C7" s="4">
        <f>SUM(C8:C12)</f>
        <v>18392</v>
      </c>
      <c r="D7" s="4">
        <f t="shared" ref="D7:E7" si="0">SUM(D8:D12)</f>
        <v>8908</v>
      </c>
      <c r="E7" s="4">
        <f t="shared" si="0"/>
        <v>9484</v>
      </c>
    </row>
    <row r="8" spans="1:7" ht="22.5" customHeight="1" x14ac:dyDescent="0.25">
      <c r="A8" s="2">
        <v>1</v>
      </c>
      <c r="B8" s="2" t="s">
        <v>396</v>
      </c>
      <c r="C8" s="2">
        <v>2733</v>
      </c>
      <c r="D8" s="2">
        <v>1376</v>
      </c>
      <c r="E8" s="2">
        <v>1357</v>
      </c>
      <c r="G8" s="23"/>
    </row>
    <row r="9" spans="1:7" ht="22.5" customHeight="1" x14ac:dyDescent="0.25">
      <c r="A9" s="2">
        <v>2</v>
      </c>
      <c r="B9" s="2" t="s">
        <v>397</v>
      </c>
      <c r="C9" s="2">
        <v>3775</v>
      </c>
      <c r="D9" s="2">
        <v>1750</v>
      </c>
      <c r="E9" s="2">
        <v>2025</v>
      </c>
    </row>
    <row r="10" spans="1:7" ht="15.75" x14ac:dyDescent="0.25">
      <c r="A10" s="2">
        <v>3</v>
      </c>
      <c r="B10" s="2" t="s">
        <v>398</v>
      </c>
      <c r="C10" s="2">
        <v>7326</v>
      </c>
      <c r="D10" s="2">
        <v>3584</v>
      </c>
      <c r="E10" s="2">
        <v>3742</v>
      </c>
    </row>
    <row r="11" spans="1:7" ht="15.75" x14ac:dyDescent="0.25">
      <c r="A11" s="2">
        <v>4</v>
      </c>
      <c r="B11" s="2" t="s">
        <v>399</v>
      </c>
      <c r="C11" s="2">
        <v>2460</v>
      </c>
      <c r="D11" s="2">
        <v>1163</v>
      </c>
      <c r="E11" s="2">
        <v>1297</v>
      </c>
    </row>
    <row r="12" spans="1:7" ht="15.75" x14ac:dyDescent="0.25">
      <c r="A12" s="2">
        <v>5</v>
      </c>
      <c r="B12" s="2" t="s">
        <v>400</v>
      </c>
      <c r="C12" s="2">
        <v>2098</v>
      </c>
      <c r="D12" s="2">
        <v>1035</v>
      </c>
      <c r="E12" s="2">
        <v>1063</v>
      </c>
    </row>
    <row r="13" spans="1:7" ht="12" customHeight="1" x14ac:dyDescent="0.25">
      <c r="A13" s="2"/>
      <c r="B13" s="2"/>
      <c r="C13" s="2"/>
      <c r="D13" s="2"/>
      <c r="E13" s="2"/>
    </row>
    <row r="14" spans="1:7" ht="21.75" customHeight="1" x14ac:dyDescent="0.25">
      <c r="A14" s="2"/>
      <c r="B14" s="20" t="s">
        <v>463</v>
      </c>
      <c r="C14" s="4">
        <f>SUM(C15:C64)</f>
        <v>162683</v>
      </c>
      <c r="D14" s="4">
        <f t="shared" ref="D14:E14" si="1">SUM(D15:D64)</f>
        <v>79012</v>
      </c>
      <c r="E14" s="4">
        <f t="shared" si="1"/>
        <v>83671</v>
      </c>
    </row>
    <row r="15" spans="1:7" ht="15.75" x14ac:dyDescent="0.25">
      <c r="A15" s="2">
        <v>1</v>
      </c>
      <c r="B15" s="2" t="s">
        <v>401</v>
      </c>
      <c r="C15" s="2">
        <v>4819</v>
      </c>
      <c r="D15" s="2">
        <v>2252</v>
      </c>
      <c r="E15" s="2">
        <v>2567</v>
      </c>
    </row>
    <row r="16" spans="1:7" ht="15.75" x14ac:dyDescent="0.25">
      <c r="A16" s="2">
        <v>2</v>
      </c>
      <c r="B16" s="2" t="s">
        <v>402</v>
      </c>
      <c r="C16" s="2">
        <v>5550</v>
      </c>
      <c r="D16" s="2">
        <v>2598</v>
      </c>
      <c r="E16" s="2">
        <v>2952</v>
      </c>
    </row>
    <row r="17" spans="1:5" ht="15.75" x14ac:dyDescent="0.25">
      <c r="A17" s="2">
        <v>3</v>
      </c>
      <c r="B17" s="2" t="s">
        <v>403</v>
      </c>
      <c r="C17" s="2">
        <v>2786</v>
      </c>
      <c r="D17" s="2">
        <v>1386</v>
      </c>
      <c r="E17" s="2">
        <v>1400</v>
      </c>
    </row>
    <row r="18" spans="1:5" ht="15.75" x14ac:dyDescent="0.25">
      <c r="A18" s="2">
        <v>4</v>
      </c>
      <c r="B18" s="2" t="s">
        <v>404</v>
      </c>
      <c r="C18" s="2">
        <v>2528</v>
      </c>
      <c r="D18" s="2">
        <v>1144</v>
      </c>
      <c r="E18" s="2">
        <v>1384</v>
      </c>
    </row>
    <row r="19" spans="1:5" ht="15.75" x14ac:dyDescent="0.25">
      <c r="A19" s="2">
        <v>5</v>
      </c>
      <c r="B19" s="2" t="s">
        <v>405</v>
      </c>
      <c r="C19" s="2">
        <v>667</v>
      </c>
      <c r="D19" s="2">
        <v>344</v>
      </c>
      <c r="E19" s="2">
        <v>323</v>
      </c>
    </row>
    <row r="20" spans="1:5" ht="15.75" x14ac:dyDescent="0.25">
      <c r="A20" s="2">
        <v>6</v>
      </c>
      <c r="B20" s="2" t="s">
        <v>406</v>
      </c>
      <c r="C20" s="2">
        <v>3747</v>
      </c>
      <c r="D20" s="2">
        <v>1762</v>
      </c>
      <c r="E20" s="2">
        <v>1985</v>
      </c>
    </row>
    <row r="21" spans="1:5" ht="15.75" x14ac:dyDescent="0.25">
      <c r="A21" s="2">
        <v>7</v>
      </c>
      <c r="B21" s="2" t="s">
        <v>407</v>
      </c>
      <c r="C21" s="2">
        <v>4214</v>
      </c>
      <c r="D21" s="2">
        <v>2076</v>
      </c>
      <c r="E21" s="2">
        <v>2138</v>
      </c>
    </row>
    <row r="22" spans="1:5" ht="15.75" x14ac:dyDescent="0.25">
      <c r="A22" s="2">
        <v>8</v>
      </c>
      <c r="B22" s="2" t="s">
        <v>408</v>
      </c>
      <c r="C22" s="2">
        <v>1231</v>
      </c>
      <c r="D22" s="2">
        <v>584</v>
      </c>
      <c r="E22" s="2">
        <v>647</v>
      </c>
    </row>
    <row r="23" spans="1:5" ht="15.75" x14ac:dyDescent="0.25">
      <c r="A23" s="2">
        <v>9</v>
      </c>
      <c r="B23" s="2" t="s">
        <v>409</v>
      </c>
      <c r="C23" s="2">
        <v>10749</v>
      </c>
      <c r="D23" s="2">
        <v>5126</v>
      </c>
      <c r="E23" s="2">
        <v>5623</v>
      </c>
    </row>
    <row r="24" spans="1:5" ht="15.75" x14ac:dyDescent="0.25">
      <c r="A24" s="2">
        <v>10</v>
      </c>
      <c r="B24" s="2" t="s">
        <v>410</v>
      </c>
      <c r="C24" s="2">
        <v>5397</v>
      </c>
      <c r="D24" s="2">
        <v>2746</v>
      </c>
      <c r="E24" s="2">
        <v>2651</v>
      </c>
    </row>
    <row r="25" spans="1:5" ht="15.75" x14ac:dyDescent="0.25">
      <c r="A25" s="2">
        <v>11</v>
      </c>
      <c r="B25" s="2" t="s">
        <v>411</v>
      </c>
      <c r="C25" s="2">
        <v>4787</v>
      </c>
      <c r="D25" s="2">
        <v>2287</v>
      </c>
      <c r="E25" s="2">
        <v>2500</v>
      </c>
    </row>
    <row r="26" spans="1:5" ht="15.75" x14ac:dyDescent="0.25">
      <c r="A26" s="2">
        <v>12</v>
      </c>
      <c r="B26" s="2" t="s">
        <v>412</v>
      </c>
      <c r="C26" s="2">
        <v>3541</v>
      </c>
      <c r="D26" s="2">
        <v>1693</v>
      </c>
      <c r="E26" s="2">
        <v>1848</v>
      </c>
    </row>
    <row r="27" spans="1:5" ht="15.75" x14ac:dyDescent="0.25">
      <c r="A27" s="2">
        <v>13</v>
      </c>
      <c r="B27" s="2" t="s">
        <v>127</v>
      </c>
      <c r="C27" s="2">
        <v>14038</v>
      </c>
      <c r="D27" s="2">
        <v>7020</v>
      </c>
      <c r="E27" s="2">
        <v>7018</v>
      </c>
    </row>
    <row r="28" spans="1:5" ht="15.75" x14ac:dyDescent="0.25">
      <c r="A28" s="2">
        <v>14</v>
      </c>
      <c r="B28" s="2" t="s">
        <v>413</v>
      </c>
      <c r="C28" s="2">
        <v>9278</v>
      </c>
      <c r="D28" s="2">
        <v>4542</v>
      </c>
      <c r="E28" s="2">
        <v>4736</v>
      </c>
    </row>
    <row r="29" spans="1:5" ht="15.75" x14ac:dyDescent="0.25">
      <c r="A29" s="2">
        <v>15</v>
      </c>
      <c r="B29" s="2" t="s">
        <v>414</v>
      </c>
      <c r="C29" s="2">
        <v>3663</v>
      </c>
      <c r="D29" s="2">
        <v>1780</v>
      </c>
      <c r="E29" s="2">
        <v>1883</v>
      </c>
    </row>
    <row r="30" spans="1:5" ht="15.75" x14ac:dyDescent="0.25">
      <c r="A30" s="2">
        <v>16</v>
      </c>
      <c r="B30" s="2" t="s">
        <v>415</v>
      </c>
      <c r="C30" s="2">
        <v>2621</v>
      </c>
      <c r="D30" s="2">
        <v>1297</v>
      </c>
      <c r="E30" s="2">
        <v>1324</v>
      </c>
    </row>
    <row r="31" spans="1:5" ht="15.75" x14ac:dyDescent="0.25">
      <c r="A31" s="2">
        <v>17</v>
      </c>
      <c r="B31" s="2" t="s">
        <v>416</v>
      </c>
      <c r="C31" s="2">
        <v>5225</v>
      </c>
      <c r="D31" s="2">
        <v>2500</v>
      </c>
      <c r="E31" s="2">
        <v>2725</v>
      </c>
    </row>
    <row r="32" spans="1:5" ht="15.75" x14ac:dyDescent="0.25">
      <c r="A32" s="2">
        <v>18</v>
      </c>
      <c r="B32" s="2" t="s">
        <v>417</v>
      </c>
      <c r="C32" s="2">
        <v>2652</v>
      </c>
      <c r="D32" s="2">
        <v>1386</v>
      </c>
      <c r="E32" s="2">
        <v>1266</v>
      </c>
    </row>
    <row r="33" spans="1:5" ht="15.75" x14ac:dyDescent="0.25">
      <c r="A33" s="2">
        <v>19</v>
      </c>
      <c r="B33" s="2" t="s">
        <v>284</v>
      </c>
      <c r="C33" s="2">
        <v>6004</v>
      </c>
      <c r="D33" s="2">
        <v>2885</v>
      </c>
      <c r="E33" s="2">
        <v>3119</v>
      </c>
    </row>
    <row r="34" spans="1:5" ht="15.75" x14ac:dyDescent="0.25">
      <c r="A34" s="2">
        <v>20</v>
      </c>
      <c r="B34" s="2" t="s">
        <v>418</v>
      </c>
      <c r="C34" s="2">
        <v>627</v>
      </c>
      <c r="D34" s="2">
        <v>309</v>
      </c>
      <c r="E34" s="2">
        <v>318</v>
      </c>
    </row>
    <row r="35" spans="1:5" ht="15.75" x14ac:dyDescent="0.25">
      <c r="A35" s="2">
        <v>21</v>
      </c>
      <c r="B35" s="2" t="s">
        <v>419</v>
      </c>
      <c r="C35" s="2">
        <v>1959</v>
      </c>
      <c r="D35" s="2">
        <v>950</v>
      </c>
      <c r="E35" s="2">
        <v>1009</v>
      </c>
    </row>
    <row r="36" spans="1:5" ht="15.75" x14ac:dyDescent="0.25">
      <c r="A36" s="2">
        <v>22</v>
      </c>
      <c r="B36" s="2" t="s">
        <v>420</v>
      </c>
      <c r="C36" s="2">
        <v>3206</v>
      </c>
      <c r="D36" s="2">
        <v>1572</v>
      </c>
      <c r="E36" s="2">
        <v>1634</v>
      </c>
    </row>
    <row r="37" spans="1:5" ht="15.75" x14ac:dyDescent="0.25">
      <c r="A37" s="2">
        <v>23</v>
      </c>
      <c r="B37" s="2" t="s">
        <v>421</v>
      </c>
      <c r="C37" s="2">
        <v>1233</v>
      </c>
      <c r="D37" s="2">
        <v>625</v>
      </c>
      <c r="E37" s="2">
        <v>608</v>
      </c>
    </row>
    <row r="38" spans="1:5" ht="15.75" x14ac:dyDescent="0.25">
      <c r="A38" s="2">
        <v>24</v>
      </c>
      <c r="B38" s="2" t="s">
        <v>330</v>
      </c>
      <c r="C38" s="2">
        <v>3755</v>
      </c>
      <c r="D38" s="2">
        <v>1839</v>
      </c>
      <c r="E38" s="2">
        <v>1916</v>
      </c>
    </row>
    <row r="39" spans="1:5" ht="15.75" x14ac:dyDescent="0.25">
      <c r="A39" s="2">
        <v>25</v>
      </c>
      <c r="B39" s="2" t="s">
        <v>422</v>
      </c>
      <c r="C39" s="2">
        <v>2545</v>
      </c>
      <c r="D39" s="2">
        <v>1236</v>
      </c>
      <c r="E39" s="2">
        <v>1309</v>
      </c>
    </row>
    <row r="40" spans="1:5" ht="15.75" x14ac:dyDescent="0.25">
      <c r="A40" s="2">
        <v>26</v>
      </c>
      <c r="B40" s="2" t="s">
        <v>423</v>
      </c>
      <c r="C40" s="2">
        <v>1957</v>
      </c>
      <c r="D40" s="2">
        <v>961</v>
      </c>
      <c r="E40" s="2">
        <v>996</v>
      </c>
    </row>
    <row r="41" spans="1:5" ht="15.75" x14ac:dyDescent="0.25">
      <c r="A41" s="2">
        <v>27</v>
      </c>
      <c r="B41" s="2" t="s">
        <v>424</v>
      </c>
      <c r="C41" s="2">
        <v>1244</v>
      </c>
      <c r="D41" s="2">
        <v>612</v>
      </c>
      <c r="E41" s="2">
        <v>632</v>
      </c>
    </row>
    <row r="42" spans="1:5" ht="15.75" x14ac:dyDescent="0.25">
      <c r="A42" s="2">
        <v>28</v>
      </c>
      <c r="B42" s="2" t="s">
        <v>425</v>
      </c>
      <c r="C42" s="2">
        <v>2532</v>
      </c>
      <c r="D42" s="2">
        <v>1174</v>
      </c>
      <c r="E42" s="2">
        <v>1358</v>
      </c>
    </row>
    <row r="43" spans="1:5" ht="15.75" x14ac:dyDescent="0.25">
      <c r="A43" s="2">
        <v>29</v>
      </c>
      <c r="B43" s="2" t="s">
        <v>426</v>
      </c>
      <c r="C43" s="2">
        <v>4010</v>
      </c>
      <c r="D43" s="2">
        <v>1921</v>
      </c>
      <c r="E43" s="2">
        <v>2089</v>
      </c>
    </row>
    <row r="44" spans="1:5" ht="15.75" x14ac:dyDescent="0.25">
      <c r="A44" s="2">
        <v>30</v>
      </c>
      <c r="B44" s="2" t="s">
        <v>427</v>
      </c>
      <c r="C44" s="2">
        <v>4609</v>
      </c>
      <c r="D44" s="2">
        <v>2280</v>
      </c>
      <c r="E44" s="2">
        <v>2329</v>
      </c>
    </row>
    <row r="45" spans="1:5" ht="15.75" x14ac:dyDescent="0.25">
      <c r="A45" s="2">
        <v>31</v>
      </c>
      <c r="B45" s="2" t="s">
        <v>428</v>
      </c>
      <c r="C45" s="2">
        <v>2276</v>
      </c>
      <c r="D45" s="2">
        <v>1086</v>
      </c>
      <c r="E45" s="2">
        <v>1190</v>
      </c>
    </row>
    <row r="46" spans="1:5" ht="15.75" x14ac:dyDescent="0.25">
      <c r="A46" s="2">
        <v>32</v>
      </c>
      <c r="B46" s="2" t="s">
        <v>429</v>
      </c>
      <c r="C46" s="2">
        <v>1492</v>
      </c>
      <c r="D46" s="2">
        <v>716</v>
      </c>
      <c r="E46" s="2">
        <v>776</v>
      </c>
    </row>
    <row r="47" spans="1:5" ht="15.75" x14ac:dyDescent="0.25">
      <c r="A47" s="2">
        <v>33</v>
      </c>
      <c r="B47" s="2" t="s">
        <v>430</v>
      </c>
      <c r="C47" s="2">
        <v>1863</v>
      </c>
      <c r="D47" s="2">
        <v>874</v>
      </c>
      <c r="E47" s="2">
        <v>989</v>
      </c>
    </row>
    <row r="48" spans="1:5" ht="15.75" x14ac:dyDescent="0.25">
      <c r="A48" s="2">
        <v>34</v>
      </c>
      <c r="B48" s="2" t="s">
        <v>431</v>
      </c>
      <c r="C48" s="2">
        <v>1326</v>
      </c>
      <c r="D48" s="2">
        <v>664</v>
      </c>
      <c r="E48" s="2">
        <v>662</v>
      </c>
    </row>
    <row r="49" spans="1:5" ht="15.75" x14ac:dyDescent="0.25">
      <c r="A49" s="2">
        <v>35</v>
      </c>
      <c r="B49" s="2" t="s">
        <v>432</v>
      </c>
      <c r="C49" s="2">
        <v>2181</v>
      </c>
      <c r="D49" s="2">
        <v>1104</v>
      </c>
      <c r="E49" s="2">
        <v>1077</v>
      </c>
    </row>
    <row r="50" spans="1:5" ht="15.75" x14ac:dyDescent="0.25">
      <c r="A50" s="2">
        <v>36</v>
      </c>
      <c r="B50" s="2" t="s">
        <v>433</v>
      </c>
      <c r="C50" s="2">
        <v>1071</v>
      </c>
      <c r="D50" s="2">
        <v>512</v>
      </c>
      <c r="E50" s="2">
        <v>559</v>
      </c>
    </row>
    <row r="51" spans="1:5" ht="15.75" x14ac:dyDescent="0.25">
      <c r="A51" s="2">
        <v>37</v>
      </c>
      <c r="B51" s="2" t="s">
        <v>434</v>
      </c>
      <c r="C51" s="2">
        <v>1595</v>
      </c>
      <c r="D51" s="2">
        <v>773</v>
      </c>
      <c r="E51" s="2">
        <v>822</v>
      </c>
    </row>
    <row r="52" spans="1:5" ht="15.75" x14ac:dyDescent="0.25">
      <c r="A52" s="2">
        <v>38</v>
      </c>
      <c r="B52" s="2" t="s">
        <v>435</v>
      </c>
      <c r="C52" s="2">
        <v>1440</v>
      </c>
      <c r="D52" s="2">
        <v>704</v>
      </c>
      <c r="E52" s="2">
        <v>736</v>
      </c>
    </row>
    <row r="53" spans="1:5" ht="15.75" x14ac:dyDescent="0.25">
      <c r="A53" s="2">
        <v>39</v>
      </c>
      <c r="B53" s="2" t="s">
        <v>436</v>
      </c>
      <c r="C53" s="2">
        <v>2846</v>
      </c>
      <c r="D53" s="2">
        <v>1415</v>
      </c>
      <c r="E53" s="2">
        <v>1431</v>
      </c>
    </row>
    <row r="54" spans="1:5" ht="15.75" x14ac:dyDescent="0.25">
      <c r="A54" s="2">
        <v>40</v>
      </c>
      <c r="B54" s="2" t="s">
        <v>437</v>
      </c>
      <c r="C54" s="2">
        <v>3401</v>
      </c>
      <c r="D54" s="2">
        <v>1613</v>
      </c>
      <c r="E54" s="2">
        <v>1788</v>
      </c>
    </row>
    <row r="55" spans="1:5" ht="15.75" x14ac:dyDescent="0.25">
      <c r="A55" s="2">
        <v>41</v>
      </c>
      <c r="B55" s="2" t="s">
        <v>438</v>
      </c>
      <c r="C55" s="2">
        <v>1080</v>
      </c>
      <c r="D55" s="2">
        <v>592</v>
      </c>
      <c r="E55" s="2">
        <v>488</v>
      </c>
    </row>
    <row r="56" spans="1:5" ht="15.75" x14ac:dyDescent="0.25">
      <c r="A56" s="2">
        <v>42</v>
      </c>
      <c r="B56" s="2" t="s">
        <v>388</v>
      </c>
      <c r="C56" s="2">
        <v>812</v>
      </c>
      <c r="D56" s="2">
        <v>420</v>
      </c>
      <c r="E56" s="2">
        <v>392</v>
      </c>
    </row>
    <row r="57" spans="1:5" ht="15.75" x14ac:dyDescent="0.25">
      <c r="A57" s="2">
        <v>43</v>
      </c>
      <c r="B57" s="2" t="s">
        <v>439</v>
      </c>
      <c r="C57" s="2">
        <v>806</v>
      </c>
      <c r="D57" s="2">
        <v>397</v>
      </c>
      <c r="E57" s="2">
        <v>409</v>
      </c>
    </row>
    <row r="58" spans="1:5" ht="15.75" x14ac:dyDescent="0.25">
      <c r="A58" s="2">
        <v>44</v>
      </c>
      <c r="B58" s="2" t="s">
        <v>440</v>
      </c>
      <c r="C58" s="2">
        <v>3962</v>
      </c>
      <c r="D58" s="2">
        <v>1891</v>
      </c>
      <c r="E58" s="2">
        <v>2071</v>
      </c>
    </row>
    <row r="59" spans="1:5" ht="15.75" x14ac:dyDescent="0.25">
      <c r="A59" s="2">
        <v>45</v>
      </c>
      <c r="B59" s="2" t="s">
        <v>441</v>
      </c>
      <c r="C59" s="2">
        <v>1584</v>
      </c>
      <c r="D59" s="2">
        <v>745</v>
      </c>
      <c r="E59" s="2">
        <v>839</v>
      </c>
    </row>
    <row r="60" spans="1:5" ht="15.75" x14ac:dyDescent="0.25">
      <c r="A60" s="2">
        <v>46</v>
      </c>
      <c r="B60" s="2" t="s">
        <v>442</v>
      </c>
      <c r="C60" s="2">
        <v>7541</v>
      </c>
      <c r="D60" s="2">
        <v>3497</v>
      </c>
      <c r="E60" s="2">
        <v>4044</v>
      </c>
    </row>
    <row r="61" spans="1:5" ht="15.75" x14ac:dyDescent="0.25">
      <c r="A61" s="2">
        <v>47</v>
      </c>
      <c r="B61" s="2" t="s">
        <v>443</v>
      </c>
      <c r="C61" s="2">
        <v>1657</v>
      </c>
      <c r="D61" s="2">
        <v>828</v>
      </c>
      <c r="E61" s="2">
        <v>829</v>
      </c>
    </row>
    <row r="62" spans="1:5" ht="15.75" x14ac:dyDescent="0.25">
      <c r="A62" s="2">
        <v>48</v>
      </c>
      <c r="B62" s="2" t="s">
        <v>444</v>
      </c>
      <c r="C62" s="2">
        <v>1991</v>
      </c>
      <c r="D62" s="2">
        <v>1032</v>
      </c>
      <c r="E62" s="2">
        <v>959</v>
      </c>
    </row>
    <row r="63" spans="1:5" ht="15.75" x14ac:dyDescent="0.25">
      <c r="A63" s="2">
        <v>49</v>
      </c>
      <c r="B63" s="2" t="s">
        <v>445</v>
      </c>
      <c r="C63" s="2">
        <v>1108</v>
      </c>
      <c r="D63" s="2">
        <v>534</v>
      </c>
      <c r="E63" s="2">
        <v>574</v>
      </c>
    </row>
    <row r="64" spans="1:5" ht="15.75" x14ac:dyDescent="0.25">
      <c r="A64" s="3">
        <v>50</v>
      </c>
      <c r="B64" s="3" t="s">
        <v>446</v>
      </c>
      <c r="C64" s="3">
        <v>1477</v>
      </c>
      <c r="D64" s="3">
        <v>728</v>
      </c>
      <c r="E64" s="3">
        <v>749</v>
      </c>
    </row>
  </sheetData>
  <mergeCells count="4">
    <mergeCell ref="A3:A4"/>
    <mergeCell ref="B3:B4"/>
    <mergeCell ref="C3:E3"/>
    <mergeCell ref="A1:E1"/>
  </mergeCells>
  <hyperlinks>
    <hyperlink ref="A1:E1" location="'List of Township'!A1" display="Mon State,Thaton District,  Bilin Township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8" sqref="N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List of Township</vt:lpstr>
      <vt:lpstr>Mawlamyine</vt:lpstr>
      <vt:lpstr>  Kyaikemaraw</vt:lpstr>
      <vt:lpstr>Chaungzon</vt:lpstr>
      <vt:lpstr>Thanbyuzayat</vt:lpstr>
      <vt:lpstr>Mudon</vt:lpstr>
      <vt:lpstr>Ye</vt:lpstr>
      <vt:lpstr>Lamine(Sub-Tsp)</vt:lpstr>
      <vt:lpstr>Khawzar(Sub-Tsp)</vt:lpstr>
      <vt:lpstr>  Thaton</vt:lpstr>
      <vt:lpstr>Paung</vt:lpstr>
      <vt:lpstr>Kyaikto</vt:lpstr>
      <vt:lpstr>Bilin</vt:lpstr>
      <vt:lpstr>Sheet2</vt:lpstr>
      <vt:lpstr>'  Kyaikemaraw'!Print_Titles</vt:lpstr>
      <vt:lpstr>'  Thaton'!Print_Titles</vt:lpstr>
      <vt:lpstr>Bilin!Print_Titles</vt:lpstr>
      <vt:lpstr>Chaungzon!Print_Titles</vt:lpstr>
      <vt:lpstr>'Khawzar(Sub-Tsp)'!Print_Titles</vt:lpstr>
      <vt:lpstr>Kyaikto!Print_Titles</vt:lpstr>
      <vt:lpstr>'Lamine(Sub-Tsp)'!Print_Titles</vt:lpstr>
      <vt:lpstr>Mawlamyine!Print_Titles</vt:lpstr>
      <vt:lpstr>Mudon!Print_Titles</vt:lpstr>
      <vt:lpstr>Paung!Print_Titles</vt:lpstr>
      <vt:lpstr>Thanbyuzayat!Print_Titles</vt:lpstr>
      <vt:lpstr>Ye!Print_Titles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2015-06-04T04:12:11Z</cp:lastPrinted>
  <dcterms:created xsi:type="dcterms:W3CDTF">2015-06-01T07:38:59Z</dcterms:created>
  <dcterms:modified xsi:type="dcterms:W3CDTF">2015-09-02T07:15:52Z</dcterms:modified>
</cp:coreProperties>
</file>