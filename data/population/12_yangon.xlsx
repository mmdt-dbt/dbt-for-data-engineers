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7490" windowHeight="9510" tabRatio="948"/>
  </bookViews>
  <sheets>
    <sheet name="List of Township" sheetId="84" r:id="rId1"/>
    <sheet name=" Insein" sheetId="38" r:id="rId2"/>
    <sheet name="Mingaladon " sheetId="39" r:id="rId3"/>
    <sheet name="Hmawby " sheetId="40" r:id="rId4"/>
    <sheet name="Hlegu " sheetId="41" r:id="rId5"/>
    <sheet name="Taikkyi " sheetId="42" r:id="rId6"/>
    <sheet name="Htantabin " sheetId="43" r:id="rId7"/>
    <sheet name="Shwepyitha " sheetId="44" r:id="rId8"/>
    <sheet name="Hlinethaya" sheetId="45" r:id="rId9"/>
    <sheet name="Thingangyun" sheetId="11" r:id="rId10"/>
    <sheet name=" Yankin" sheetId="12" r:id="rId11"/>
    <sheet name=" South Okkalapa" sheetId="13" r:id="rId12"/>
    <sheet name=" North Okkalapa" sheetId="14" r:id="rId13"/>
    <sheet name="Thakayta" sheetId="15" r:id="rId14"/>
    <sheet name="Dawbon" sheetId="16" r:id="rId15"/>
    <sheet name="Tamwe" sheetId="17" r:id="rId16"/>
    <sheet name="Pazuntaung" sheetId="18" r:id="rId17"/>
    <sheet name="Botahtaung" sheetId="19" r:id="rId18"/>
    <sheet name="Dagon Myothit(South)" sheetId="20" r:id="rId19"/>
    <sheet name=" Dagon Myothit(North)" sheetId="21" r:id="rId20"/>
    <sheet name="Dagon Myothit(East)" sheetId="22" r:id="rId21"/>
    <sheet name="Dagon Myothit(Seikkan) " sheetId="57" r:id="rId22"/>
    <sheet name="Mingala Taungnyunt " sheetId="58" r:id="rId23"/>
    <sheet name="Thanlyin " sheetId="59" r:id="rId24"/>
    <sheet name="Kyauktan " sheetId="60" r:id="rId25"/>
    <sheet name="Thongwa " sheetId="61" r:id="rId26"/>
    <sheet name="Khayan " sheetId="62" r:id="rId27"/>
    <sheet name="Twantay" sheetId="63" r:id="rId28"/>
    <sheet name="Kawhmu " sheetId="64" r:id="rId29"/>
    <sheet name="Kungyangon " sheetId="65" r:id="rId30"/>
    <sheet name="Dala " sheetId="66" r:id="rId31"/>
    <sheet name="Seikkyi- Khanaungto " sheetId="67" r:id="rId32"/>
    <sheet name="Cocogyun " sheetId="68" r:id="rId33"/>
    <sheet name="Tada (Sub- Tsp)" sheetId="69" r:id="rId34"/>
    <sheet name="Kyauktada " sheetId="70" r:id="rId35"/>
    <sheet name="Pabedan " sheetId="71" r:id="rId36"/>
    <sheet name="Lanmadaw " sheetId="72" r:id="rId37"/>
    <sheet name="Latha " sheetId="73" r:id="rId38"/>
    <sheet name="Ahlon " sheetId="74" r:id="rId39"/>
    <sheet name="Kyimyindine " sheetId="75" r:id="rId40"/>
    <sheet name="Sangyoung " sheetId="76" r:id="rId41"/>
    <sheet name="Hline " sheetId="77" r:id="rId42"/>
    <sheet name="Kamayut " sheetId="78" r:id="rId43"/>
    <sheet name="Mayangon " sheetId="79" r:id="rId44"/>
    <sheet name="Dagon " sheetId="80" r:id="rId45"/>
    <sheet name="Bahan " sheetId="81" r:id="rId46"/>
    <sheet name="Seikkan " sheetId="82" r:id="rId47"/>
    <sheet name="Sheet2" sheetId="83" r:id="rId48"/>
  </sheets>
  <definedNames>
    <definedName name="_xlnm.Print_Titles" localSheetId="19">' Dagon Myothit(North)'!$1:$4</definedName>
    <definedName name="_xlnm.Print_Titles" localSheetId="1">' Insein'!$1:$4</definedName>
    <definedName name="_xlnm.Print_Titles" localSheetId="12">' North Okkalapa'!$1:$4</definedName>
    <definedName name="_xlnm.Print_Titles" localSheetId="11">' South Okkalapa'!$1:$4</definedName>
    <definedName name="_xlnm.Print_Titles" localSheetId="10">' Yankin'!$1:$4</definedName>
    <definedName name="_xlnm.Print_Titles" localSheetId="38">'Ahlon '!$1:$4</definedName>
    <definedName name="_xlnm.Print_Titles" localSheetId="17">Botahtaung!$1:$4</definedName>
    <definedName name="_xlnm.Print_Titles" localSheetId="20">'Dagon Myothit(East)'!$1:$4</definedName>
    <definedName name="_xlnm.Print_Titles" localSheetId="21">'Dagon Myothit(Seikkan) '!$1:$4</definedName>
    <definedName name="_xlnm.Print_Titles" localSheetId="18">'Dagon Myothit(South)'!$1:$4</definedName>
    <definedName name="_xlnm.Print_Titles" localSheetId="30">'Dala '!$1:$4</definedName>
    <definedName name="_xlnm.Print_Titles" localSheetId="14">Dawbon!$1:$4</definedName>
    <definedName name="_xlnm.Print_Titles" localSheetId="4">'Hlegu '!$1:$4</definedName>
    <definedName name="_xlnm.Print_Titles" localSheetId="41">'Hline '!$1:$4</definedName>
    <definedName name="_xlnm.Print_Titles" localSheetId="8">Hlinethaya!$1:$4</definedName>
    <definedName name="_xlnm.Print_Titles" localSheetId="3">'Hmawby '!$1:$4</definedName>
    <definedName name="_xlnm.Print_Titles" localSheetId="6">'Htantabin '!$1:$4</definedName>
    <definedName name="_xlnm.Print_Titles" localSheetId="28">'Kawhmu '!$1:$4</definedName>
    <definedName name="_xlnm.Print_Titles" localSheetId="26">'Khayan '!$1:$4</definedName>
    <definedName name="_xlnm.Print_Titles" localSheetId="29">'Kungyangon '!$1:$4</definedName>
    <definedName name="_xlnm.Print_Titles" localSheetId="24">'Kyauktan '!$1:$4</definedName>
    <definedName name="_xlnm.Print_Titles" localSheetId="39">'Kyimyindine '!$1:$4</definedName>
    <definedName name="_xlnm.Print_Titles" localSheetId="43">'Mayangon '!$1:$4</definedName>
    <definedName name="_xlnm.Print_Titles" localSheetId="2">'Mingaladon '!$1:$4</definedName>
    <definedName name="_xlnm.Print_Titles" localSheetId="16">Pazuntaung!$1:$4</definedName>
    <definedName name="_xlnm.Print_Titles" localSheetId="7">'Shwepyitha '!$1:$4</definedName>
    <definedName name="_xlnm.Print_Titles" localSheetId="5">'Taikkyi '!$1:$4</definedName>
    <definedName name="_xlnm.Print_Titles" localSheetId="15">Tamwe!$1:$4</definedName>
    <definedName name="_xlnm.Print_Titles" localSheetId="13">Thakayta!$1:$4</definedName>
    <definedName name="_xlnm.Print_Titles" localSheetId="23">'Thanlyin '!$1:$4</definedName>
    <definedName name="_xlnm.Print_Titles" localSheetId="9">Thingangyun!$1:$4</definedName>
    <definedName name="_xlnm.Print_Titles" localSheetId="25">'Thongwa '!$1:$4</definedName>
    <definedName name="_xlnm.Print_Titles" localSheetId="27">Twantay!$1:$4</definedName>
  </definedNames>
  <calcPr calcId="145621"/>
</workbook>
</file>

<file path=xl/calcChain.xml><?xml version="1.0" encoding="utf-8"?>
<calcChain xmlns="http://schemas.openxmlformats.org/spreadsheetml/2006/main">
  <c r="B47" i="84" l="1"/>
  <c r="B46" i="84"/>
  <c r="B45" i="84"/>
  <c r="B44" i="84"/>
  <c r="B43" i="84"/>
  <c r="B42" i="84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7" i="84"/>
  <c r="B26" i="84"/>
  <c r="B25" i="84"/>
  <c r="B24" i="84"/>
  <c r="B23" i="84"/>
  <c r="B22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B9" i="84"/>
  <c r="B8" i="84"/>
  <c r="B7" i="84"/>
  <c r="B6" i="84"/>
  <c r="B5" i="84"/>
  <c r="B4" i="84"/>
  <c r="B3" i="84"/>
  <c r="B2" i="84"/>
  <c r="C16" i="64" l="1"/>
  <c r="C7" i="66" l="1"/>
  <c r="E7" i="81" l="1"/>
  <c r="D7" i="81"/>
  <c r="C7" i="81"/>
  <c r="E7" i="80"/>
  <c r="D7" i="80"/>
  <c r="C7" i="80"/>
  <c r="E7" i="79"/>
  <c r="D7" i="79"/>
  <c r="C7" i="79"/>
  <c r="E7" i="78"/>
  <c r="D7" i="78"/>
  <c r="C7" i="78"/>
  <c r="E7" i="77"/>
  <c r="D7" i="77"/>
  <c r="C7" i="77"/>
  <c r="E7" i="76"/>
  <c r="D7" i="76"/>
  <c r="C7" i="76"/>
  <c r="E7" i="75"/>
  <c r="D7" i="75"/>
  <c r="C7" i="75"/>
  <c r="E7" i="74"/>
  <c r="D7" i="74"/>
  <c r="C7" i="74"/>
  <c r="E7" i="73"/>
  <c r="D7" i="73"/>
  <c r="C7" i="73"/>
  <c r="E7" i="72"/>
  <c r="D7" i="72"/>
  <c r="C7" i="72"/>
  <c r="E7" i="71"/>
  <c r="D7" i="71"/>
  <c r="C7" i="71"/>
  <c r="E7" i="70"/>
  <c r="D7" i="70"/>
  <c r="C7" i="70"/>
  <c r="E13" i="69"/>
  <c r="D13" i="69"/>
  <c r="C13" i="69"/>
  <c r="E7" i="69"/>
  <c r="D7" i="69"/>
  <c r="C7" i="69"/>
  <c r="E7" i="68"/>
  <c r="D7" i="68"/>
  <c r="C7" i="68"/>
  <c r="E7" i="67"/>
  <c r="D7" i="67"/>
  <c r="C7" i="67"/>
  <c r="E32" i="66"/>
  <c r="D32" i="66"/>
  <c r="C32" i="66"/>
  <c r="C5" i="66" s="1"/>
  <c r="E7" i="66"/>
  <c r="D7" i="66"/>
  <c r="D5" i="66"/>
  <c r="E16" i="65"/>
  <c r="D16" i="65"/>
  <c r="C16" i="65"/>
  <c r="E7" i="65"/>
  <c r="D7" i="65"/>
  <c r="C7" i="65"/>
  <c r="C5" i="65" s="1"/>
  <c r="E16" i="64"/>
  <c r="D16" i="64"/>
  <c r="E7" i="64"/>
  <c r="D7" i="64"/>
  <c r="C7" i="64"/>
  <c r="E17" i="63"/>
  <c r="D17" i="63"/>
  <c r="C17" i="63"/>
  <c r="E7" i="63"/>
  <c r="D7" i="63"/>
  <c r="C7" i="63"/>
  <c r="E21" i="62"/>
  <c r="D21" i="62"/>
  <c r="C21" i="62"/>
  <c r="E7" i="62"/>
  <c r="D7" i="62"/>
  <c r="C7" i="62"/>
  <c r="E21" i="61"/>
  <c r="D21" i="61"/>
  <c r="C21" i="61"/>
  <c r="E7" i="61"/>
  <c r="D7" i="61"/>
  <c r="C7" i="61"/>
  <c r="E18" i="60"/>
  <c r="D18" i="60"/>
  <c r="C18" i="60"/>
  <c r="E7" i="60"/>
  <c r="D7" i="60"/>
  <c r="C7" i="60"/>
  <c r="C5" i="60"/>
  <c r="E26" i="59"/>
  <c r="D26" i="59"/>
  <c r="C26" i="59"/>
  <c r="E7" i="59"/>
  <c r="D7" i="59"/>
  <c r="C7" i="59"/>
  <c r="E7" i="58"/>
  <c r="D7" i="58"/>
  <c r="C7" i="58"/>
  <c r="E39" i="57"/>
  <c r="D39" i="57"/>
  <c r="C39" i="57"/>
  <c r="C5" i="57" s="1"/>
  <c r="E7" i="57"/>
  <c r="D7" i="57"/>
  <c r="C7" i="57"/>
  <c r="D5" i="63" l="1"/>
  <c r="D5" i="64"/>
  <c r="D5" i="65"/>
  <c r="E5" i="57"/>
  <c r="D5" i="62"/>
  <c r="C5" i="69"/>
  <c r="D5" i="69"/>
  <c r="E5" i="69"/>
  <c r="E5" i="63"/>
  <c r="C5" i="63"/>
  <c r="D5" i="61"/>
  <c r="E5" i="61"/>
  <c r="E5" i="62"/>
  <c r="C5" i="62"/>
  <c r="C5" i="61"/>
  <c r="E5" i="60"/>
  <c r="C5" i="59"/>
  <c r="E5" i="59"/>
  <c r="E5" i="66"/>
  <c r="E5" i="65"/>
  <c r="C5" i="64"/>
  <c r="E5" i="64"/>
  <c r="D5" i="60"/>
  <c r="D5" i="59"/>
  <c r="D5" i="57"/>
  <c r="D7" i="22" l="1"/>
  <c r="E7" i="22"/>
  <c r="C7" i="22"/>
  <c r="D37" i="22"/>
  <c r="E37" i="22"/>
  <c r="C37" i="22"/>
  <c r="D5" i="22" l="1"/>
  <c r="E5" i="22"/>
  <c r="C5" i="22"/>
  <c r="E5" i="21"/>
  <c r="C5" i="21"/>
  <c r="D7" i="21"/>
  <c r="E7" i="21"/>
  <c r="C7" i="21"/>
  <c r="D5" i="20"/>
  <c r="E5" i="20"/>
  <c r="C5" i="20"/>
  <c r="D7" i="20"/>
  <c r="E7" i="20"/>
  <c r="C7" i="20"/>
  <c r="D5" i="19"/>
  <c r="E5" i="19"/>
  <c r="C5" i="19"/>
  <c r="D7" i="19"/>
  <c r="E7" i="19"/>
  <c r="C7" i="19"/>
  <c r="D5" i="18"/>
  <c r="E5" i="18"/>
  <c r="C5" i="18"/>
  <c r="D7" i="18"/>
  <c r="E7" i="18"/>
  <c r="C7" i="18"/>
  <c r="D5" i="17"/>
  <c r="E5" i="17"/>
  <c r="C5" i="17"/>
  <c r="D7" i="17"/>
  <c r="E7" i="17"/>
  <c r="C7" i="17"/>
  <c r="D5" i="16"/>
  <c r="E5" i="16"/>
  <c r="C5" i="16"/>
  <c r="D7" i="16"/>
  <c r="E7" i="16"/>
  <c r="C7" i="16"/>
  <c r="D5" i="15"/>
  <c r="E5" i="15"/>
  <c r="C5" i="15"/>
  <c r="D7" i="15"/>
  <c r="E7" i="15"/>
  <c r="C7" i="15"/>
  <c r="D5" i="14"/>
  <c r="E5" i="14"/>
  <c r="C5" i="14"/>
  <c r="D7" i="14"/>
  <c r="E7" i="14"/>
  <c r="C7" i="14"/>
  <c r="D5" i="13"/>
  <c r="E5" i="13"/>
  <c r="C5" i="13"/>
  <c r="D7" i="13"/>
  <c r="E7" i="13"/>
  <c r="C7" i="13"/>
  <c r="D5" i="12"/>
  <c r="E5" i="12"/>
  <c r="C5" i="12"/>
  <c r="D7" i="12"/>
  <c r="E7" i="12"/>
  <c r="C7" i="12"/>
  <c r="D5" i="11"/>
  <c r="E5" i="11"/>
  <c r="C5" i="11"/>
  <c r="D7" i="11"/>
  <c r="E7" i="11"/>
  <c r="C7" i="11"/>
  <c r="D7" i="45"/>
  <c r="E7" i="45"/>
  <c r="C7" i="45"/>
  <c r="D28" i="45"/>
  <c r="E28" i="45"/>
  <c r="C28" i="45"/>
  <c r="D7" i="44"/>
  <c r="E7" i="44"/>
  <c r="E5" i="44" s="1"/>
  <c r="C7" i="44"/>
  <c r="D31" i="44"/>
  <c r="E31" i="44"/>
  <c r="C31" i="44"/>
  <c r="D14" i="43"/>
  <c r="E14" i="43"/>
  <c r="C14" i="43"/>
  <c r="D7" i="43"/>
  <c r="E7" i="43"/>
  <c r="C7" i="43"/>
  <c r="D29" i="42"/>
  <c r="E29" i="42"/>
  <c r="C29" i="42"/>
  <c r="D7" i="42"/>
  <c r="E7" i="42"/>
  <c r="C7" i="42"/>
  <c r="D14" i="41"/>
  <c r="E14" i="41"/>
  <c r="C14" i="41"/>
  <c r="D7" i="41"/>
  <c r="E7" i="41"/>
  <c r="C7" i="41"/>
  <c r="D13" i="40"/>
  <c r="E13" i="40"/>
  <c r="C13" i="40"/>
  <c r="D7" i="40"/>
  <c r="E7" i="40"/>
  <c r="C7" i="40"/>
  <c r="C5" i="40" s="1"/>
  <c r="D35" i="39"/>
  <c r="E35" i="39"/>
  <c r="C35" i="39"/>
  <c r="D7" i="39"/>
  <c r="E7" i="39"/>
  <c r="C7" i="39"/>
  <c r="E5" i="45" l="1"/>
  <c r="E5" i="42"/>
  <c r="D5" i="44"/>
  <c r="C5" i="44"/>
  <c r="D5" i="45"/>
  <c r="C5" i="45"/>
  <c r="C5" i="43"/>
  <c r="E5" i="43"/>
  <c r="D5" i="43"/>
  <c r="D5" i="42"/>
  <c r="C5" i="42"/>
  <c r="C5" i="41"/>
  <c r="D5" i="41"/>
  <c r="D5" i="40"/>
  <c r="E5" i="40"/>
  <c r="E5" i="39"/>
  <c r="D5" i="39"/>
  <c r="C5" i="39"/>
  <c r="E5" i="41"/>
  <c r="D7" i="38"/>
  <c r="E7" i="38"/>
  <c r="C7" i="38"/>
</calcChain>
</file>

<file path=xl/sharedStrings.xml><?xml version="1.0" encoding="utf-8"?>
<sst xmlns="http://schemas.openxmlformats.org/spreadsheetml/2006/main" count="1787" uniqueCount="1092">
  <si>
    <t>Total</t>
  </si>
  <si>
    <t>Male</t>
  </si>
  <si>
    <t>Female</t>
  </si>
  <si>
    <t xml:space="preserve">            Kan Nar (West)(W)</t>
  </si>
  <si>
    <t xml:space="preserve">            Kan Nar (Middle)(W)</t>
  </si>
  <si>
    <t xml:space="preserve">            Kwet Thit(W)</t>
  </si>
  <si>
    <t xml:space="preserve">            Pauk Taw(W)</t>
  </si>
  <si>
    <t xml:space="preserve">            Zay Kone (West)(W)</t>
  </si>
  <si>
    <t xml:space="preserve">            Zay Kone (East)(W)</t>
  </si>
  <si>
    <t xml:space="preserve">            Pein Hne Kone(W)</t>
  </si>
  <si>
    <t xml:space="preserve">            Myo Thit ((Ka)/Kha)(W)</t>
  </si>
  <si>
    <t xml:space="preserve">            Myo Thit (Ga)(W)</t>
  </si>
  <si>
    <t xml:space="preserve">            Kyo Kone (West)(W)</t>
  </si>
  <si>
    <t xml:space="preserve">            Kyo Kone (East)(W)</t>
  </si>
  <si>
    <t xml:space="preserve">            Saw Bwar Gyi Kone(W)</t>
  </si>
  <si>
    <t xml:space="preserve">            Nant Thar Kone(W)</t>
  </si>
  <si>
    <t xml:space="preserve">            Taung Thu Kone(W)</t>
  </si>
  <si>
    <t xml:space="preserve">            Ywar Ma (East)(W)</t>
  </si>
  <si>
    <t xml:space="preserve">            Ywar Ma (Middle)(W)</t>
  </si>
  <si>
    <t xml:space="preserve">            Ywar Ma (West)(W)</t>
  </si>
  <si>
    <t xml:space="preserve">            Hpawt Kan(W)</t>
  </si>
  <si>
    <t xml:space="preserve">            Sint Ngu(W)</t>
  </si>
  <si>
    <t xml:space="preserve">            Aung San(W)</t>
  </si>
  <si>
    <t xml:space="preserve">            Da Nyin Kone/Ta Nyin Kone (W)</t>
  </si>
  <si>
    <t xml:space="preserve">            Htauk Kyant (Taung Paing)(W)</t>
  </si>
  <si>
    <t xml:space="preserve">            Htauk Kyant (Myauk Paing)(W)</t>
  </si>
  <si>
    <t xml:space="preserve">            Pa-San Pya(W)</t>
  </si>
  <si>
    <t xml:space="preserve">            Du-San Pya(W)</t>
  </si>
  <si>
    <t xml:space="preserve">            Ye Su (South)(W)</t>
  </si>
  <si>
    <t xml:space="preserve">            Baw Lone Kwin(W)</t>
  </si>
  <si>
    <t xml:space="preserve">            Aye Ka Rit(W)</t>
  </si>
  <si>
    <t xml:space="preserve">            Bago Lan(W)</t>
  </si>
  <si>
    <t xml:space="preserve">            Ti Law Kar Yon(W)</t>
  </si>
  <si>
    <t xml:space="preserve">            Lan Son Paing(W)</t>
  </si>
  <si>
    <t xml:space="preserve">            Zay Paing(W)</t>
  </si>
  <si>
    <t xml:space="preserve">            Ywar Ma Paing(W)</t>
  </si>
  <si>
    <t xml:space="preserve">            Htauk Kyant Toe Cheit(W)</t>
  </si>
  <si>
    <t xml:space="preserve">            Kyan Khin Su(W)</t>
  </si>
  <si>
    <t xml:space="preserve">            Ah Nan Pin(W)</t>
  </si>
  <si>
    <t xml:space="preserve">            Chit Tee Kone(W)</t>
  </si>
  <si>
    <t xml:space="preserve">            No(2) (Ka)(W)</t>
  </si>
  <si>
    <t xml:space="preserve">            No(2) (Kha)(W)</t>
  </si>
  <si>
    <t xml:space="preserve">            No(3) (Ka)(W)</t>
  </si>
  <si>
    <t xml:space="preserve">            No(3) (Kha)(W)</t>
  </si>
  <si>
    <t xml:space="preserve">            San Gyi Wa(W)</t>
  </si>
  <si>
    <t xml:space="preserve">            Tat Ma Daw San Pya(W)</t>
  </si>
  <si>
    <t xml:space="preserve">            Pauk Kone(W)</t>
  </si>
  <si>
    <t xml:space="preserve">            Min Ga Lar Don Zay(W)</t>
  </si>
  <si>
    <t xml:space="preserve">            Pyan Lel Nay Yar Cha Htar Ye(W)</t>
  </si>
  <si>
    <t xml:space="preserve">            Pyi Taw Thar(W)</t>
  </si>
  <si>
    <t xml:space="preserve">            Taw Taik(W)</t>
  </si>
  <si>
    <t xml:space="preserve">            Nwe Khway(VT)</t>
  </si>
  <si>
    <t xml:space="preserve">            Kone Ta La Paung(VT)</t>
  </si>
  <si>
    <t xml:space="preserve">            Shwe Nant Thar(VT)</t>
  </si>
  <si>
    <t xml:space="preserve">            Pyin Ma Pin(VT)</t>
  </si>
  <si>
    <t xml:space="preserve">            Thin Gan Kyun Gyi(VT)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</si>
  <si>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</si>
  <si>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</si>
  <si>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</si>
  <si>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</si>
  <si>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Tat Gyi Kone(VT)</t>
  </si>
  <si>
    <t xml:space="preserve">            Hla Pa Dar(VT)</t>
  </si>
  <si>
    <t xml:space="preserve">            Min(VT)</t>
  </si>
  <si>
    <t xml:space="preserve">            Pet Tan(VT)</t>
  </si>
  <si>
    <t xml:space="preserve">            Shwe Hlay Gyi(VT)</t>
  </si>
  <si>
    <t xml:space="preserve">            Pa Thi(VT)</t>
  </si>
  <si>
    <t xml:space="preserve">            Chaung Wa(VT)</t>
  </si>
  <si>
    <t xml:space="preserve">            Hmaw Bi Chaung Wa(VT)</t>
  </si>
  <si>
    <t xml:space="preserve">            Hnaw Kone(VT)</t>
  </si>
  <si>
    <t xml:space="preserve">            Bant Bway Kone(VT)</t>
  </si>
  <si>
    <t xml:space="preserve">            Hle Ngoke Chaung(VT)</t>
  </si>
  <si>
    <t xml:space="preserve">            Hpu Gyi(VT)</t>
  </si>
  <si>
    <t xml:space="preserve">            Let Pan Tan Su(VT)</t>
  </si>
  <si>
    <t xml:space="preserve">            War Pa Taw(VT)</t>
  </si>
  <si>
    <t xml:space="preserve">            War Net Chaung Bu Tar(VT)</t>
  </si>
  <si>
    <t xml:space="preserve">            Auk War Net Chaung(VT)</t>
  </si>
  <si>
    <t xml:space="preserve">            In Kyin Kone(VT)</t>
  </si>
  <si>
    <t xml:space="preserve">            Ku Lar Kone(U Htun Hla Ah Su)(VT)</t>
  </si>
  <si>
    <t xml:space="preserve">            Myo Chaung(VT)</t>
  </si>
  <si>
    <t xml:space="preserve">            Kan Ka Lay (M)(VT)</t>
  </si>
  <si>
    <t xml:space="preserve">            Myaung Ta Kar(VT)</t>
  </si>
  <si>
    <t xml:space="preserve">            Nyaung Kone(VT)</t>
  </si>
  <si>
    <t xml:space="preserve">            Myit Kyoe(VT)</t>
  </si>
  <si>
    <t xml:space="preserve">            Shwe Mya Yar Kone(VT)</t>
  </si>
  <si>
    <t xml:space="preserve">            Pauk Kone(VT)</t>
  </si>
  <si>
    <t xml:space="preserve">            Than Day Pin(VT)</t>
  </si>
  <si>
    <t xml:space="preserve">            Bwet Gyi(VT)</t>
  </si>
  <si>
    <t xml:space="preserve">            Boe Daw Na Kone(VT)</t>
  </si>
  <si>
    <t xml:space="preserve">            Nyaung Hnit Pin(VT)</t>
  </si>
  <si>
    <t xml:space="preserve">            Yoe Gyi(VT)</t>
  </si>
  <si>
    <t xml:space="preserve">            Moe Kyoe Pyit(VT)</t>
  </si>
  <si>
    <t xml:space="preserve">            Yae Paw Theit(VT)</t>
  </si>
  <si>
    <t xml:space="preserve">            Yin Taik Pin(VT)</t>
  </si>
  <si>
    <t xml:space="preserve">            Thar Yar Kone(VT)</t>
  </si>
  <si>
    <t xml:space="preserve">            Thea Kone(VT)</t>
  </si>
  <si>
    <t xml:space="preserve">            Leik Poke Taw Ywar Gyi(VT)</t>
  </si>
  <si>
    <t xml:space="preserve">            Ah Hta Yu(VT)</t>
  </si>
  <si>
    <t xml:space="preserve">            In Hlyat(VT)</t>
  </si>
  <si>
    <t xml:space="preserve">            Sat Thwar Taw(VT)</t>
  </si>
  <si>
    <t xml:space="preserve">            Aung Min Ga Lar(W)</t>
  </si>
  <si>
    <t xml:space="preserve">            Thar Tha Na Yeik Thar(W)</t>
  </si>
  <si>
    <t xml:space="preserve">            Myo Ma(W)</t>
  </si>
  <si>
    <t xml:space="preserve">            Hpaung Gyi (East)(VT)</t>
  </si>
  <si>
    <t xml:space="preserve">            Hpaung Gyi (West)(VT)</t>
  </si>
  <si>
    <t xml:space="preserve">            Poke Thin Nyo(VT)</t>
  </si>
  <si>
    <t xml:space="preserve">            Gway Tauk Aing(VT)</t>
  </si>
  <si>
    <t xml:space="preserve">            Kyun Ka Lay(VT)</t>
  </si>
  <si>
    <t xml:space="preserve">            Kyar Inn (West)(VT)</t>
  </si>
  <si>
    <t xml:space="preserve">            Kyauk Ka Din(VT)</t>
  </si>
  <si>
    <t xml:space="preserve">            Ka Li Htaw (West)(VT)</t>
  </si>
  <si>
    <t xml:space="preserve">            Ka Li Htaw (East)(VT)</t>
  </si>
  <si>
    <t xml:space="preserve">            Haing Ku(VT)</t>
  </si>
  <si>
    <t xml:space="preserve">            Sa Khan Gyi(VT)</t>
  </si>
  <si>
    <t xml:space="preserve">            Ohn Hne Kone(VT)</t>
  </si>
  <si>
    <t xml:space="preserve">            Pe Nan Toke(VT)</t>
  </si>
  <si>
    <t xml:space="preserve">            War Net Kone(VT)</t>
  </si>
  <si>
    <t xml:space="preserve">            Ye Mun(VT)</t>
  </si>
  <si>
    <t xml:space="preserve">            Za Yat Kwin(VT)</t>
  </si>
  <si>
    <t xml:space="preserve">            Thu Ngeit Chaung(VT)</t>
  </si>
  <si>
    <t xml:space="preserve">            Inn Taing(VT)</t>
  </si>
  <si>
    <t xml:space="preserve">            Ah Lan Ga Po(VT)</t>
  </si>
  <si>
    <t xml:space="preserve">            Saing Di Kone(VT)</t>
  </si>
  <si>
    <t xml:space="preserve">            Kyee Kan Thaik(VT)</t>
  </si>
  <si>
    <t xml:space="preserve">            Sar Bu Taung(VT)</t>
  </si>
  <si>
    <t xml:space="preserve">            Nan Ti(VT)</t>
  </si>
  <si>
    <t xml:space="preserve">            Dar Pein (South)(VT)</t>
  </si>
  <si>
    <t xml:space="preserve">            Nyaung Ta Chan(VT)</t>
  </si>
  <si>
    <t xml:space="preserve">            Ta Khun Taing(Hlegu)(VT)</t>
  </si>
  <si>
    <t xml:space="preserve">            Kyun Kone(VT)</t>
  </si>
  <si>
    <t xml:space="preserve">            Sar Ta Lin(VT)</t>
  </si>
  <si>
    <t xml:space="preserve">            Tha Nat Pin(VT)</t>
  </si>
  <si>
    <t xml:space="preserve">            Shan Te Gyi (Upper)(VT)</t>
  </si>
  <si>
    <t xml:space="preserve">            War Yon Sun(VT)</t>
  </si>
  <si>
    <t xml:space="preserve">            Swei Lat(VT)</t>
  </si>
  <si>
    <t xml:space="preserve">            Hpe Kha Me(VT)</t>
  </si>
  <si>
    <t xml:space="preserve">            Dar Pein (North)(VT)</t>
  </si>
  <si>
    <t xml:space="preserve">            Tha Khut Pin(VT)</t>
  </si>
  <si>
    <t xml:space="preserve">            Ma Au(VT)</t>
  </si>
  <si>
    <t xml:space="preserve">            Ta Khun Taing (Insein)(VT)</t>
  </si>
  <si>
    <t xml:space="preserve">            Bar Lar Ta Dar Gyi(VT)</t>
  </si>
  <si>
    <t xml:space="preserve">            Sin Hpon(VT)</t>
  </si>
  <si>
    <t xml:space="preserve">            Sit Pin (North)(VT)</t>
  </si>
  <si>
    <t xml:space="preserve">            Ma Lit (West)(VT)</t>
  </si>
  <si>
    <t xml:space="preserve">            Zee Pin Wea(VT)</t>
  </si>
  <si>
    <t xml:space="preserve">            Moke Soe Nyaung Pin(VT)</t>
  </si>
  <si>
    <t xml:space="preserve">            Let Pan(VT)</t>
  </si>
  <si>
    <t xml:space="preserve">            Paik Gyi Wea(VT)</t>
  </si>
  <si>
    <t xml:space="preserve">            Boe Yin Ka Lay(VT)</t>
  </si>
  <si>
    <t xml:space="preserve">            Ah Waing (West)(VT)</t>
  </si>
  <si>
    <t xml:space="preserve">            Min Kone(VT)</t>
  </si>
  <si>
    <t xml:space="preserve">            Ngar Su Taung(VT)</t>
  </si>
  <si>
    <t xml:space="preserve">            Ma Yan Chaung(VT)</t>
  </si>
  <si>
    <t xml:space="preserve">            Ngwe Nant Thar(VT)</t>
  </si>
  <si>
    <t xml:space="preserve">            In Ga Lar(Inn ka Lar)(W)</t>
  </si>
  <si>
    <t xml:space="preserve">            Oe Tan(W)</t>
  </si>
  <si>
    <t xml:space="preserve">            Zay(W)</t>
  </si>
  <si>
    <t xml:space="preserve">            Baw Di Kone(W)</t>
  </si>
  <si>
    <t xml:space="preserve">            Bu Tar(W)</t>
  </si>
  <si>
    <t xml:space="preserve">            Oke Pon Su(W)</t>
  </si>
  <si>
    <t xml:space="preserve">            Shan Su(W)</t>
  </si>
  <si>
    <t xml:space="preserve">            Min Ga Lar(W)</t>
  </si>
  <si>
    <t xml:space="preserve">            Kyan Sit Thar(W)</t>
  </si>
  <si>
    <t xml:space="preserve">            U Aung Zay Ya(W)</t>
  </si>
  <si>
    <t xml:space="preserve">            Ah Naw Ra Htar(W)</t>
  </si>
  <si>
    <t xml:space="preserve">            Ban Du La(W)</t>
  </si>
  <si>
    <t xml:space="preserve">            Bo Gyoke Aung San(W)</t>
  </si>
  <si>
    <t xml:space="preserve">            Sin Hpyu Shin(W)</t>
  </si>
  <si>
    <t xml:space="preserve">            Ba Yint Naung(W)</t>
  </si>
  <si>
    <t xml:space="preserve">            Min Ye Kyaw Swar(W)</t>
  </si>
  <si>
    <t xml:space="preserve">            Tar Gwa(VT)</t>
  </si>
  <si>
    <t xml:space="preserve">            Lauk Lay Chaung(VT)</t>
  </si>
  <si>
    <t xml:space="preserve">            Tha Yet Chaung(VT)</t>
  </si>
  <si>
    <t xml:space="preserve">            Kyaik Sa Kaing(VT)</t>
  </si>
  <si>
    <t xml:space="preserve">            Gyoe Hpyu(VT)</t>
  </si>
  <si>
    <t xml:space="preserve">            Yin Taik Kwin(VT)</t>
  </si>
  <si>
    <t xml:space="preserve">            U To(VT)</t>
  </si>
  <si>
    <t xml:space="preserve">            Tha Nat Chaung Bu Tar(VT)</t>
  </si>
  <si>
    <t xml:space="preserve">            Oke Pon(VT)</t>
  </si>
  <si>
    <t xml:space="preserve">            Hpa Lon Kan Kone(VT)</t>
  </si>
  <si>
    <t xml:space="preserve">            Kyar Inn(VT)</t>
  </si>
  <si>
    <t xml:space="preserve">            Sin Sa Kan(VT)</t>
  </si>
  <si>
    <t xml:space="preserve">            Chin Kone(VT)</t>
  </si>
  <si>
    <t xml:space="preserve">            Lein Maw Chan(VT)</t>
  </si>
  <si>
    <t xml:space="preserve">            Poke Ta(VT)</t>
  </si>
  <si>
    <t xml:space="preserve">            Hpa Lon Bu Tar(VT)</t>
  </si>
  <si>
    <t xml:space="preserve">            Sa Par Kaing(VT)</t>
  </si>
  <si>
    <t xml:space="preserve">            Taung Yat Zee Kone(VT)</t>
  </si>
  <si>
    <t xml:space="preserve">            Gawt(VT)</t>
  </si>
  <si>
    <t xml:space="preserve">            Oke Kan Yae Thoe(VT)</t>
  </si>
  <si>
    <t xml:space="preserve">            Kywe Boke(VT)</t>
  </si>
  <si>
    <t xml:space="preserve">            Daik Inn(VT)</t>
  </si>
  <si>
    <t xml:space="preserve">            Pa Ni Pin(VT)</t>
  </si>
  <si>
    <t xml:space="preserve">            Yae Twin Kone(VT)</t>
  </si>
  <si>
    <t xml:space="preserve">            Hpa Lon Ywar Ma(VT)</t>
  </si>
  <si>
    <t xml:space="preserve">            Kun Chan Kone(VT)</t>
  </si>
  <si>
    <t xml:space="preserve">            Kyi Pin La Har(VT)</t>
  </si>
  <si>
    <t xml:space="preserve">            Oke Kan Kan Kone(VT)</t>
  </si>
  <si>
    <t xml:space="preserve">            Oke Kan Ywar Ma(VT)</t>
  </si>
  <si>
    <t xml:space="preserve">            Mee Nin Kan Kone(VT)</t>
  </si>
  <si>
    <t xml:space="preserve">            Kin Pa Tee(VT)</t>
  </si>
  <si>
    <t xml:space="preserve">            Aing Gyi(VT)</t>
  </si>
  <si>
    <t xml:space="preserve">            Yin Taik Lay Pin(VT)</t>
  </si>
  <si>
    <t xml:space="preserve">            Bwet Kone(VT)</t>
  </si>
  <si>
    <t xml:space="preserve">            Taung Boet Hla(VT)</t>
  </si>
  <si>
    <t xml:space="preserve">            Oke Kan Shan Su(VT)</t>
  </si>
  <si>
    <t xml:space="preserve">            Pyin Ma Kone(VT)</t>
  </si>
  <si>
    <t xml:space="preserve">            Yae Tar Lay(VT)</t>
  </si>
  <si>
    <t xml:space="preserve">            Tha Pyay Kone(VT)</t>
  </si>
  <si>
    <t xml:space="preserve">            Kan Myaung(VT)</t>
  </si>
  <si>
    <t xml:space="preserve">            Ta Bu Yae Thoe(VT)</t>
  </si>
  <si>
    <t xml:space="preserve">            Gon Hnyin Tan(VT)</t>
  </si>
  <si>
    <t xml:space="preserve">            San(VT)</t>
  </si>
  <si>
    <t xml:space="preserve">            Chaung Sauk(VT)</t>
  </si>
  <si>
    <t xml:space="preserve">            Kyo Chaung(VT)</t>
  </si>
  <si>
    <t xml:space="preserve">            Pan Pin Tan(VT)</t>
  </si>
  <si>
    <t xml:space="preserve">            Taw La Ti(VT)</t>
  </si>
  <si>
    <t xml:space="preserve">            Hpet Wun Kone(VT)</t>
  </si>
  <si>
    <t xml:space="preserve">            Ah La Boke(VT)</t>
  </si>
  <si>
    <t xml:space="preserve">            Min Hla Wa(VT)</t>
  </si>
  <si>
    <t xml:space="preserve">            Sin Chan(VT)</t>
  </si>
  <si>
    <t xml:space="preserve">            Taw Kha Yan(VT)</t>
  </si>
  <si>
    <t xml:space="preserve">            Khun Hnit Kyaik (East)(VT)</t>
  </si>
  <si>
    <t xml:space="preserve">            Khun Hnit Kyaik (West)(VT)</t>
  </si>
  <si>
    <t xml:space="preserve">            Hlaing(VT)</t>
  </si>
  <si>
    <t xml:space="preserve">            Bein Daw(VT)</t>
  </si>
  <si>
    <t xml:space="preserve">            Kan Ka Lay (A)(VT)</t>
  </si>
  <si>
    <t xml:space="preserve">            Baw La Kut(VT)</t>
  </si>
  <si>
    <t xml:space="preserve">            Chaung Thone Gwa(VT)</t>
  </si>
  <si>
    <t xml:space="preserve">            Ka Lawt Thawt(VT)</t>
  </si>
  <si>
    <t xml:space="preserve">            Kyon Ta Kin(VT)</t>
  </si>
  <si>
    <t xml:space="preserve">            Inn Ta Yar(VT)</t>
  </si>
  <si>
    <t xml:space="preserve">            Auk Yae Kan Kone(VT)</t>
  </si>
  <si>
    <t xml:space="preserve">            Ka Taing Sein(VT)</t>
  </si>
  <si>
    <t xml:space="preserve">            Hpoe Khaung(VT)</t>
  </si>
  <si>
    <t xml:space="preserve">            Ah Hta Yaung(VT)</t>
  </si>
  <si>
    <t xml:space="preserve">            Yae Twin Hpyu(VT)</t>
  </si>
  <si>
    <t xml:space="preserve">            Yae Paw Thaung(VT)</t>
  </si>
  <si>
    <t xml:space="preserve">            Kyway Bagan Chaung(VT)</t>
  </si>
  <si>
    <t xml:space="preserve">            Ngar Lar Chaung(VT)</t>
  </si>
  <si>
    <t xml:space="preserve">            Thea Hpyu(VT)</t>
  </si>
  <si>
    <t xml:space="preserve">            Moe Ku Lar(VT)</t>
  </si>
  <si>
    <t xml:space="preserve">            Ohn Pin Kwin(VT)</t>
  </si>
  <si>
    <t xml:space="preserve">            No(5)(W)</t>
  </si>
  <si>
    <t xml:space="preserve">            Htein Hnit Pin(VT)</t>
  </si>
  <si>
    <t xml:space="preserve">            Than Pu Yar Khon(VT)</t>
  </si>
  <si>
    <t xml:space="preserve">            Ka Lein(VT)</t>
  </si>
  <si>
    <t xml:space="preserve">            La Mu Tan Gyi(VT)</t>
  </si>
  <si>
    <t xml:space="preserve">            Yoe Gwa(VT)</t>
  </si>
  <si>
    <t xml:space="preserve">            Tha Bawt Chaung(VT)</t>
  </si>
  <si>
    <t xml:space="preserve">            Daunt Gyi(VT)</t>
  </si>
  <si>
    <t xml:space="preserve">            Ne Byaw(VT)</t>
  </si>
  <si>
    <t xml:space="preserve">            Pet Inn Ka Lay(VT)</t>
  </si>
  <si>
    <t xml:space="preserve">            Kyar Hone(VT)</t>
  </si>
  <si>
    <t xml:space="preserve">            Chaung Nyi Ah Ko(VT)</t>
  </si>
  <si>
    <t xml:space="preserve">            Ne Tha Mein(VT)</t>
  </si>
  <si>
    <t xml:space="preserve">            Hpoe Nat Pay(VT)</t>
  </si>
  <si>
    <t xml:space="preserve">            San Kin Gyi(VT)</t>
  </si>
  <si>
    <t xml:space="preserve">            Ah Pyin Yae Kyaw(VT)</t>
  </si>
  <si>
    <t xml:space="preserve">            Ah Twin Yae Kyaw(VT)</t>
  </si>
  <si>
    <t xml:space="preserve">            Hle Seik(VT)</t>
  </si>
  <si>
    <t xml:space="preserve">            Dat Taw Kone(VT)</t>
  </si>
  <si>
    <t xml:space="preserve">            Me Pa Li(VT)</t>
  </si>
  <si>
    <t xml:space="preserve">            Kya Man(VT)</t>
  </si>
  <si>
    <t xml:space="preserve">            Baw Lel(VT)</t>
  </si>
  <si>
    <t xml:space="preserve">            Ta Hlaing Hmyi(VT)</t>
  </si>
  <si>
    <t xml:space="preserve">            Ka Myaing(VT)</t>
  </si>
  <si>
    <t xml:space="preserve">            Shwe Kyar Byaik(VT)</t>
  </si>
  <si>
    <t xml:space="preserve">            Nyunt Paung(VT)</t>
  </si>
  <si>
    <t xml:space="preserve">            Kone Hle Seik(VT)</t>
  </si>
  <si>
    <t xml:space="preserve">            Tet Thit(VT)</t>
  </si>
  <si>
    <t xml:space="preserve">            Hnget Thaik(VT)</t>
  </si>
  <si>
    <t xml:space="preserve">            San Da Yaw(VT)</t>
  </si>
  <si>
    <t xml:space="preserve">            Htein Kone(VT)</t>
  </si>
  <si>
    <t xml:space="preserve">            War Ta Yar(West)(VT)</t>
  </si>
  <si>
    <t xml:space="preserve">            Rakhine Yoe Gyi(VT)</t>
  </si>
  <si>
    <t xml:space="preserve">            Deik Kone(VT)</t>
  </si>
  <si>
    <t xml:space="preserve">            Pa Yut(VT)</t>
  </si>
  <si>
    <t xml:space="preserve">            Kywe Chan Yoe (Kyein Paik Gyi)(VT)</t>
  </si>
  <si>
    <t xml:space="preserve">            Yae So(VT)</t>
  </si>
  <si>
    <t xml:space="preserve">            Mya Ge(VT)</t>
  </si>
  <si>
    <t xml:space="preserve">            Pan Taing (Lat Kyat)(VT)</t>
  </si>
  <si>
    <t xml:space="preserve">            Ka Twei(VT)</t>
  </si>
  <si>
    <t xml:space="preserve">            Kywe Ku(VT)</t>
  </si>
  <si>
    <t xml:space="preserve">            Bu Tha Nut(VT)</t>
  </si>
  <si>
    <t xml:space="preserve">            Ma Shwe Au(VT)</t>
  </si>
  <si>
    <t xml:space="preserve">            Ah Su Gyi(VT)</t>
  </si>
  <si>
    <t xml:space="preserve">            Tu Chaung(VT)</t>
  </si>
  <si>
    <t xml:space="preserve">            Taw La Teit(VT)</t>
  </si>
  <si>
    <t xml:space="preserve">            Ah Lein Lel(VT)</t>
  </si>
  <si>
    <t xml:space="preserve">            Kyu Taw(VT)</t>
  </si>
  <si>
    <t xml:space="preserve">            Da Ne Ri(VT)</t>
  </si>
  <si>
    <t xml:space="preserve">            Sat Ka Lay(VT)</t>
  </si>
  <si>
    <t xml:space="preserve">            Yae Hpyu(VT)</t>
  </si>
  <si>
    <t xml:space="preserve">            Ta Dar U(VT)</t>
  </si>
  <si>
    <t xml:space="preserve">            No(6)(W)</t>
  </si>
  <si>
    <t xml:space="preserve">            No(7)(W)</t>
  </si>
  <si>
    <t xml:space="preserve">            No(8)(W)</t>
  </si>
  <si>
    <t xml:space="preserve">            No(9)(W)</t>
  </si>
  <si>
    <t xml:space="preserve">            No(10)(W)</t>
  </si>
  <si>
    <t xml:space="preserve">            No(11)(W)</t>
  </si>
  <si>
    <t xml:space="preserve">            No(12)(W)</t>
  </si>
  <si>
    <t xml:space="preserve">            No(13)(W)</t>
  </si>
  <si>
    <t xml:space="preserve">            No(14)(W)</t>
  </si>
  <si>
    <t xml:space="preserve">            No(15)(W)</t>
  </si>
  <si>
    <t xml:space="preserve">            No(16)(W)</t>
  </si>
  <si>
    <t xml:space="preserve">            No(17)(W)</t>
  </si>
  <si>
    <t xml:space="preserve">            No(18)(W)</t>
  </si>
  <si>
    <t xml:space="preserve">            No(19)(W)</t>
  </si>
  <si>
    <t xml:space="preserve">            No(20)(W)</t>
  </si>
  <si>
    <t xml:space="preserve">            No(21)(W)</t>
  </si>
  <si>
    <t xml:space="preserve">            No(22)(W)</t>
  </si>
  <si>
    <t xml:space="preserve">            No(23)(W)</t>
  </si>
  <si>
    <t xml:space="preserve">            Oke Hpo(VT)</t>
  </si>
  <si>
    <t xml:space="preserve">            Zee Kone(VT)</t>
  </si>
  <si>
    <t xml:space="preserve">            Kyaung Kone(VT)</t>
  </si>
  <si>
    <t xml:space="preserve">            Hlaw Kar(VT)</t>
  </si>
  <si>
    <t xml:space="preserve">            Ka Sin(VT)</t>
  </si>
  <si>
    <t xml:space="preserve">            Shan Chaung(VT)</t>
  </si>
  <si>
    <t xml:space="preserve">            Nyaung(VT)</t>
  </si>
  <si>
    <t xml:space="preserve">            Ah Lel(VT)</t>
  </si>
  <si>
    <t xml:space="preserve">            Oke Kan Thaung Kyar (Yae Oke Kan)(VT)</t>
  </si>
  <si>
    <t xml:space="preserve">            Ah Pyin Pa Dan(VT)</t>
  </si>
  <si>
    <t xml:space="preserve">            Ah Twin Pa Dan(VT)</t>
  </si>
  <si>
    <t xml:space="preserve">            Ku Lar Gyi Su(VT)</t>
  </si>
  <si>
    <t xml:space="preserve">            Shwe Lin Ban(VT)</t>
  </si>
  <si>
    <t xml:space="preserve">            Ka Ward(W)</t>
  </si>
  <si>
    <t xml:space="preserve">            Kha Ward(W)</t>
  </si>
  <si>
    <t xml:space="preserve">            Ga Ward(W)</t>
  </si>
  <si>
    <t xml:space="preserve">            Ga Gyi Ward(W)</t>
  </si>
  <si>
    <t xml:space="preserve">            Nga/Ka Ward(W)</t>
  </si>
  <si>
    <t xml:space="preserve">            Nga/Kha (W)</t>
  </si>
  <si>
    <t xml:space="preserve">            Bo Kan Nyunt (W)</t>
  </si>
  <si>
    <t xml:space="preserve">            Bank Yeik Thar(W)</t>
  </si>
  <si>
    <t xml:space="preserve">            Yan Aung(W)</t>
  </si>
  <si>
    <t xml:space="preserve">            U San Hpe(W)</t>
  </si>
  <si>
    <t xml:space="preserve">            Thut Waing Gyi(W)</t>
  </si>
  <si>
    <t xml:space="preserve">            Thu Min Ga Lar/Sa-Thu Min Ga Lar(W)</t>
  </si>
  <si>
    <t xml:space="preserve">            Na Nwin Kone(W)</t>
  </si>
  <si>
    <t xml:space="preserve">            Sa/Ka(W)</t>
  </si>
  <si>
    <t xml:space="preserve">            Sa/Kha(W)</t>
  </si>
  <si>
    <t xml:space="preserve">            Za (South)Ward (W)</t>
  </si>
  <si>
    <t xml:space="preserve">            Za (North)Ward (W)</t>
  </si>
  <si>
    <t xml:space="preserve">            Za Wa Na(W)</t>
  </si>
  <si>
    <t xml:space="preserve">            Kyaik Ka San (West)(W)</t>
  </si>
  <si>
    <t xml:space="preserve">            Ba Wa Myint(W)</t>
  </si>
  <si>
    <t xml:space="preserve">            Nga Moe Yeik(W)</t>
  </si>
  <si>
    <t xml:space="preserve">            San Pya(W)</t>
  </si>
  <si>
    <t xml:space="preserve">            Kyi Pwar Ye(W)</t>
  </si>
  <si>
    <t xml:space="preserve">            Lay Daunt Kan(W)</t>
  </si>
  <si>
    <t xml:space="preserve">            Yangon Thit(W)</t>
  </si>
  <si>
    <t xml:space="preserve">            No(24) Thu Wa Na(W)</t>
  </si>
  <si>
    <t xml:space="preserve">            No(25) Thu Wa Na(W)</t>
  </si>
  <si>
    <t xml:space="preserve">            No(29) Thu Wa Na(W)</t>
  </si>
  <si>
    <t xml:space="preserve">            Su Paung Ein Yar(W)</t>
  </si>
  <si>
    <t xml:space="preserve">            Aung Su Pan(W)</t>
  </si>
  <si>
    <t xml:space="preserve">            Mi Chaung Kan 1(W)</t>
  </si>
  <si>
    <t xml:space="preserve">            Mi Chaung Kan 2(W)</t>
  </si>
  <si>
    <t xml:space="preserve">            Mi Chaung Kan 3(W)</t>
  </si>
  <si>
    <t xml:space="preserve">            No(16/1)(W)</t>
  </si>
  <si>
    <t xml:space="preserve">            No(16/2)(W)</t>
  </si>
  <si>
    <t xml:space="preserve">            No(16/3)(W)</t>
  </si>
  <si>
    <t xml:space="preserve">            No(16/4)(W)</t>
  </si>
  <si>
    <t xml:space="preserve">            Sei Thein(W)</t>
  </si>
  <si>
    <t xml:space="preserve">            (Ka)(W)</t>
  </si>
  <si>
    <t xml:space="preserve">            (Kha)(W)</t>
  </si>
  <si>
    <t xml:space="preserve">            (Ga)(W)</t>
  </si>
  <si>
    <t xml:space="preserve">            (Ga Gyi)(W)</t>
  </si>
  <si>
    <t xml:space="preserve">            (Nga)(W)</t>
  </si>
  <si>
    <t xml:space="preserve">            (Sa)(W)</t>
  </si>
  <si>
    <t xml:space="preserve">            (Saa)(W)</t>
  </si>
  <si>
    <t xml:space="preserve">            (Za)(W)</t>
  </si>
  <si>
    <t xml:space="preserve">            (Za Myin Zwe)(W)</t>
  </si>
  <si>
    <t xml:space="preserve">            (Nya)(W)</t>
  </si>
  <si>
    <t xml:space="preserve">            (Ta Ta Lin Cheik)(W)</t>
  </si>
  <si>
    <t xml:space="preserve">            (Hta Won Bei)(W)</t>
  </si>
  <si>
    <t xml:space="preserve">            Ta Dar Gyi Ward(W)</t>
  </si>
  <si>
    <t xml:space="preserve">            Kyauk Yae Twin(W)</t>
  </si>
  <si>
    <t xml:space="preserve">            Pa Ywet Seik Kone(W)</t>
  </si>
  <si>
    <t xml:space="preserve">            Way Bar Gi Myo Thit(W)</t>
  </si>
  <si>
    <t xml:space="preserve">            Shwe Pauk Kan Myo Thit(W)</t>
  </si>
  <si>
    <t xml:space="preserve">            Set Hmu Let Hmu(W)</t>
  </si>
  <si>
    <t xml:space="preserve">            No(1) Ah Naw Mar(W)</t>
  </si>
  <si>
    <t xml:space="preserve">            No(1) Htu Par Yon(W)</t>
  </si>
  <si>
    <t xml:space="preserve">            No(2) (South)(W)</t>
  </si>
  <si>
    <t xml:space="preserve">            No(2) (North)(W)</t>
  </si>
  <si>
    <t xml:space="preserve">            No(3) Yan Pyay(W)</t>
  </si>
  <si>
    <t xml:space="preserve">            No(3) Man Pyay(W)</t>
  </si>
  <si>
    <t xml:space="preserve">            No(4)(South)(W)</t>
  </si>
  <si>
    <t xml:space="preserve">            No(4)(North)(W)</t>
  </si>
  <si>
    <t xml:space="preserve">            No(6) (East)(W)</t>
  </si>
  <si>
    <t xml:space="preserve">            No(6) (West)(W)</t>
  </si>
  <si>
    <t xml:space="preserve">            No(7) (East)(W)</t>
  </si>
  <si>
    <t xml:space="preserve">            No(7) (West)(W)</t>
  </si>
  <si>
    <t xml:space="preserve">            No(10)(South)(W)</t>
  </si>
  <si>
    <t xml:space="preserve">            No(10)(North)(W)</t>
  </si>
  <si>
    <t xml:space="preserve">            Shu Khin Thar(W)</t>
  </si>
  <si>
    <t xml:space="preserve">            Nwe Aye(W)</t>
  </si>
  <si>
    <t xml:space="preserve">            Bamar Aye(W)</t>
  </si>
  <si>
    <t xml:space="preserve">            Bo Htun Zan(W)</t>
  </si>
  <si>
    <t xml:space="preserve">            Kyi Su(W)</t>
  </si>
  <si>
    <t xml:space="preserve">            Say Sat(W)</t>
  </si>
  <si>
    <t xml:space="preserve">            Myo Thit(W)</t>
  </si>
  <si>
    <t xml:space="preserve">            Pa Thein Myay(W)</t>
  </si>
  <si>
    <t xml:space="preserve">            War So(W)</t>
  </si>
  <si>
    <t xml:space="preserve">            Aung Chan Thar(W)</t>
  </si>
  <si>
    <t xml:space="preserve">            La Mu Tan(W)</t>
  </si>
  <si>
    <t xml:space="preserve">            Ya Mon Nar(2)(W)</t>
  </si>
  <si>
    <t xml:space="preserve">            Ya Mon Nar(1)(W)</t>
  </si>
  <si>
    <t xml:space="preserve">            Zay Yar Thiri(W)</t>
  </si>
  <si>
    <t xml:space="preserve">            Thin Baw Kyin(W)</t>
  </si>
  <si>
    <t xml:space="preserve">            Ma Au Kone(W)</t>
  </si>
  <si>
    <t xml:space="preserve">            Pon Nar Kone(W)</t>
  </si>
  <si>
    <t xml:space="preserve">            Ah Yoe Kone(W)</t>
  </si>
  <si>
    <t xml:space="preserve">            Pyar Yay Kone(W)</t>
  </si>
  <si>
    <t xml:space="preserve">            Nat Mauk(W)</t>
  </si>
  <si>
    <t xml:space="preserve">            Bo Lein Aung Min Ga Lar(W)</t>
  </si>
  <si>
    <t xml:space="preserve">            Kyauk Myaung Gyi(W)</t>
  </si>
  <si>
    <t xml:space="preserve">            Kyauk Myaung Ah Htet(W)</t>
  </si>
  <si>
    <t xml:space="preserve">            Kyauk Myaung (East)(W)</t>
  </si>
  <si>
    <t xml:space="preserve">            Pa Thein Nyunt(W)</t>
  </si>
  <si>
    <t xml:space="preserve">            Kyar Kwet Thit(W)</t>
  </si>
  <si>
    <t xml:space="preserve">            Byaing Yay OeZin Kwet Thit(W)</t>
  </si>
  <si>
    <t xml:space="preserve">            Byaing Yay Oe Zin Ywar Ma(W)</t>
  </si>
  <si>
    <t xml:space="preserve">            Ma Hlwa Kone Htay Kywe (Ka)(W)</t>
  </si>
  <si>
    <t xml:space="preserve">            Nat Chaung(W)</t>
  </si>
  <si>
    <t xml:space="preserve">            Tar Mway Gyi (Ka + Ga)(W)</t>
  </si>
  <si>
    <t xml:space="preserve">            Tar Mway Gyi (Kha)(W)</t>
  </si>
  <si>
    <t xml:space="preserve">            Myit Tar Nyunt(W)</t>
  </si>
  <si>
    <t xml:space="preserve">            Tar Mway Lay Ward(W)</t>
  </si>
  <si>
    <t xml:space="preserve">            Man Aung Ward(W)</t>
  </si>
  <si>
    <t xml:space="preserve">            No(3)/No (3)/(4)(W)</t>
  </si>
  <si>
    <t xml:space="preserve">            No(17)(South)/ No (17)(W)</t>
  </si>
  <si>
    <t xml:space="preserve">            No(24)(W)</t>
  </si>
  <si>
    <t xml:space="preserve">            No(25)(W)</t>
  </si>
  <si>
    <t xml:space="preserve">            No(26)(W)</t>
  </si>
  <si>
    <t xml:space="preserve">            No(53)(W)</t>
  </si>
  <si>
    <t xml:space="preserve">            No(54)(W)</t>
  </si>
  <si>
    <t xml:space="preserve">            No(55)(W)</t>
  </si>
  <si>
    <t xml:space="preserve">            No(56)(W)</t>
  </si>
  <si>
    <t xml:space="preserve">            No(57)(W)</t>
  </si>
  <si>
    <t xml:space="preserve">            No(63)(W)</t>
  </si>
  <si>
    <t xml:space="preserve">            No(64)(W)</t>
  </si>
  <si>
    <t xml:space="preserve">            No(65)(W)</t>
  </si>
  <si>
    <t xml:space="preserve">            No(70)(W)</t>
  </si>
  <si>
    <t xml:space="preserve">            No(71)(W)</t>
  </si>
  <si>
    <t xml:space="preserve">            No(72)(W)</t>
  </si>
  <si>
    <t xml:space="preserve">            No(104)(W)</t>
  </si>
  <si>
    <t xml:space="preserve">            No(105)(W)</t>
  </si>
  <si>
    <t xml:space="preserve">            No(106)(W)</t>
  </si>
  <si>
    <t xml:space="preserve">            No(107)(W)</t>
  </si>
  <si>
    <t xml:space="preserve">            No(140)(W)</t>
  </si>
  <si>
    <t xml:space="preserve">            Kyi Su(West)(W)</t>
  </si>
  <si>
    <t xml:space="preserve">            Ywar Thar Gyi(South)/Ywar Thar Gyi(W)</t>
  </si>
  <si>
    <t xml:space="preserve">            Thone Gwa(South)/Thone Gwa (W)</t>
  </si>
  <si>
    <t xml:space="preserve">            Lay Daunt Kan(South)/Lay Daunt kan(W)</t>
  </si>
  <si>
    <t xml:space="preserve">            Saik Mway (1)(W)</t>
  </si>
  <si>
    <t xml:space="preserve">            Shan Te Gyi(South)/Shan Te Gyi(W)</t>
  </si>
  <si>
    <t xml:space="preserve">            No(27)(W)</t>
  </si>
  <si>
    <t xml:space="preserve">            No(28)(W)</t>
  </si>
  <si>
    <t xml:space="preserve">            No(29)(W)</t>
  </si>
  <si>
    <t xml:space="preserve">            No(30)(W)</t>
  </si>
  <si>
    <t xml:space="preserve">            No(31)(W)</t>
  </si>
  <si>
    <t xml:space="preserve">            No(32)(W)</t>
  </si>
  <si>
    <t xml:space="preserve">            No(33)(W)</t>
  </si>
  <si>
    <t xml:space="preserve">            No(34)(W)</t>
  </si>
  <si>
    <t xml:space="preserve">            No(35)(W)</t>
  </si>
  <si>
    <t xml:space="preserve">            No(36)(W)</t>
  </si>
  <si>
    <t xml:space="preserve">            No(37)(W)</t>
  </si>
  <si>
    <t xml:space="preserve">            No(38)(W)</t>
  </si>
  <si>
    <t xml:space="preserve">            No(39)(W)</t>
  </si>
  <si>
    <t xml:space="preserve">            No(40)(W)</t>
  </si>
  <si>
    <t xml:space="preserve">            No(41)(W)</t>
  </si>
  <si>
    <t xml:space="preserve">            No(41) Extension(W)</t>
  </si>
  <si>
    <t xml:space="preserve">            No(42)(W)</t>
  </si>
  <si>
    <t xml:space="preserve">            No(43)(W)</t>
  </si>
  <si>
    <t xml:space="preserve">            No(44)(W)</t>
  </si>
  <si>
    <t xml:space="preserve">            No(45)(W)</t>
  </si>
  <si>
    <t xml:space="preserve">            No(46)(W)</t>
  </si>
  <si>
    <t xml:space="preserve">            No(47)(W)</t>
  </si>
  <si>
    <t xml:space="preserve">            No(48)(W)</t>
  </si>
  <si>
    <t xml:space="preserve">            No(49)(W)</t>
  </si>
  <si>
    <t xml:space="preserve">            No(50)(W)</t>
  </si>
  <si>
    <t xml:space="preserve">            No(51)(W)</t>
  </si>
  <si>
    <t xml:space="preserve">            No(52)(W)</t>
  </si>
  <si>
    <t xml:space="preserve">            No(108)(W)</t>
  </si>
  <si>
    <t xml:space="preserve">            No(110)(W)</t>
  </si>
  <si>
    <t xml:space="preserve">            No(118)(W)</t>
  </si>
  <si>
    <t xml:space="preserve">            No(124)(W)</t>
  </si>
  <si>
    <t xml:space="preserve">            No(125)(W)</t>
  </si>
  <si>
    <t xml:space="preserve">            Sit Pin (South)(W)</t>
  </si>
  <si>
    <t xml:space="preserve">            Taung Ta Loke(W)</t>
  </si>
  <si>
    <t xml:space="preserve">            Ywar Thar Gyi(Ah Shey Paing)(W)</t>
  </si>
  <si>
    <t xml:space="preserve">            Thone Khwa/Ah Shey Paing(W)</t>
  </si>
  <si>
    <t xml:space="preserve">            No(133)(W)</t>
  </si>
  <si>
    <t xml:space="preserve">            No(155)(W)</t>
  </si>
  <si>
    <t xml:space="preserve">            No(156)(W)</t>
  </si>
  <si>
    <t xml:space="preserve">            Shan Te Gyi (East)(VT)</t>
  </si>
  <si>
    <t xml:space="preserve">            Ma Lit(East)(VT)</t>
  </si>
  <si>
    <t xml:space="preserve">            Lay Daunt Kan (East)(VT)</t>
  </si>
  <si>
    <t xml:space="preserve">            No(58)(W)</t>
  </si>
  <si>
    <t xml:space="preserve">            No(59)(W)</t>
  </si>
  <si>
    <t xml:space="preserve">            No(60)(W)</t>
  </si>
  <si>
    <t xml:space="preserve">            No(61)(W)</t>
  </si>
  <si>
    <t xml:space="preserve">            No(67)(W)</t>
  </si>
  <si>
    <t xml:space="preserve">            No(68)(W)</t>
  </si>
  <si>
    <t xml:space="preserve">            No(69)(W)</t>
  </si>
  <si>
    <t xml:space="preserve">            No(73)(W)</t>
  </si>
  <si>
    <t xml:space="preserve">            No(75)(W)</t>
  </si>
  <si>
    <t xml:space="preserve">            No(76)(W)</t>
  </si>
  <si>
    <t xml:space="preserve">            No(77)(W)</t>
  </si>
  <si>
    <t xml:space="preserve">            No(78)(W)</t>
  </si>
  <si>
    <t xml:space="preserve">            No(79)(W)</t>
  </si>
  <si>
    <t xml:space="preserve">            No(80)(W)</t>
  </si>
  <si>
    <t xml:space="preserve">            No(81)(W)</t>
  </si>
  <si>
    <t xml:space="preserve">            No(82)(W)</t>
  </si>
  <si>
    <t xml:space="preserve">            No(83)(W)</t>
  </si>
  <si>
    <t xml:space="preserve">            No(84)(W)</t>
  </si>
  <si>
    <t xml:space="preserve">            No(85)(W)</t>
  </si>
  <si>
    <t xml:space="preserve">            No(86)(W)</t>
  </si>
  <si>
    <t xml:space="preserve">            No(87)(W)</t>
  </si>
  <si>
    <t xml:space="preserve">            No(88)(W)</t>
  </si>
  <si>
    <t xml:space="preserve">            No(89)(W)</t>
  </si>
  <si>
    <t xml:space="preserve">            No(90)(W)</t>
  </si>
  <si>
    <t xml:space="preserve">            No(91)(W)</t>
  </si>
  <si>
    <t xml:space="preserve">            No(92)(W)</t>
  </si>
  <si>
    <t xml:space="preserve">            No(93)(W)</t>
  </si>
  <si>
    <t xml:space="preserve">            No(94)(W)</t>
  </si>
  <si>
    <t xml:space="preserve">            No(98)(W)</t>
  </si>
  <si>
    <t xml:space="preserve">            No(168)(W)</t>
  </si>
  <si>
    <t xml:space="preserve">            Kyi Su(East)(VT)</t>
  </si>
  <si>
    <t xml:space="preserve">            Nyaung Pin(VT)</t>
  </si>
  <si>
    <t xml:space="preserve">            Tha Yet Pin Chaung(VT)</t>
  </si>
  <si>
    <t xml:space="preserve">            Da La Ban(VT)</t>
  </si>
  <si>
    <t xml:space="preserve">            U Yin(W)</t>
  </si>
  <si>
    <t xml:space="preserve">            San Pya Hpa Sa Pa La(W)</t>
  </si>
  <si>
    <t xml:space="preserve">            Kan Taw Ka Lay (North)(W)</t>
  </si>
  <si>
    <t xml:space="preserve">            Kan Taw Ka Lay (West)(W)</t>
  </si>
  <si>
    <t xml:space="preserve">            Kan Taw Ka Lay (East)(W)</t>
  </si>
  <si>
    <t xml:space="preserve">            Kan Taw Ka Lay (South)(W)</t>
  </si>
  <si>
    <t xml:space="preserve">            Thein Hpyu Mee Ya Htar(W)</t>
  </si>
  <si>
    <t xml:space="preserve">            Lut Lat Yay(W)</t>
  </si>
  <si>
    <t xml:space="preserve">            Hpoet Myay(W)</t>
  </si>
  <si>
    <t xml:space="preserve">            Taung Nyunt Mee Ya Htar(W)</t>
  </si>
  <si>
    <t xml:space="preserve">            Min Ga Lar Taung Nyunt(W)</t>
  </si>
  <si>
    <t xml:space="preserve">            Kyee Taw(W)</t>
  </si>
  <si>
    <t xml:space="preserve">            Taung Lone Pyan(W)</t>
  </si>
  <si>
    <t xml:space="preserve">            Yae Twin Kone(W)</t>
  </si>
  <si>
    <t xml:space="preserve">            The Pyay Kone(W)</t>
  </si>
  <si>
    <t xml:space="preserve">            Thar Yar Kone(W)</t>
  </si>
  <si>
    <t xml:space="preserve">            Ma Hlwa Kone(W)</t>
  </si>
  <si>
    <t xml:space="preserve">            Sat San(W)</t>
  </si>
  <si>
    <t xml:space="preserve">            Ku Toet Seik(W)</t>
  </si>
  <si>
    <t xml:space="preserve">            Myo Haung (West)(W)</t>
  </si>
  <si>
    <t xml:space="preserve">            Myo Haung (Middle)(W)</t>
  </si>
  <si>
    <t xml:space="preserve">            Myo Haung (East)(W)</t>
  </si>
  <si>
    <t xml:space="preserve">            Thauk Taw Kwin(W)</t>
  </si>
  <si>
    <t xml:space="preserve">            Oke Hpo Su(W)</t>
  </si>
  <si>
    <t xml:space="preserve">            Ah Mhu Htan(W)</t>
  </si>
  <si>
    <t xml:space="preserve">            Bago Su(W)</t>
  </si>
  <si>
    <t xml:space="preserve">            Htan Pin Kone(W)</t>
  </si>
  <si>
    <t xml:space="preserve">            Myo Thit (East)(W)</t>
  </si>
  <si>
    <t xml:space="preserve">            Myo Thit (Middle)(W)</t>
  </si>
  <si>
    <t xml:space="preserve">            Myo Thit (West)(W)</t>
  </si>
  <si>
    <t xml:space="preserve">            Myo Ma (South)(W)</t>
  </si>
  <si>
    <t xml:space="preserve">            Myo Ma (North)(W)</t>
  </si>
  <si>
    <t xml:space="preserve">            Dahr Gar(W)</t>
  </si>
  <si>
    <t xml:space="preserve">            Yae Nan(W)</t>
  </si>
  <si>
    <t xml:space="preserve">            Win Kha Nee(VT)</t>
  </si>
  <si>
    <t xml:space="preserve">            Hpar Ku (East)(VT)</t>
  </si>
  <si>
    <t xml:space="preserve">            Hpar Ku (West)(VT)</t>
  </si>
  <si>
    <t xml:space="preserve">            Day Zat(VT)</t>
  </si>
  <si>
    <t xml:space="preserve">            Yone Tha Pyay Kan(VT)</t>
  </si>
  <si>
    <t xml:space="preserve">            Min Ga Lun(VT)</t>
  </si>
  <si>
    <t xml:space="preserve">            Baw Tha Pyay Kan(VT)</t>
  </si>
  <si>
    <t xml:space="preserve">            Kayin Seik(VT)</t>
  </si>
  <si>
    <t xml:space="preserve">            Bagan Taung(VT)</t>
  </si>
  <si>
    <t xml:space="preserve">            Ah Lun Soke(VT)</t>
  </si>
  <si>
    <t xml:space="preserve">            Kyaung Kone Seik Gyi/Gya Mar(VT)</t>
  </si>
  <si>
    <t xml:space="preserve">            Let Yet San(VT)</t>
  </si>
  <si>
    <t xml:space="preserve">            Thu Htay Kwin(VT)</t>
  </si>
  <si>
    <t xml:space="preserve">            Sit Pin Kwin(VT)</t>
  </si>
  <si>
    <t xml:space="preserve">            Ba Yet(VT)</t>
  </si>
  <si>
    <t xml:space="preserve">            Nga Byay Ma(VT)</t>
  </si>
  <si>
    <t xml:space="preserve">            Nga/Pa(VT)</t>
  </si>
  <si>
    <t xml:space="preserve">            Bo Gyoke(VT)</t>
  </si>
  <si>
    <t xml:space="preserve">            Nyaung Thone Pin(VT)</t>
  </si>
  <si>
    <t xml:space="preserve">            Hpa Yar Kone(VT)</t>
  </si>
  <si>
    <t xml:space="preserve">            La Har Yet(VT)</t>
  </si>
  <si>
    <t xml:space="preserve">            Ka Dat Hpyar(VT)</t>
  </si>
  <si>
    <t xml:space="preserve">            Nyaung Lay Pin(VT)</t>
  </si>
  <si>
    <t xml:space="preserve">            Ku Lar Wea(VT)</t>
  </si>
  <si>
    <t xml:space="preserve">            Say Lone Gyi(VT)</t>
  </si>
  <si>
    <t xml:space="preserve">            Ah Shey Paing(W)</t>
  </si>
  <si>
    <t xml:space="preserve">            Ah Lel Paing(W)</t>
  </si>
  <si>
    <t xml:space="preserve">            Ah Nauk Paing(W)</t>
  </si>
  <si>
    <t xml:space="preserve">            Sin Kan(W)</t>
  </si>
  <si>
    <t xml:space="preserve">            Shwe Kone(W)</t>
  </si>
  <si>
    <t xml:space="preserve">            San Chein Hmi(W)</t>
  </si>
  <si>
    <t xml:space="preserve">            Thi Tar Myaing(W)</t>
  </si>
  <si>
    <t xml:space="preserve">            Shwe Pyi Thar Yar(W)</t>
  </si>
  <si>
    <t xml:space="preserve">            Aye Mya Thi Dar(W)</t>
  </si>
  <si>
    <t xml:space="preserve">            Kan Pyaung(VT)</t>
  </si>
  <si>
    <t xml:space="preserve">            Pi La Khat(VT)</t>
  </si>
  <si>
    <t xml:space="preserve">            Kyon Kan(VT)</t>
  </si>
  <si>
    <t xml:space="preserve">            Wea Gyi(VT)</t>
  </si>
  <si>
    <t xml:space="preserve">            Ywar Thit Gyi(VT)</t>
  </si>
  <si>
    <t xml:space="preserve">            Kyan Pin(VT)</t>
  </si>
  <si>
    <t xml:space="preserve">            Thaung Gyi(VT)</t>
  </si>
  <si>
    <t xml:space="preserve">            Kayin Chaung(VT)</t>
  </si>
  <si>
    <t xml:space="preserve">            Kwe Ka Nar(VT)</t>
  </si>
  <si>
    <t xml:space="preserve">            Ah Se(VT)</t>
  </si>
  <si>
    <t xml:space="preserve">            Na Ywe Chaung(VT)</t>
  </si>
  <si>
    <t xml:space="preserve">            Sit Ta Pin(VT)</t>
  </si>
  <si>
    <t xml:space="preserve">            Mya Kaing(VT)</t>
  </si>
  <si>
    <t xml:space="preserve">            Boe Ba(VT)</t>
  </si>
  <si>
    <t xml:space="preserve">            Tha Nat Pin Chin(VT)</t>
  </si>
  <si>
    <t xml:space="preserve">            Baw Ka Lut(VT)</t>
  </si>
  <si>
    <t xml:space="preserve">            Kwa Hnee(VT)</t>
  </si>
  <si>
    <t xml:space="preserve">            Zwe Par Kone Tan(VT)</t>
  </si>
  <si>
    <t xml:space="preserve">            Nyaung Waingv</t>
  </si>
  <si>
    <t xml:space="preserve">            Yae Kyaw(VT)</t>
  </si>
  <si>
    <t xml:space="preserve">            Kyar Kan(VT)</t>
  </si>
  <si>
    <t xml:space="preserve">            Par Da Gyi(VT)</t>
  </si>
  <si>
    <t xml:space="preserve">            U Yin(VT)</t>
  </si>
  <si>
    <t xml:space="preserve">            Shwe Pyauk(VT)</t>
  </si>
  <si>
    <t xml:space="preserve">            Pan Taw(VT)</t>
  </si>
  <si>
    <t xml:space="preserve">            Ywar Thit Ka Lay(VT)</t>
  </si>
  <si>
    <t xml:space="preserve">            Mee Pya(VT)</t>
  </si>
  <si>
    <t xml:space="preserve">            Ka Mar Ka Loke(VT)</t>
  </si>
  <si>
    <t xml:space="preserve">            Ku Lar Tan(VT)</t>
  </si>
  <si>
    <t xml:space="preserve">            Kha Naung(VT)</t>
  </si>
  <si>
    <t xml:space="preserve">            Pale(VT)</t>
  </si>
  <si>
    <t xml:space="preserve">            Nyaung Ni(VT)</t>
  </si>
  <si>
    <t xml:space="preserve">            Ywar Thit(VT)</t>
  </si>
  <si>
    <t xml:space="preserve">            Thaik Tu Kan(VT)</t>
  </si>
  <si>
    <t xml:space="preserve">            Kan Myint(VT)</t>
  </si>
  <si>
    <t xml:space="preserve">            Pyin Ma Kan(VT)</t>
  </si>
  <si>
    <t xml:space="preserve">            Ye Nwet(VT)</t>
  </si>
  <si>
    <t xml:space="preserve">            Kyar Win(VT)</t>
  </si>
  <si>
    <t xml:space="preserve">            Bant Bway(VT)</t>
  </si>
  <si>
    <t xml:space="preserve">            Eik Tha Ya(VT)</t>
  </si>
  <si>
    <t xml:space="preserve">            Thongwa (West)(VT)</t>
  </si>
  <si>
    <t xml:space="preserve">            Nan Yaw(VT)</t>
  </si>
  <si>
    <t xml:space="preserve">            Pa Dat Taing(VT)</t>
  </si>
  <si>
    <t xml:space="preserve">            Let Pan Nan Kha Le(VT)</t>
  </si>
  <si>
    <t xml:space="preserve">            Sa Bai Chaung(VT)</t>
  </si>
  <si>
    <t xml:space="preserve">            Kyon Kyeik(VT)</t>
  </si>
  <si>
    <t xml:space="preserve">            Ka Dat Pa Na(VT)</t>
  </si>
  <si>
    <t xml:space="preserve">            Se(VT)</t>
  </si>
  <si>
    <t xml:space="preserve">            Tha Yaw Taw(VT)</t>
  </si>
  <si>
    <t xml:space="preserve">            Ah Hpaung(VT)</t>
  </si>
  <si>
    <t xml:space="preserve">            Kyar Bo(VT)</t>
  </si>
  <si>
    <t xml:space="preserve">            Ah Zat Wa(VT)</t>
  </si>
  <si>
    <t xml:space="preserve">            Hpa Yar Gyi(VT)</t>
  </si>
  <si>
    <t xml:space="preserve">            Ta Man Gyi(VT)</t>
  </si>
  <si>
    <t xml:space="preserve">            Ah Zan Taw Sun(VT)</t>
  </si>
  <si>
    <t xml:space="preserve">            Hpa Yon Kan(VT)</t>
  </si>
  <si>
    <t xml:space="preserve">            Mi Chaung Kan(VT)</t>
  </si>
  <si>
    <t xml:space="preserve">            Ta Kaw(VT)</t>
  </si>
  <si>
    <t xml:space="preserve">            Let Pan Kyoe(VT)</t>
  </si>
  <si>
    <t xml:space="preserve">            Yae Paw Kan(VT)</t>
  </si>
  <si>
    <t xml:space="preserve">            Tha Khut Kone(VT)</t>
  </si>
  <si>
    <t xml:space="preserve">            Shan Su(VT)</t>
  </si>
  <si>
    <t xml:space="preserve">            Kun Ka La(VT)</t>
  </si>
  <si>
    <t xml:space="preserve">            Bagan Taung Su(VT)</t>
  </si>
  <si>
    <t xml:space="preserve">            Pa Toke(VT)</t>
  </si>
  <si>
    <t xml:space="preserve">            Zwe Taw(VT)</t>
  </si>
  <si>
    <t xml:space="preserve">            Htone Gyi(VT)</t>
  </si>
  <si>
    <t xml:space="preserve">            Kone Kha Lar(VT)</t>
  </si>
  <si>
    <t xml:space="preserve">            Ka Tone Paw (Upper)(VT)</t>
  </si>
  <si>
    <t xml:space="preserve">            Ka Tone Paw (Middle)(VT)</t>
  </si>
  <si>
    <t xml:space="preserve">            Let Pan Chaung(VT)</t>
  </si>
  <si>
    <t xml:space="preserve">            Ma Gyi Pin Chaung(VT)</t>
  </si>
  <si>
    <t xml:space="preserve">            Kaing Kone(VT)</t>
  </si>
  <si>
    <t xml:space="preserve">            Kywe Te Kone(VT)</t>
  </si>
  <si>
    <t xml:space="preserve">            Nyaung Pin Khin Tan(VT)</t>
  </si>
  <si>
    <t xml:space="preserve">            Ah Lan Kone(VT)</t>
  </si>
  <si>
    <t xml:space="preserve">            Sit Kone Taw Sun(VT)</t>
  </si>
  <si>
    <t xml:space="preserve">            Tin Taung Chaung(VT)</t>
  </si>
  <si>
    <t xml:space="preserve">            Hmo Kone Thar(VT)</t>
  </si>
  <si>
    <t xml:space="preserve">            Aung Pan Sein(VT)</t>
  </si>
  <si>
    <t xml:space="preserve">            Aung Thar Dan(VT)</t>
  </si>
  <si>
    <t xml:space="preserve">            Aw Bar Nyunt(VT)</t>
  </si>
  <si>
    <t xml:space="preserve">            Beik Theik(VT)</t>
  </si>
  <si>
    <t xml:space="preserve">            Ma Har Meik(VT)</t>
  </si>
  <si>
    <t xml:space="preserve">            Hay Ma Za Lar(VT)</t>
  </si>
  <si>
    <t xml:space="preserve">            Min Ywar Ah Thin(VT)</t>
  </si>
  <si>
    <t xml:space="preserve">            Tha Ma Seik Ta(VT)</t>
  </si>
  <si>
    <t xml:space="preserve">            Thar Thar Myaing(VT)</t>
  </si>
  <si>
    <t xml:space="preserve">            Thar Ga Ra(VT)</t>
  </si>
  <si>
    <t xml:space="preserve">            Htun Sein Ah Thin(VT)</t>
  </si>
  <si>
    <t xml:space="preserve">            Zaw Ti Ka(VT)</t>
  </si>
  <si>
    <t xml:space="preserve">            Yan Gyi Aung(VT)</t>
  </si>
  <si>
    <t xml:space="preserve">            Pauk Pin(VT)</t>
  </si>
  <si>
    <t xml:space="preserve">            Ka Mar Mat(VT)</t>
  </si>
  <si>
    <t xml:space="preserve">            Met Ka Than(VT)</t>
  </si>
  <si>
    <t xml:space="preserve">            Kyone Kyone Kya(VT)</t>
  </si>
  <si>
    <t xml:space="preserve">            Maung Ma(VT)</t>
  </si>
  <si>
    <t xml:space="preserve">            Ka Mar Chaik(VT)</t>
  </si>
  <si>
    <t xml:space="preserve">            Ah Lel</t>
  </si>
  <si>
    <t xml:space="preserve">            Aye Ywar(VT)</t>
  </si>
  <si>
    <t xml:space="preserve">            Swei Ka Tawt(VT)</t>
  </si>
  <si>
    <t xml:space="preserve">            Pein Kan</t>
  </si>
  <si>
    <t xml:space="preserve">            Hla Bi Lu(VT)</t>
  </si>
  <si>
    <t xml:space="preserve">            Ma Gyi Kan(VT)</t>
  </si>
  <si>
    <t xml:space="preserve">            Kyon Tu(VT)</t>
  </si>
  <si>
    <t xml:space="preserve">            Ka Ma Ka Lu(VT)</t>
  </si>
  <si>
    <t xml:space="preserve">            Kayin Kan(VT)</t>
  </si>
  <si>
    <t xml:space="preserve">            Kan Nyi Naung(VT)</t>
  </si>
  <si>
    <t xml:space="preserve">            Kywe Da Lin(VT)</t>
  </si>
  <si>
    <t xml:space="preserve">            Thet Kei Kone(VT)</t>
  </si>
  <si>
    <t xml:space="preserve">            Kha Mat(VT)</t>
  </si>
  <si>
    <t xml:space="preserve">            Kan Beit(VT)</t>
  </si>
  <si>
    <t xml:space="preserve">            Nyaung Pin Kwin(VT)</t>
  </si>
  <si>
    <t xml:space="preserve">            Pan Taw Chaung(VT)</t>
  </si>
  <si>
    <t xml:space="preserve">            Day Pauk(VT)</t>
  </si>
  <si>
    <t xml:space="preserve">            Kayin Su(VT)</t>
  </si>
  <si>
    <t xml:space="preserve">            Hpa Yar Pyo(VT)</t>
  </si>
  <si>
    <t xml:space="preserve">            Kwin Hlyar Shey(VT)</t>
  </si>
  <si>
    <t xml:space="preserve">            Hta Yan Kan(VT)</t>
  </si>
  <si>
    <t xml:space="preserve">            Tha Pyu Kan(VT)</t>
  </si>
  <si>
    <t xml:space="preserve">            Pa Lu Kan(VT)</t>
  </si>
  <si>
    <t xml:space="preserve">            Ta Kaw Kan(VT)</t>
  </si>
  <si>
    <t xml:space="preserve">            Kyi Ni Chaung(VT)</t>
  </si>
  <si>
    <t xml:space="preserve">            Pa Lu(VT)</t>
  </si>
  <si>
    <t xml:space="preserve">            Aung Chan Thar(VT)</t>
  </si>
  <si>
    <t xml:space="preserve">            Bo Ka Lay(VT)</t>
  </si>
  <si>
    <t xml:space="preserve">            Sin Kyun(VT)</t>
  </si>
  <si>
    <t xml:space="preserve">            Kan Kaung(VT)</t>
  </si>
  <si>
    <t xml:space="preserve">            Ohn Pin(VT)</t>
  </si>
  <si>
    <t xml:space="preserve">            Nyaung Lan(VT)</t>
  </si>
  <si>
    <t xml:space="preserve">            Sin Min Aing(VT)</t>
  </si>
  <si>
    <t xml:space="preserve">            Kin Mun Chon(VT)</t>
  </si>
  <si>
    <t xml:space="preserve">            Zee Hpyu Pin(VT)</t>
  </si>
  <si>
    <t xml:space="preserve">            Nyaung Pin Thar(VT)</t>
  </si>
  <si>
    <t xml:space="preserve">            Kan Thar(VT)</t>
  </si>
  <si>
    <t xml:space="preserve">            Kun Chan(W)</t>
  </si>
  <si>
    <t xml:space="preserve">            Zay Thit(W)</t>
  </si>
  <si>
    <t xml:space="preserve">            Ohn Pin Su(W)</t>
  </si>
  <si>
    <t xml:space="preserve">            Min Paing(W)</t>
  </si>
  <si>
    <t xml:space="preserve">            Kyun Taw(W)</t>
  </si>
  <si>
    <t xml:space="preserve">            Shwe San Taw(W)</t>
  </si>
  <si>
    <t xml:space="preserve">            Oe Bo (East)(W)</t>
  </si>
  <si>
    <t xml:space="preserve">            Oe Bo (West)(W)</t>
  </si>
  <si>
    <t xml:space="preserve">            Khat Hti Ya(VT)</t>
  </si>
  <si>
    <t xml:space="preserve">            Ah Ka la(VT)</t>
  </si>
  <si>
    <t xml:space="preserve">            Ka Tha Paung(VT)</t>
  </si>
  <si>
    <t xml:space="preserve">            Kywe Da Yut(VT)</t>
  </si>
  <si>
    <t xml:space="preserve">            Kha Naung Htein Ta Pin(VT)</t>
  </si>
  <si>
    <t xml:space="preserve">            Sar Hpyu Su(VT)</t>
  </si>
  <si>
    <t xml:space="preserve">            Yae Twin Kone/Ywar Pon(VT)</t>
  </si>
  <si>
    <t xml:space="preserve">            Tu Chaung Gyi(VT)</t>
  </si>
  <si>
    <t xml:space="preserve">            Ma Wun(VT)</t>
  </si>
  <si>
    <t xml:space="preserve">            Kyi Seik(VT)</t>
  </si>
  <si>
    <t xml:space="preserve">            Tha Wun Taw(VT)</t>
  </si>
  <si>
    <t xml:space="preserve">            Ta Khun Taing(VT)</t>
  </si>
  <si>
    <t xml:space="preserve">            Ah Dun(VT)</t>
  </si>
  <si>
    <t xml:space="preserve">            Twantay Wa(VT)</t>
  </si>
  <si>
    <t xml:space="preserve">            Zee Hpyu Kone(VT)</t>
  </si>
  <si>
    <t xml:space="preserve">            Kha Lauk Chaik(VT)</t>
  </si>
  <si>
    <t xml:space="preserve">            Kha Yan Wa(VT)</t>
  </si>
  <si>
    <t xml:space="preserve">            Kha Yan Gyi(VT)</t>
  </si>
  <si>
    <t xml:space="preserve">            Kha Yan Hpyar(VT)</t>
  </si>
  <si>
    <t xml:space="preserve">            Ka Li Htaw(VT)</t>
  </si>
  <si>
    <t xml:space="preserve">            Kyi Tan(VT)</t>
  </si>
  <si>
    <t xml:space="preserve">            Ta Ka Hleit(VT)</t>
  </si>
  <si>
    <t xml:space="preserve">            Ta Mar Ta Kaw(VT)</t>
  </si>
  <si>
    <t xml:space="preserve">            Kan(VT)</t>
  </si>
  <si>
    <t xml:space="preserve">            Ma Ngay (Middle)(VT)</t>
  </si>
  <si>
    <t xml:space="preserve">            Byauk Yoe(VT)</t>
  </si>
  <si>
    <t xml:space="preserve">            Let Pan Gwa(VT)</t>
  </si>
  <si>
    <t xml:space="preserve">            Kyun Ka lay(VT)</t>
  </si>
  <si>
    <t xml:space="preserve">            Ah Lat Chaung(VT)</t>
  </si>
  <si>
    <t xml:space="preserve">            Gyaung Waing(VT)</t>
  </si>
  <si>
    <t xml:space="preserve">            Pyawbwe Lay(VT)</t>
  </si>
  <si>
    <t xml:space="preserve">            Peik Swei(VT)</t>
  </si>
  <si>
    <t xml:space="preserve">            Yangon Pauk</t>
  </si>
  <si>
    <t xml:space="preserve">            Kyaik Tha Le(VT)</t>
  </si>
  <si>
    <t xml:space="preserve">            Pauk Taw(VT)</t>
  </si>
  <si>
    <t xml:space="preserve">            Hpa Yar Ngoke To (South)(VT)</t>
  </si>
  <si>
    <t xml:space="preserve">            Hpa Yar Ngoke To (North)(VT)</t>
  </si>
  <si>
    <t xml:space="preserve">            Ah Yoe Taung(VT)</t>
  </si>
  <si>
    <t xml:space="preserve">            Kyun Bet(VT)</t>
  </si>
  <si>
    <t xml:space="preserve">            Ka Pin Gyi(VT)</t>
  </si>
  <si>
    <t xml:space="preserve">            Kyaung Su(VT)</t>
  </si>
  <si>
    <t xml:space="preserve">            Ah Lel Chaung(VT)</t>
  </si>
  <si>
    <t xml:space="preserve">            Ga Yat La Mee(VT)</t>
  </si>
  <si>
    <t xml:space="preserve">            Shwe Hlay Chaung (Twan)(VT)</t>
  </si>
  <si>
    <t xml:space="preserve">            Pyar Tha Taik(VT)</t>
  </si>
  <si>
    <t xml:space="preserve">            Ka Don(VT)</t>
  </si>
  <si>
    <t xml:space="preserve">            Hnget Pyaw San(VT)</t>
  </si>
  <si>
    <t xml:space="preserve">            Kha Loke(VT)</t>
  </si>
  <si>
    <t xml:space="preserve">            Wet Chaung(VT)</t>
  </si>
  <si>
    <t xml:space="preserve">            Htaw Tho(VT)</t>
  </si>
  <si>
    <t xml:space="preserve">            Ma Yan Ta Pin(VT)</t>
  </si>
  <si>
    <t xml:space="preserve">            Mar La Kar Rubber Chan(VT)</t>
  </si>
  <si>
    <t xml:space="preserve">            Ta Loke Htaw(VT)</t>
  </si>
  <si>
    <t xml:space="preserve">            Yangon Rubber Chan/pada(VT)</t>
  </si>
  <si>
    <t xml:space="preserve">            Myo Ma Paing(W)</t>
  </si>
  <si>
    <t xml:space="preserve">            Ma Gyi Tan(W)</t>
  </si>
  <si>
    <t xml:space="preserve">            Tar Lan Thit(W)</t>
  </si>
  <si>
    <t xml:space="preserve">            Taung Paing(W)</t>
  </si>
  <si>
    <t xml:space="preserve">            Hpa Yar Lan(W)</t>
  </si>
  <si>
    <t xml:space="preserve">            Htan Pin Chaung(VT)</t>
  </si>
  <si>
    <t xml:space="preserve">            Pyin Ka Toe(VT)</t>
  </si>
  <si>
    <t xml:space="preserve">            Kyaik Htaw (North)(VT)</t>
  </si>
  <si>
    <t xml:space="preserve">            Kyaik Htaw (South)(VT)</t>
  </si>
  <si>
    <t xml:space="preserve">            Auk Kyaung(VT)</t>
  </si>
  <si>
    <t xml:space="preserve">            Tha Meit(VT)</t>
  </si>
  <si>
    <t xml:space="preserve">            Kyon La Tar(VT)</t>
  </si>
  <si>
    <t xml:space="preserve">            Popa(VT)</t>
  </si>
  <si>
    <t xml:space="preserve">            Hmaw Taw(VT)</t>
  </si>
  <si>
    <t xml:space="preserve">            War Thein Kha(VT)</t>
  </si>
  <si>
    <t xml:space="preserve">            Ma Sei Seik(VT)</t>
  </si>
  <si>
    <t xml:space="preserve">            Kha Laung(VT)</t>
  </si>
  <si>
    <t xml:space="preserve">            Ka Nyin Ngu(VT)</t>
  </si>
  <si>
    <t xml:space="preserve">            Shar Bwar(VT)</t>
  </si>
  <si>
    <t xml:space="preserve">            Ta Ku Pon(VT)</t>
  </si>
  <si>
    <t xml:space="preserve">            Hnget Aw San(VT)</t>
  </si>
  <si>
    <t xml:space="preserve">            Nat Yae Twin(VT)</t>
  </si>
  <si>
    <t xml:space="preserve">            Za Yat Kone(VT)</t>
  </si>
  <si>
    <t xml:space="preserve">            Ywar Tan Shey(VT)</t>
  </si>
  <si>
    <t xml:space="preserve">            Pein Hne Kone(VT)</t>
  </si>
  <si>
    <t xml:space="preserve">            Ah Hpyauk(VT)</t>
  </si>
  <si>
    <t xml:space="preserve">            Yae Hpyu Twin(VT)</t>
  </si>
  <si>
    <t xml:space="preserve">            Nat Sin Kone(VT)</t>
  </si>
  <si>
    <t xml:space="preserve">            Myauk Chaung(VT)</t>
  </si>
  <si>
    <t xml:space="preserve">            San Kauk(VT)</t>
  </si>
  <si>
    <t xml:space="preserve">            Taung Chaung(VT)</t>
  </si>
  <si>
    <t xml:space="preserve">            Lar Wa Di(VT)</t>
  </si>
  <si>
    <t xml:space="preserve">            Sa Bagan(VT)</t>
  </si>
  <si>
    <t xml:space="preserve">            Let Khaik(VT)</t>
  </si>
  <si>
    <t xml:space="preserve">            Koe Taung(VT)</t>
  </si>
  <si>
    <t xml:space="preserve">            Myet San Ni(VT)</t>
  </si>
  <si>
    <t xml:space="preserve">            Hpa Yon Chaung(VT)</t>
  </si>
  <si>
    <t xml:space="preserve">            Kan Thone Kan(VT)</t>
  </si>
  <si>
    <t xml:space="preserve">            Htan Ma Naing(VT)</t>
  </si>
  <si>
    <t xml:space="preserve">            Boet Din(VT)</t>
  </si>
  <si>
    <t xml:space="preserve">            Pyar Hmut(VT)</t>
  </si>
  <si>
    <t xml:space="preserve">            War Ba Lauk Thauk(VT)</t>
  </si>
  <si>
    <t xml:space="preserve">            Kywe Lu Aing(VT)</t>
  </si>
  <si>
    <t xml:space="preserve">            Ka Mar Ka Nee(VT)</t>
  </si>
  <si>
    <t xml:space="preserve">            Kyon Da Yei(VT)</t>
  </si>
  <si>
    <t xml:space="preserve">            Kyu Taw Chaung(VT)</t>
  </si>
  <si>
    <t xml:space="preserve">            Kha Yaik Kha Ni(VT)</t>
  </si>
  <si>
    <t xml:space="preserve">            Htan Ta Pin(VT)</t>
  </si>
  <si>
    <t xml:space="preserve">            Tha Min Chan(VT)</t>
  </si>
  <si>
    <t xml:space="preserve">            Tar Taik(VT)</t>
  </si>
  <si>
    <t xml:space="preserve">            Sar Taing Hmut(VT)</t>
  </si>
  <si>
    <t xml:space="preserve">            Tha Yet Taw(VT)</t>
  </si>
  <si>
    <t xml:space="preserve">            Kan Gyi -Ma Gyi Tan(W)</t>
  </si>
  <si>
    <t xml:space="preserve">            Taung Bet Paing(W)</t>
  </si>
  <si>
    <t xml:space="preserve">            Taw Pu Lwea(W)</t>
  </si>
  <si>
    <t xml:space="preserve">            Ka Mar Bar(VT)</t>
  </si>
  <si>
    <t xml:space="preserve">            Kawt  Dun(VT)</t>
  </si>
  <si>
    <t xml:space="preserve">            Kan Yar Shey(VT)</t>
  </si>
  <si>
    <t xml:space="preserve">            Ka Nyin Kone(VT)</t>
  </si>
  <si>
    <t xml:space="preserve">            Kya Khat Kone Gyi(VT)</t>
  </si>
  <si>
    <t xml:space="preserve">            Kya Khat Kone Lay(VT)</t>
  </si>
  <si>
    <t xml:space="preserve">            Kant Ma lar(VT)</t>
  </si>
  <si>
    <t xml:space="preserve">            Kha Lauk Ta Yar(VT)</t>
  </si>
  <si>
    <t xml:space="preserve">            Hnget Gyi Daung(VT)</t>
  </si>
  <si>
    <t xml:space="preserve">            Taik Gyi(VT)</t>
  </si>
  <si>
    <t xml:space="preserve">            Su Ka Lat(VT)</t>
  </si>
  <si>
    <t xml:space="preserve">            Seik Gyi(VT)</t>
  </si>
  <si>
    <t xml:space="preserve">            Nyaung Ngu(VT)</t>
  </si>
  <si>
    <t xml:space="preserve">            Taw Kha Yan (East)(VT)</t>
  </si>
  <si>
    <t xml:space="preserve">            Taw Kha Yan (West)(VT)</t>
  </si>
  <si>
    <t xml:space="preserve">            Taung Kone(VT)</t>
  </si>
  <si>
    <t xml:space="preserve">            Taw Ku (East)(VT)</t>
  </si>
  <si>
    <t xml:space="preserve">            Taw Ku (West)(VT)</t>
  </si>
  <si>
    <t xml:space="preserve">            Taw Chaung(VT)</t>
  </si>
  <si>
    <t xml:space="preserve">            Taw Pyar(VT)</t>
  </si>
  <si>
    <t xml:space="preserve">            Taw Lan(VT)</t>
  </si>
  <si>
    <t xml:space="preserve">            Taw Kha Lu(VT)</t>
  </si>
  <si>
    <t xml:space="preserve">            Taw Kha Yan Lay(VT)</t>
  </si>
  <si>
    <t xml:space="preserve">            Hti Hpar(VT)</t>
  </si>
  <si>
    <t xml:space="preserve">            Day Da Naw(VT)</t>
  </si>
  <si>
    <t xml:space="preserve">            Da Yei Lu(VT)</t>
  </si>
  <si>
    <t xml:space="preserve">            Pa Kauk(VT)</t>
  </si>
  <si>
    <t xml:space="preserve">            Pay Kone(VT)</t>
  </si>
  <si>
    <t xml:space="preserve">            Hmaw Bi(VT)</t>
  </si>
  <si>
    <t xml:space="preserve">            Mei Ya Kone(VT)</t>
  </si>
  <si>
    <t xml:space="preserve">            Man Ka Leik(VT)</t>
  </si>
  <si>
    <t xml:space="preserve">            Ma Yan(VT)</t>
  </si>
  <si>
    <t xml:space="preserve">            Yae Tein(VT)</t>
  </si>
  <si>
    <t xml:space="preserve">            Let Khoke Kone(VT)</t>
  </si>
  <si>
    <t xml:space="preserve">            Wet Kaik(VT)</t>
  </si>
  <si>
    <t xml:space="preserve">            War Kauk Taw(VT)</t>
  </si>
  <si>
    <t xml:space="preserve">            Thone Gwa(VT)</t>
  </si>
  <si>
    <t xml:space="preserve">            Tha Pyu San(VT)</t>
  </si>
  <si>
    <t xml:space="preserve">            Thea Kone Tan(VT)</t>
  </si>
  <si>
    <t xml:space="preserve">            In Ga Lone(VT)</t>
  </si>
  <si>
    <t xml:space="preserve">            Tha Ma Ta Kan Chay(W)</t>
  </si>
  <si>
    <t xml:space="preserve">            Ant Gyi Ah Shey(W)</t>
  </si>
  <si>
    <t xml:space="preserve">            Ant Gyi Ah Nauk(W)</t>
  </si>
  <si>
    <t xml:space="preserve">            No(11/14)(W)</t>
  </si>
  <si>
    <t xml:space="preserve">            Nyaung Kone(W)</t>
  </si>
  <si>
    <t xml:space="preserve">            Myo Ma(1)(W)</t>
  </si>
  <si>
    <t xml:space="preserve">            Myo Ma(2)(W)</t>
  </si>
  <si>
    <t xml:space="preserve">            Myo Ma(3)(W)</t>
  </si>
  <si>
    <t xml:space="preserve">            Myo Ma(4)(W)</t>
  </si>
  <si>
    <t xml:space="preserve">            Set Myay(W)</t>
  </si>
  <si>
    <t xml:space="preserve">            Ka Mar Ka Thwei(W)</t>
  </si>
  <si>
    <t xml:space="preserve">            Ka Mar Ka Sit(W)</t>
  </si>
  <si>
    <t xml:space="preserve">            Hmaw Set(W)</t>
  </si>
  <si>
    <t xml:space="preserve">            Sar Par Chaung /Kyaung Su(W)</t>
  </si>
  <si>
    <t xml:space="preserve">            Ta Pin Shwe Htee(W)</t>
  </si>
  <si>
    <t xml:space="preserve">            Ba Nyar Da La(W)</t>
  </si>
  <si>
    <t xml:space="preserve">            Yar Za Thin Gyan(W)</t>
  </si>
  <si>
    <t xml:space="preserve">            Kyan Mar Yae Wun Htan Ein Yar(W)</t>
  </si>
  <si>
    <t xml:space="preserve">            Bo Yan Pyay(W)</t>
  </si>
  <si>
    <t xml:space="preserve">            Rakhine Chaung (South)(VT)</t>
  </si>
  <si>
    <t xml:space="preserve">            Rakhine Chaung (North)(VT)</t>
  </si>
  <si>
    <t xml:space="preserve">            Da Noke (San Pya)(VT)</t>
  </si>
  <si>
    <t xml:space="preserve">            Nyaung Chaung(VT)</t>
  </si>
  <si>
    <t xml:space="preserve">            Tone Tin Gan (South)(VT)</t>
  </si>
  <si>
    <t xml:space="preserve">            Tone Tin Gan (North)(VT)</t>
  </si>
  <si>
    <t xml:space="preserve">            Boe Hpyu Chaung(VT)</t>
  </si>
  <si>
    <t xml:space="preserve">            Kha Naung (Ywar Ma)(VT)</t>
  </si>
  <si>
    <t xml:space="preserve">            Kha Naung (Upper)(VT)</t>
  </si>
  <si>
    <t xml:space="preserve">            Kha Naung (Shan Su)(VT)</t>
  </si>
  <si>
    <t xml:space="preserve">            Ta Dar Chaung(VT)</t>
  </si>
  <si>
    <t xml:space="preserve">            Ye Chaung(VT)</t>
  </si>
  <si>
    <t xml:space="preserve">            Nyaung Ngoke To(VT)</t>
  </si>
  <si>
    <t xml:space="preserve">            Htaw (Lower)(VT)</t>
  </si>
  <si>
    <t xml:space="preserve">            Ye Chaung Wa(VT)</t>
  </si>
  <si>
    <t xml:space="preserve">            Pyawbwe Gyi(VT)</t>
  </si>
  <si>
    <t xml:space="preserve">            Shwe Hlay Chaung(VT)</t>
  </si>
  <si>
    <t xml:space="preserve">            Than Man Chaung(VT)</t>
  </si>
  <si>
    <t xml:space="preserve">            Htu Gyi(VT)</t>
  </si>
  <si>
    <t xml:space="preserve">            Tha Yaw Tan(VT)</t>
  </si>
  <si>
    <t xml:space="preserve">            Seik Gyi (East)(W)</t>
  </si>
  <si>
    <t xml:space="preserve">            Seik Gyi (West)(W)</t>
  </si>
  <si>
    <t xml:space="preserve">            Kha Naung To (East)(W)</t>
  </si>
  <si>
    <t xml:space="preserve">            Kha Naung To (West)(W)</t>
  </si>
  <si>
    <t xml:space="preserve">            U Htun Oh(W)</t>
  </si>
  <si>
    <t xml:space="preserve">            Pan Pin Chaung(W)</t>
  </si>
  <si>
    <t xml:space="preserve">            Samar Du War(W)</t>
  </si>
  <si>
    <t xml:space="preserve">            Chaung Waing Lay(W)</t>
  </si>
  <si>
    <t xml:space="preserve">            Tha Khin Ba Thaung(W)</t>
  </si>
  <si>
    <t xml:space="preserve">            Sin Ma Kaw(VT)</t>
  </si>
  <si>
    <t xml:space="preserve">            Pan Chaung(VT)</t>
  </si>
  <si>
    <t xml:space="preserve">            Tar Pat(VT)</t>
  </si>
  <si>
    <t xml:space="preserve">            Win Gyi(VT)</t>
  </si>
  <si>
    <t xml:space="preserve">            Sit Tan(VT)</t>
  </si>
  <si>
    <t xml:space="preserve">            Poke Ta Loke(VT)</t>
  </si>
  <si>
    <t xml:space="preserve">            Ma Yan Bay(VT)</t>
  </si>
  <si>
    <t xml:space="preserve">            Tu Myaung(VT)</t>
  </si>
  <si>
    <t xml:space="preserve">            Ta Man Gyi Kone(VT)</t>
  </si>
  <si>
    <t xml:space="preserve">            Tha Yet Taw (North)(W)</t>
  </si>
  <si>
    <t xml:space="preserve">            Tha Yet Taw (South)(W)</t>
  </si>
  <si>
    <t xml:space="preserve">            Thar Du (East)(W)</t>
  </si>
  <si>
    <t xml:space="preserve">            Thar Du (West)(W)</t>
  </si>
  <si>
    <t xml:space="preserve">            Ma Gyi Tan (North/East)(W)</t>
  </si>
  <si>
    <t xml:space="preserve">            Ma Gyi Tan (North/West)(W)</t>
  </si>
  <si>
    <t xml:space="preserve">            Ma Gyi Tan (South/East)(W)</t>
  </si>
  <si>
    <t xml:space="preserve">            Ma Gyi Tan (South/West)(W)</t>
  </si>
  <si>
    <t xml:space="preserve">            Zay Gyi (East)(W)</t>
  </si>
  <si>
    <t xml:space="preserve">            Zay Gyi (West)(W)</t>
  </si>
  <si>
    <t xml:space="preserve">            Oe Bo(W)</t>
  </si>
  <si>
    <t xml:space="preserve">            Baw Kar(W)</t>
  </si>
  <si>
    <t xml:space="preserve">            Zay Ka Lay(W)</t>
  </si>
  <si>
    <t xml:space="preserve">            Htee Tan Set Myay(W)</t>
  </si>
  <si>
    <t xml:space="preserve">            Kayin Ah Myo Thar(W)</t>
  </si>
  <si>
    <t xml:space="preserve">            Say Yoe Tan Nyein Chan Yay(W)</t>
  </si>
  <si>
    <t xml:space="preserve">            Aye Ywar(W)</t>
  </si>
  <si>
    <t xml:space="preserve">            Set San(W)</t>
  </si>
  <si>
    <t xml:space="preserve">            Seik Gyi(W)</t>
  </si>
  <si>
    <t xml:space="preserve">            War Yon Seik(W)</t>
  </si>
  <si>
    <t xml:space="preserve">            Thida(W)</t>
  </si>
  <si>
    <t xml:space="preserve">            Pan Hlaing(W)</t>
  </si>
  <si>
    <t xml:space="preserve">            Way Lu Wun (North)(W)</t>
  </si>
  <si>
    <t xml:space="preserve">            Way Lu Wun (South)(W)</t>
  </si>
  <si>
    <t xml:space="preserve">            Mont Loke Saung Kone (North)(W)</t>
  </si>
  <si>
    <t xml:space="preserve">            Mont Loke Saung Kone (South)(W)</t>
  </si>
  <si>
    <t xml:space="preserve">            Kyun Taw (North)(W)</t>
  </si>
  <si>
    <t xml:space="preserve">            Kyun Taw (Middle)(W)</t>
  </si>
  <si>
    <t xml:space="preserve">            Kyun Taw (South)(W)</t>
  </si>
  <si>
    <t xml:space="preserve">            Than Ta Dar(W)</t>
  </si>
  <si>
    <t xml:space="preserve">            Lin Lun( North)(W)</t>
  </si>
  <si>
    <t xml:space="preserve">            Lin Lun( South)(W)</t>
  </si>
  <si>
    <t xml:space="preserve">            San Chaung (North)(W)</t>
  </si>
  <si>
    <t xml:space="preserve">            San Chaung (South)(W)</t>
  </si>
  <si>
    <t xml:space="preserve">            Shin Saw Pu(W)</t>
  </si>
  <si>
    <t xml:space="preserve">            Thi Ri Khay Mar(W)</t>
  </si>
  <si>
    <t xml:space="preserve">            Hone Lan Bu Tar(W)</t>
  </si>
  <si>
    <t xml:space="preserve">            Myay Ni Kone (North)(W)</t>
  </si>
  <si>
    <t xml:space="preserve">            Myay Ni Kone (South)(W)</t>
  </si>
  <si>
    <t xml:space="preserve">            No(1)(Tha Maing Bu Tar West)(W)</t>
  </si>
  <si>
    <t xml:space="preserve">            No(2)(Tha Maing Myo)(W)</t>
  </si>
  <si>
    <t xml:space="preserve">            No(3)(Kyaik Waing Gyi)(W)</t>
  </si>
  <si>
    <t xml:space="preserve">            No(4)(Kyaik Waing Lay)(W)</t>
  </si>
  <si>
    <t xml:space="preserve">            No(5)(Sein Pan Myaing/9 Miles)(W)</t>
  </si>
  <si>
    <t xml:space="preserve">            No(6)(Nyar Na Sar Gi)(W)</t>
  </si>
  <si>
    <t xml:space="preserve">            No(7)(Ywar Tan Shey)(W)</t>
  </si>
  <si>
    <t xml:space="preserve">            No(8)(Ka Ba Aye San Pya)(W)</t>
  </si>
  <si>
    <t xml:space="preserve">            No(9)(Yae Ku)(W)</t>
  </si>
  <si>
    <t xml:space="preserve">            No(10)(Chaw Twin Kone)(W)</t>
  </si>
  <si>
    <t xml:space="preserve">            York Lan(W)</t>
  </si>
  <si>
    <t xml:space="preserve">            U Wi Sa Ra(W)</t>
  </si>
  <si>
    <t xml:space="preserve">            Pyay Lan (East)(W)</t>
  </si>
  <si>
    <t xml:space="preserve">            Pyay Lan (West)(W)</t>
  </si>
  <si>
    <t xml:space="preserve">            Hpa Yar Gyi(W)</t>
  </si>
  <si>
    <t xml:space="preserve">            Bahan Myo Ma(or)Myo Ma(W)</t>
  </si>
  <si>
    <t xml:space="preserve">            Gyar Taw Ya(W)</t>
  </si>
  <si>
    <t xml:space="preserve">            Yae Tar Shey(W)</t>
  </si>
  <si>
    <t xml:space="preserve">            Shwe Gon Taing (West)(W)</t>
  </si>
  <si>
    <t xml:space="preserve">            Shwe Taung Kyar No(1)(W)</t>
  </si>
  <si>
    <t xml:space="preserve">            Shwe Taung Kyar No(2)</t>
  </si>
  <si>
    <t xml:space="preserve">            Good Da List(or)Sa Yar San (North/West)(W)</t>
  </si>
  <si>
    <t xml:space="preserve">            Good Da List(or)Sa Yar San (North/East)(W)</t>
  </si>
  <si>
    <t xml:space="preserve">            Good Da List(or)Sa Yar San (South)(W)</t>
  </si>
  <si>
    <t xml:space="preserve">            Kyaik Ka San(W)</t>
  </si>
  <si>
    <t xml:space="preserve">            Bo Sein Hman(W)</t>
  </si>
  <si>
    <t xml:space="preserve">            Shwe Gon Taing (East)(W)</t>
  </si>
  <si>
    <t xml:space="preserve">            Shwe Gon Taing (Middle)(W)</t>
  </si>
  <si>
    <t xml:space="preserve">            Koet Min Koet Chin(W)</t>
  </si>
  <si>
    <t xml:space="preserve">            Ngar Htat Gyi (West) (Yae Lel)(W)</t>
  </si>
  <si>
    <t xml:space="preserve">            Ngar Htat Gyi (North)(W)</t>
  </si>
  <si>
    <t xml:space="preserve">            Ngar Htat Gyi (Sorth)(W)</t>
  </si>
  <si>
    <t xml:space="preserve">            Jamar No(1) / BoCho(1)(W)</t>
  </si>
  <si>
    <t xml:space="preserve">            Jamar No(2) /Bo Cho(2)(W)</t>
  </si>
  <si>
    <t xml:space="preserve">            Ah Zit Kone (Sayasan)(W)</t>
  </si>
  <si>
    <t xml:space="preserve">            Shwe Nant Thar(W)</t>
  </si>
  <si>
    <t xml:space="preserve">            Ye Yeik Thar(W)</t>
  </si>
  <si>
    <t xml:space="preserve">            Seik Kan Mi Thar Su Yeik Thar(W)</t>
  </si>
  <si>
    <t xml:space="preserve">            Maw Tin Yar Yi Zay(W)</t>
  </si>
  <si>
    <t>Ward</t>
  </si>
  <si>
    <t>Sr</t>
  </si>
  <si>
    <t>Population</t>
  </si>
  <si>
    <t>29-3-2014</t>
  </si>
  <si>
    <t>Village Tract</t>
  </si>
  <si>
    <t xml:space="preserve">      Aye Yar Wa Di(W)</t>
  </si>
  <si>
    <t xml:space="preserve">      Saw Ran Paing(West)/Sayar Hmat Gyi(West)(W)</t>
  </si>
  <si>
    <t xml:space="preserve">      Saw Ran Paing(East)/Sayar Hmat Gyi (East)(W)</t>
  </si>
  <si>
    <t xml:space="preserve">      Saw Ran Paing(South)/Super Pin (South)(W)</t>
  </si>
  <si>
    <t xml:space="preserve">      Htar Nar(W)</t>
  </si>
  <si>
    <t xml:space="preserve">      Saw Ran Paing(North)/Super Pin (North)(W)</t>
  </si>
  <si>
    <t xml:space="preserve">      Sin Min Ward(W)</t>
  </si>
  <si>
    <t xml:space="preserve">      Ga Lon(W)</t>
  </si>
  <si>
    <t xml:space="preserve">      Lut Lat Yay(W)</t>
  </si>
  <si>
    <t xml:space="preserve">      Kayin Chan(W)</t>
  </si>
  <si>
    <t xml:space="preserve">      Thit Taw(W)</t>
  </si>
  <si>
    <t>Yangon Region,North  District,   Mingaladon   Township</t>
  </si>
  <si>
    <t>Yangon Region,North District,  Insein   Township</t>
  </si>
  <si>
    <t>Yangon Region,North District,   Hmawby   Township</t>
  </si>
  <si>
    <t>Yangon Region,North District, Hlegu   Township</t>
  </si>
  <si>
    <t>Yangon Region,North District, Taikkyi  Township</t>
  </si>
  <si>
    <t>Yangon Region,North District, Htantabin  Township</t>
  </si>
  <si>
    <t>Yangon Region,North District, Shwepyitha  Township</t>
  </si>
  <si>
    <t>Yangon Region,North District, Hlinethaya  Township</t>
  </si>
  <si>
    <t>Yangon Region,East District, Thingangyun  Township</t>
  </si>
  <si>
    <t>Yangon Region,East District,Yankin   Township</t>
  </si>
  <si>
    <t>Yangon Region,East District,South Okkalapa   Township</t>
  </si>
  <si>
    <t>Yangon Region,East District,North Okkalapa   Township</t>
  </si>
  <si>
    <t>Yangon Region,East District,Thakayta   Township</t>
  </si>
  <si>
    <t>Yangon Region,East District,Dawbon   Township</t>
  </si>
  <si>
    <t>Yangon Region,East District,Tamwe   Township</t>
  </si>
  <si>
    <t>Yangon Region,East District,Pazuntaung   Township</t>
  </si>
  <si>
    <t>Yangon Region,East District,Botahtaung   Township</t>
  </si>
  <si>
    <t>Yangon Region,East District,  Dagon Myothit(South)   Township</t>
  </si>
  <si>
    <t>Yangon Region,East District,  Dagon Myothit(Norht) Township</t>
  </si>
  <si>
    <t>Yangon Region,East District,  Dagon Myothit(East)   Township</t>
  </si>
  <si>
    <t>Yangon Region, East  District,   Dagon Myothit(Seikkan)Township</t>
  </si>
  <si>
    <t>Yangon Region, East  District, Mingala Taungnyunt Township</t>
  </si>
  <si>
    <t>Yangon Region, South District,  Thanlyin Township</t>
  </si>
  <si>
    <t>Yangon Region, South District,   Kyauktan Township</t>
  </si>
  <si>
    <t>Yangon Region, South District, Thongwa Township</t>
  </si>
  <si>
    <t>Yangon Region, South District, Khayan Township</t>
  </si>
  <si>
    <t>Yangon Region, South District, Twantay Township</t>
  </si>
  <si>
    <t>Yangon Region, South District,  Kawhmu Township</t>
  </si>
  <si>
    <t>Yangon Region, South District, Kungyangon Township</t>
  </si>
  <si>
    <t>Yangon Region, South District, Dala Township</t>
  </si>
  <si>
    <t>Yangon Region, South District, Seikkyi/ Khanaungto Township</t>
  </si>
  <si>
    <t>Yangon Region, South District, Cocogyun Township</t>
  </si>
  <si>
    <t>Yangon Region, South District, Tada (Sub- Township)</t>
  </si>
  <si>
    <t>Yangon Region, West District, KyauktadaTownship</t>
  </si>
  <si>
    <t>Yangon Region, West District,  Pabedan Township</t>
  </si>
  <si>
    <t>Yangon Region, West District,  LanmadawTownship</t>
  </si>
  <si>
    <t>Yangon Region, West District,  Latha Township</t>
  </si>
  <si>
    <t>Yangon Region, West District, Ahlon  Township</t>
  </si>
  <si>
    <t>Yangon Region, West District, Kyimyindine  Township</t>
  </si>
  <si>
    <t>Yangon Region, West District, Sangyoung  Township</t>
  </si>
  <si>
    <t>Yangon Region,West District, Hline  Township</t>
  </si>
  <si>
    <t>Yangon Region,West District,     Kamayut  Township</t>
  </si>
  <si>
    <t>Yangon Region,West District, Mayangon   Township</t>
  </si>
  <si>
    <t>Yangon Region,West District,  Dagon Township</t>
  </si>
  <si>
    <t>Yangon Region,West District, Bahan  Township</t>
  </si>
  <si>
    <t>Yangon Region,West District, Seikkan Township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</si>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</sst>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6"/>
      <color theme="1"/>
      <name val="Myanmar2"/>
      <family val="2"/>
    </font>
    <font>
      <sz val="15"/>
      <color theme="1"/>
      <name val="Myanmar2"/>
      <family val="2"/>
    </font>
    <font>
      <sz val="16"/>
      <color theme="1"/>
      <name val="Myanmar2ex"/>
      <family val="2"/>
    </font>
    <font>
      <sz val="16"/>
      <color theme="1"/>
      <name val="Myanmar2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Myanmar2ex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Myanmar2ex"/>
      <family val="2"/>
    </font>
    <font>
      <b/>
      <sz val="12"/>
      <color theme="1"/>
      <name val="Calibri"/>
      <family val="2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6" fillId="0" borderId="2" xfId="0" applyFont="1" applyBorder="1"/>
    <xf numFmtId="0" fontId="4" fillId="0" borderId="0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/>
    <xf numFmtId="0" fontId="1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2" xfId="0" applyFont="1" applyBorder="1"/>
    <xf numFmtId="0" fontId="7" fillId="0" borderId="0" xfId="0" applyFont="1" applyAlignment="1"/>
    <xf numFmtId="0" fontId="0" fillId="0" borderId="0" xfId="0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1" fillId="0" borderId="0" xfId="0" applyFont="1" applyBorder="1" applyAlignment="1"/>
    <xf numFmtId="0" fontId="5" fillId="0" borderId="0" xfId="0" applyFont="1" applyBorder="1"/>
    <xf numFmtId="0" fontId="3" fillId="0" borderId="0" xfId="0" applyFon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/>
    <xf numFmtId="0" fontId="10" fillId="0" borderId="0" xfId="0" applyFont="1"/>
    <xf numFmtId="0" fontId="12" fillId="0" borderId="0" xfId="0" applyFont="1" applyAlignment="1">
      <alignment horizontal="center"/>
    </xf>
    <xf numFmtId="0" fontId="5" fillId="0" borderId="3" xfId="0" applyFont="1" applyBorder="1"/>
    <xf numFmtId="0" fontId="10" fillId="0" borderId="3" xfId="0" applyFont="1" applyBorder="1"/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0" fontId="9" fillId="0" borderId="3" xfId="0" applyFont="1" applyBorder="1"/>
    <xf numFmtId="0" fontId="3" fillId="0" borderId="3" xfId="0" applyFont="1" applyBorder="1"/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/>
    <xf numFmtId="0" fontId="10" fillId="0" borderId="3" xfId="0" applyFont="1" applyBorder="1" applyAlignment="1">
      <alignment horizontal="left"/>
    </xf>
    <xf numFmtId="0" fontId="11" fillId="0" borderId="3" xfId="0" applyFont="1" applyBorder="1"/>
    <xf numFmtId="0" fontId="6" fillId="0" borderId="3" xfId="0" applyFont="1" applyBorder="1"/>
    <xf numFmtId="0" fontId="0" fillId="0" borderId="3" xfId="0" applyBorder="1"/>
    <xf numFmtId="0" fontId="8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1"/>
    <xf numFmtId="0" fontId="15" fillId="0" borderId="0" xfId="1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C14" sqref="C14"/>
    </sheetView>
  </sheetViews>
  <sheetFormatPr defaultRowHeight="15" x14ac:dyDescent="0.25"/>
  <cols>
    <col min="2" max="2" width="59.140625" bestFit="1" customWidth="1"/>
  </cols>
  <sheetData>
    <row r="1" spans="1:2" ht="18.75" x14ac:dyDescent="0.3">
      <c r="B1" s="78" t="s">
        <v>1091</v>
      </c>
    </row>
    <row r="2" spans="1:2" x14ac:dyDescent="0.25">
      <c r="A2">
        <v>1</v>
      </c>
      <c r="B2" s="79" t="str">
        <f>' Insein'!A1</f>
        <v>Yangon Region,North District,  Insein   Township</v>
      </c>
    </row>
    <row r="3" spans="1:2" x14ac:dyDescent="0.25">
      <c r="A3">
        <v>2</v>
      </c>
      <c r="B3" s="79" t="str">
        <f>'Mingaladon '!A1</f>
        <v>Yangon Region,North  District,   Mingaladon   Township</v>
      </c>
    </row>
    <row r="4" spans="1:2" x14ac:dyDescent="0.25">
      <c r="A4">
        <v>3</v>
      </c>
      <c r="B4" s="79" t="str">
        <f>'Hmawby '!A1</f>
        <v>Yangon Region,North District,   Hmawby   Township</v>
      </c>
    </row>
    <row r="5" spans="1:2" x14ac:dyDescent="0.25">
      <c r="A5">
        <v>4</v>
      </c>
      <c r="B5" s="79" t="str">
        <f>'Hlegu '!A1</f>
        <v>Yangon Region,North District, Hlegu   Township</v>
      </c>
    </row>
    <row r="6" spans="1:2" x14ac:dyDescent="0.25">
      <c r="A6">
        <v>5</v>
      </c>
      <c r="B6" s="79" t="str">
        <f>'Taikkyi '!A1</f>
        <v>Yangon Region,North District, Taikkyi  Township</v>
      </c>
    </row>
    <row r="7" spans="1:2" x14ac:dyDescent="0.25">
      <c r="A7">
        <v>6</v>
      </c>
      <c r="B7" s="79" t="str">
        <f>'Htantabin '!A1</f>
        <v>Yangon Region,North District, Htantabin  Township</v>
      </c>
    </row>
    <row r="8" spans="1:2" x14ac:dyDescent="0.25">
      <c r="A8">
        <v>7</v>
      </c>
      <c r="B8" s="79" t="str">
        <f>'Shwepyitha '!A1</f>
        <v>Yangon Region,North District, Shwepyitha  Township</v>
      </c>
    </row>
    <row r="9" spans="1:2" x14ac:dyDescent="0.25">
      <c r="A9">
        <v>8</v>
      </c>
      <c r="B9" s="79" t="str">
        <f>Hlinethaya!A1</f>
        <v>Yangon Region,North District, Hlinethaya  Township</v>
      </c>
    </row>
    <row r="10" spans="1:2" x14ac:dyDescent="0.25">
      <c r="A10">
        <v>9</v>
      </c>
      <c r="B10" s="79" t="str">
        <f>Thingangyun!A1</f>
        <v>Yangon Region,East District, Thingangyun  Township</v>
      </c>
    </row>
    <row r="11" spans="1:2" x14ac:dyDescent="0.25">
      <c r="A11">
        <v>10</v>
      </c>
      <c r="B11" s="79" t="str">
        <f>' Yankin'!A1</f>
        <v>Yangon Region,East District,Yankin   Township</v>
      </c>
    </row>
    <row r="12" spans="1:2" x14ac:dyDescent="0.25">
      <c r="A12">
        <v>11</v>
      </c>
      <c r="B12" s="79" t="str">
        <f>' South Okkalapa'!A1</f>
        <v>Yangon Region,East District,South Okkalapa   Township</v>
      </c>
    </row>
    <row r="13" spans="1:2" x14ac:dyDescent="0.25">
      <c r="A13">
        <v>12</v>
      </c>
      <c r="B13" s="79" t="str">
        <f>' North Okkalapa'!A1</f>
        <v>Yangon Region,East District,North Okkalapa   Township</v>
      </c>
    </row>
    <row r="14" spans="1:2" x14ac:dyDescent="0.25">
      <c r="A14">
        <v>13</v>
      </c>
      <c r="B14" s="79" t="str">
        <f>Thakayta!A1</f>
        <v>Yangon Region,East District,Thakayta   Township</v>
      </c>
    </row>
    <row r="15" spans="1:2" x14ac:dyDescent="0.25">
      <c r="A15">
        <v>14</v>
      </c>
      <c r="B15" s="79" t="str">
        <f>Dawbon!A1</f>
        <v>Yangon Region,East District,Dawbon   Township</v>
      </c>
    </row>
    <row r="16" spans="1:2" x14ac:dyDescent="0.25">
      <c r="A16">
        <v>15</v>
      </c>
      <c r="B16" s="79" t="str">
        <f>Tamwe!A1</f>
        <v>Yangon Region,East District,Tamwe   Township</v>
      </c>
    </row>
    <row r="17" spans="1:2" x14ac:dyDescent="0.25">
      <c r="A17">
        <v>16</v>
      </c>
      <c r="B17" s="79" t="str">
        <f>Pazuntaung!A1</f>
        <v>Yangon Region,East District,Pazuntaung   Township</v>
      </c>
    </row>
    <row r="18" spans="1:2" x14ac:dyDescent="0.25">
      <c r="A18">
        <v>17</v>
      </c>
      <c r="B18" s="79" t="str">
        <f>Botahtaung!A1</f>
        <v>Yangon Region,East District,Botahtaung   Township</v>
      </c>
    </row>
    <row r="19" spans="1:2" x14ac:dyDescent="0.25">
      <c r="A19">
        <v>18</v>
      </c>
      <c r="B19" s="79" t="str">
        <f>'Dagon Myothit(South)'!A1</f>
        <v>Yangon Region,East District,  Dagon Myothit(South)   Township</v>
      </c>
    </row>
    <row r="20" spans="1:2" x14ac:dyDescent="0.25">
      <c r="A20">
        <v>19</v>
      </c>
      <c r="B20" s="79" t="str">
        <f>' Dagon Myothit(North)'!A1</f>
        <v>Yangon Region,East District,  Dagon Myothit(Norht) Township</v>
      </c>
    </row>
    <row r="21" spans="1:2" x14ac:dyDescent="0.25">
      <c r="A21">
        <v>20</v>
      </c>
      <c r="B21" s="79" t="str">
        <f>'Dagon Myothit(East)'!A1</f>
        <v>Yangon Region,East District,  Dagon Myothit(East)   Township</v>
      </c>
    </row>
    <row r="22" spans="1:2" x14ac:dyDescent="0.25">
      <c r="A22">
        <v>21</v>
      </c>
      <c r="B22" s="79" t="str">
        <f>'Dagon Myothit(Seikkan) '!A1</f>
        <v>Yangon Region, East  District,   Dagon Myothit(Seikkan)Township</v>
      </c>
    </row>
    <row r="23" spans="1:2" x14ac:dyDescent="0.25">
      <c r="A23">
        <v>22</v>
      </c>
      <c r="B23" s="79" t="str">
        <f>'Mingala Taungnyunt '!A1</f>
        <v>Yangon Region, East  District, Mingala Taungnyunt Township</v>
      </c>
    </row>
    <row r="24" spans="1:2" x14ac:dyDescent="0.25">
      <c r="A24">
        <v>23</v>
      </c>
      <c r="B24" s="79" t="str">
        <f>'Thanlyin '!A1</f>
        <v>Yangon Region, South District,  Thanlyin Township</v>
      </c>
    </row>
    <row r="25" spans="1:2" x14ac:dyDescent="0.25">
      <c r="A25">
        <v>24</v>
      </c>
      <c r="B25" s="79" t="str">
        <f>'Kyauktan '!A1</f>
        <v>Yangon Region, South District,   Kyauktan Township</v>
      </c>
    </row>
    <row r="26" spans="1:2" x14ac:dyDescent="0.25">
      <c r="A26">
        <v>25</v>
      </c>
      <c r="B26" s="79" t="str">
        <f>'Thongwa '!A1</f>
        <v>Yangon Region, South District, Thongwa Township</v>
      </c>
    </row>
    <row r="27" spans="1:2" x14ac:dyDescent="0.25">
      <c r="A27">
        <v>26</v>
      </c>
      <c r="B27" s="79" t="str">
        <f>'Khayan '!A1</f>
        <v>Yangon Region, South District, Khayan Township</v>
      </c>
    </row>
    <row r="28" spans="1:2" x14ac:dyDescent="0.25">
      <c r="A28">
        <v>27</v>
      </c>
      <c r="B28" s="79" t="str">
        <f>Twantay!A1</f>
        <v>Yangon Region, South District, Twantay Township</v>
      </c>
    </row>
    <row r="29" spans="1:2" x14ac:dyDescent="0.25">
      <c r="A29">
        <v>28</v>
      </c>
      <c r="B29" s="79" t="str">
        <f>'Kawhmu '!A1</f>
        <v>Yangon Region, South District,  Kawhmu Township</v>
      </c>
    </row>
    <row r="30" spans="1:2" x14ac:dyDescent="0.25">
      <c r="A30">
        <v>29</v>
      </c>
      <c r="B30" s="79" t="str">
        <f>'Kungyangon '!A1</f>
        <v>Yangon Region, South District, Kungyangon Township</v>
      </c>
    </row>
    <row r="31" spans="1:2" x14ac:dyDescent="0.25">
      <c r="A31">
        <v>30</v>
      </c>
      <c r="B31" s="79" t="str">
        <f>'Dala '!A1</f>
        <v>Yangon Region, South District, Dala Township</v>
      </c>
    </row>
    <row r="32" spans="1:2" x14ac:dyDescent="0.25">
      <c r="A32">
        <v>31</v>
      </c>
      <c r="B32" s="79" t="str">
        <f>'Seikkyi- Khanaungto '!A1</f>
        <v>Yangon Region, South District, Seikkyi/ Khanaungto Township</v>
      </c>
    </row>
    <row r="33" spans="1:2" x14ac:dyDescent="0.25">
      <c r="A33">
        <v>32</v>
      </c>
      <c r="B33" s="79" t="str">
        <f>'Cocogyun '!A1</f>
        <v>Yangon Region, South District, Cocogyun Township</v>
      </c>
    </row>
    <row r="34" spans="1:2" x14ac:dyDescent="0.25">
      <c r="A34">
        <v>33</v>
      </c>
      <c r="B34" s="79" t="str">
        <f>'Tada (Sub- Tsp)'!A1</f>
        <v>Yangon Region, South District, Tada (Sub- Township)</v>
      </c>
    </row>
    <row r="35" spans="1:2" x14ac:dyDescent="0.25">
      <c r="A35">
        <v>34</v>
      </c>
      <c r="B35" s="79" t="str">
        <f>'Kyauktada '!A1</f>
        <v>Yangon Region, West District, KyauktadaTownship</v>
      </c>
    </row>
    <row r="36" spans="1:2" x14ac:dyDescent="0.25">
      <c r="A36">
        <v>35</v>
      </c>
      <c r="B36" s="79" t="str">
        <f>'Pabedan '!A1</f>
        <v>Yangon Region, West District,  Pabedan Township</v>
      </c>
    </row>
    <row r="37" spans="1:2" x14ac:dyDescent="0.25">
      <c r="A37">
        <v>36</v>
      </c>
      <c r="B37" s="79" t="str">
        <f>'Lanmadaw '!A1</f>
        <v>Yangon Region, West District,  LanmadawTownship</v>
      </c>
    </row>
    <row r="38" spans="1:2" x14ac:dyDescent="0.25">
      <c r="A38">
        <v>37</v>
      </c>
      <c r="B38" s="79" t="str">
        <f>'Latha '!A1</f>
        <v>Yangon Region, West District,  Latha Township</v>
      </c>
    </row>
    <row r="39" spans="1:2" x14ac:dyDescent="0.25">
      <c r="A39">
        <v>38</v>
      </c>
      <c r="B39" s="79" t="str">
        <f>'Ahlon '!A1</f>
        <v>Yangon Region, West District, Ahlon  Township</v>
      </c>
    </row>
    <row r="40" spans="1:2" x14ac:dyDescent="0.25">
      <c r="A40">
        <v>39</v>
      </c>
      <c r="B40" s="79" t="str">
        <f>'Kyimyindine '!A1</f>
        <v>Yangon Region, West District, Kyimyindine  Township</v>
      </c>
    </row>
    <row r="41" spans="1:2" x14ac:dyDescent="0.25">
      <c r="A41">
        <v>40</v>
      </c>
      <c r="B41" s="79" t="str">
        <f>'Sangyoung '!A1</f>
        <v>Yangon Region, West District, Sangyoung  Township</v>
      </c>
    </row>
    <row r="42" spans="1:2" x14ac:dyDescent="0.25">
      <c r="A42">
        <v>41</v>
      </c>
      <c r="B42" s="79" t="str">
        <f>'Hline '!A1</f>
        <v>Yangon Region,West District, Hline  Township</v>
      </c>
    </row>
    <row r="43" spans="1:2" x14ac:dyDescent="0.25">
      <c r="A43">
        <v>42</v>
      </c>
      <c r="B43" s="79" t="str">
        <f>'Kamayut '!A1</f>
        <v>Yangon Region,West District,     Kamayut  Township</v>
      </c>
    </row>
    <row r="44" spans="1:2" x14ac:dyDescent="0.25">
      <c r="A44">
        <v>43</v>
      </c>
      <c r="B44" s="79" t="str">
        <f>'Mayangon '!A1</f>
        <v>Yangon Region,West District, Mayangon   Township</v>
      </c>
    </row>
    <row r="45" spans="1:2" x14ac:dyDescent="0.25">
      <c r="A45">
        <v>44</v>
      </c>
      <c r="B45" s="79" t="str">
        <f>'Dagon '!A1</f>
        <v>Yangon Region,West District,  Dagon Township</v>
      </c>
    </row>
    <row r="46" spans="1:2" x14ac:dyDescent="0.25">
      <c r="A46">
        <v>45</v>
      </c>
      <c r="B46" s="79" t="str">
        <f>'Bahan '!A1</f>
        <v>Yangon Region,West District, Bahan  Township</v>
      </c>
    </row>
    <row r="47" spans="1:2" x14ac:dyDescent="0.25">
      <c r="A47">
        <v>46</v>
      </c>
      <c r="B47" s="79" t="str">
        <f>'Seikkan '!B1</f>
        <v>Yangon Region,West District, Seikkan Township</v>
      </c>
    </row>
  </sheetData>
  <hyperlinks>
    <hyperlink ref="B2" location="' Insein'!A1" display="' Insein'!A1"/>
    <hyperlink ref="B3" location="'Mingaladon '!A1" display="'Mingaladon '!A1"/>
    <hyperlink ref="B4" location="'Hmawby '!A1" display="'Hmawby '!A1"/>
    <hyperlink ref="B5" location="'Hlegu '!A1" display="'Hlegu '!A1"/>
    <hyperlink ref="B6" location="'Taikkyi '!A1" display="'Taikkyi '!A1"/>
    <hyperlink ref="B7" location="'Htantabin '!A1" display="'Htantabin '!A1"/>
    <hyperlink ref="B8" location="'Shwepyitha '!A1" display="'Shwepyitha '!A1"/>
    <hyperlink ref="B9" location="Hlinethaya!A1" display="Hlinethaya!A1"/>
    <hyperlink ref="B10" location="Thingangyun!A1" display="Thingangyun!A1"/>
    <hyperlink ref="B11" location="' Yankin'!A1" display="' Yankin'!A1"/>
    <hyperlink ref="B12" location="' South Okkalapa'!A1" display="' South Okkalapa'!A1"/>
    <hyperlink ref="B13" location="' North Okkalapa'!A1" display="' North Okkalapa'!A1"/>
    <hyperlink ref="B14" location="Thakayta!A1" display="Thakayta!A1"/>
    <hyperlink ref="B15" location="Dawbon!A1" display="Dawbon!A1"/>
    <hyperlink ref="B16" location="Tamwe!A1" display="Tamwe!A1"/>
    <hyperlink ref="B17" location="Pazuntaung!A1" display="Pazuntaung!A1"/>
    <hyperlink ref="B18" location="Botahtaung!A1" display="Botahtaung!A1"/>
    <hyperlink ref="B19" location="'Dagon Myothit(South)'!A1" display="'Dagon Myothit(South)'!A1"/>
    <hyperlink ref="B20" location="' Dagon Myothit(North)'!A1" display="' Dagon Myothit(North)'!A1"/>
    <hyperlink ref="B21" location="'Dagon Myothit(East)'!A1" display="'Dagon Myothit(East)'!A1"/>
    <hyperlink ref="B22" location="'Dagon Myothit(Seikkan) '!A1" display="'Dagon Myothit(Seikkan) '!A1"/>
    <hyperlink ref="B23" location="'Mingala Taungnyunt '!A1" display="'Mingala Taungnyunt '!A1"/>
    <hyperlink ref="B24" location="'Thanlyin '!A1" display="'Thanlyin '!A1"/>
    <hyperlink ref="B25" location="'Kyauktan '!A1" display="'Kyauktan '!A1"/>
    <hyperlink ref="B26" location="'Thongwa '!A1" display="'Thongwa '!A1"/>
    <hyperlink ref="B27" location="'Khayan '!A1" display="'Khayan '!A1"/>
    <hyperlink ref="B28" location="Twantay!A1" display="Twantay!A1"/>
    <hyperlink ref="B29" location="'Kawhmu '!A1" display="'Kawhmu '!A1"/>
    <hyperlink ref="B30" location="'Kungyangon '!A1" display="'Kungyangon '!A1"/>
    <hyperlink ref="B31" location="'Dala '!A1" display="'Dala '!A1"/>
    <hyperlink ref="B32" location="'Seikkyi- Khanaungto '!A1" display="'Seikkyi- Khanaungto '!A1"/>
    <hyperlink ref="B33" location="'Cocogyun '!A1" display="'Cocogyun '!A1"/>
    <hyperlink ref="B34" location="'Tada (Sub- Tsp)'!A1" display="'Tada (Sub- Tsp)'!A1"/>
    <hyperlink ref="B35" location="'Kyauktada '!A1" display="'Kyauktada '!A1"/>
    <hyperlink ref="B36" location="'Pabedan '!A1" display="'Pabedan '!A1"/>
    <hyperlink ref="B37" location="'Lanmadaw '!A1" display="'Lanmadaw '!A1"/>
    <hyperlink ref="B38" location="'Latha '!A1" display="'Latha '!A1"/>
    <hyperlink ref="B39" location="'Ahlon '!A1" display="'Ahlon '!A1"/>
    <hyperlink ref="B40" location="'Kyimyindine '!A1" display="'Kyimyindine '!A1"/>
    <hyperlink ref="B41" location="'Sangyoung '!A1" display="'Sangyoung '!A1"/>
    <hyperlink ref="B42" location="'Hline '!A1" display="'Hline '!A1"/>
    <hyperlink ref="B43" location="'Kamayut '!A1" display="'Kamayut '!A1"/>
    <hyperlink ref="B44" location="'Mayangon '!A1" display="'Mayangon '!A1"/>
    <hyperlink ref="B45" location="'Dagon '!A1" display="'Dagon '!A1"/>
    <hyperlink ref="B46" location="'Bahan '!A1" display="'Bahan '!A1"/>
    <hyperlink ref="B47" location="'Seikkan '!A1" display="'Seikkan '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35.42578125" customWidth="1"/>
    <col min="3" max="5" width="15.7109375" customWidth="1"/>
    <col min="6" max="6" width="11.140625" customWidth="1"/>
  </cols>
  <sheetData>
    <row r="1" spans="1:8" s="2" customFormat="1" ht="25.5" customHeight="1" x14ac:dyDescent="0.4">
      <c r="A1" s="80" t="s">
        <v>1045</v>
      </c>
      <c r="B1" s="80"/>
      <c r="C1" s="80"/>
      <c r="D1" s="80"/>
      <c r="E1" s="80"/>
      <c r="F1" s="1"/>
      <c r="G1" s="1"/>
    </row>
    <row r="2" spans="1:8" s="2" customFormat="1" ht="23.25" customHeight="1" x14ac:dyDescent="0.4">
      <c r="C2" s="1"/>
      <c r="D2" s="1"/>
      <c r="E2" s="47" t="s">
        <v>1031</v>
      </c>
      <c r="F2" s="1"/>
      <c r="G2" s="1"/>
    </row>
    <row r="3" spans="1:8" s="2" customFormat="1" ht="21" x14ac:dyDescent="0.4">
      <c r="A3" s="84" t="s">
        <v>1029</v>
      </c>
      <c r="B3" s="84" t="s">
        <v>1090</v>
      </c>
      <c r="C3" s="81" t="s">
        <v>1030</v>
      </c>
      <c r="D3" s="82"/>
      <c r="E3" s="83"/>
    </row>
    <row r="4" spans="1:8" ht="15.75" x14ac:dyDescent="0.25">
      <c r="A4" s="84"/>
      <c r="B4" s="84"/>
      <c r="C4" s="58" t="s">
        <v>0</v>
      </c>
      <c r="D4" s="58" t="s">
        <v>1</v>
      </c>
      <c r="E4" s="58" t="s">
        <v>2</v>
      </c>
      <c r="F4" s="18"/>
    </row>
    <row r="5" spans="1:8" s="3" customFormat="1" ht="23.1" customHeight="1" x14ac:dyDescent="0.4">
      <c r="A5" s="59"/>
      <c r="B5" s="57" t="s">
        <v>0</v>
      </c>
      <c r="C5" s="57">
        <v>305283</v>
      </c>
      <c r="D5" s="57">
        <v>146158</v>
      </c>
      <c r="E5" s="57">
        <v>159125</v>
      </c>
      <c r="F5" s="17"/>
      <c r="G5" s="17"/>
      <c r="H5" s="17"/>
    </row>
    <row r="6" spans="1:8" s="3" customFormat="1" ht="23.1" customHeight="1" x14ac:dyDescent="0.4">
      <c r="A6" s="5"/>
      <c r="B6" s="5"/>
      <c r="C6" s="5"/>
      <c r="D6" s="5"/>
      <c r="E6" s="5"/>
      <c r="F6" s="17"/>
      <c r="G6" s="17"/>
      <c r="H6" s="17"/>
    </row>
    <row r="7" spans="1:8" ht="23.1" customHeight="1" x14ac:dyDescent="0.3">
      <c r="A7" s="14"/>
      <c r="B7" s="15" t="s">
        <v>1028</v>
      </c>
      <c r="C7" s="15">
        <f>SUM(C8:C28)</f>
        <v>305283</v>
      </c>
      <c r="D7" s="15">
        <f t="shared" ref="D7:E7" si="0">SUM(D8:D28)</f>
        <v>146158</v>
      </c>
      <c r="E7" s="15">
        <f t="shared" si="0"/>
        <v>159125</v>
      </c>
      <c r="F7" s="17"/>
      <c r="G7" s="17"/>
      <c r="H7" s="17"/>
    </row>
    <row r="8" spans="1:8" ht="23.1" customHeight="1" x14ac:dyDescent="0.25">
      <c r="A8" s="20">
        <v>1</v>
      </c>
      <c r="B8" s="38" t="s">
        <v>3</v>
      </c>
      <c r="C8" s="4">
        <v>9476</v>
      </c>
      <c r="D8" s="4">
        <v>4582</v>
      </c>
      <c r="E8" s="4">
        <v>4894</v>
      </c>
      <c r="F8" s="17"/>
      <c r="G8" s="17"/>
      <c r="H8" s="17"/>
    </row>
    <row r="9" spans="1:8" ht="23.1" customHeight="1" x14ac:dyDescent="0.25">
      <c r="A9" s="20">
        <v>2</v>
      </c>
      <c r="B9" s="4" t="s">
        <v>4</v>
      </c>
      <c r="C9" s="4">
        <v>15390</v>
      </c>
      <c r="D9" s="4">
        <v>7320</v>
      </c>
      <c r="E9" s="4">
        <v>8070</v>
      </c>
      <c r="F9" s="17"/>
      <c r="G9" s="17"/>
      <c r="H9" s="17"/>
    </row>
    <row r="10" spans="1:8" ht="23.1" customHeight="1" x14ac:dyDescent="0.25">
      <c r="A10" s="20">
        <v>3</v>
      </c>
      <c r="B10" s="4" t="s">
        <v>5</v>
      </c>
      <c r="C10" s="4">
        <v>2449</v>
      </c>
      <c r="D10" s="4">
        <v>1131</v>
      </c>
      <c r="E10" s="4">
        <v>1318</v>
      </c>
      <c r="F10" s="17"/>
      <c r="G10" s="17"/>
      <c r="H10" s="17"/>
    </row>
    <row r="11" spans="1:8" ht="23.1" customHeight="1" x14ac:dyDescent="0.25">
      <c r="A11" s="20">
        <v>4</v>
      </c>
      <c r="B11" s="4" t="s">
        <v>6</v>
      </c>
      <c r="C11" s="4">
        <v>4876</v>
      </c>
      <c r="D11" s="4">
        <v>2141</v>
      </c>
      <c r="E11" s="4">
        <v>2735</v>
      </c>
      <c r="F11" s="17"/>
      <c r="G11" s="17"/>
      <c r="H11" s="17"/>
    </row>
    <row r="12" spans="1:8" ht="23.1" customHeight="1" x14ac:dyDescent="0.25">
      <c r="A12" s="20">
        <v>5</v>
      </c>
      <c r="B12" s="4" t="s">
        <v>7</v>
      </c>
      <c r="C12" s="4">
        <v>2101</v>
      </c>
      <c r="D12" s="4">
        <v>981</v>
      </c>
      <c r="E12" s="4">
        <v>1120</v>
      </c>
      <c r="F12" s="17"/>
      <c r="G12" s="17"/>
      <c r="H12" s="17"/>
    </row>
    <row r="13" spans="1:8" ht="23.1" customHeight="1" x14ac:dyDescent="0.25">
      <c r="A13" s="20">
        <v>6</v>
      </c>
      <c r="B13" s="4" t="s">
        <v>8</v>
      </c>
      <c r="C13" s="4">
        <v>9327</v>
      </c>
      <c r="D13" s="4">
        <v>4571</v>
      </c>
      <c r="E13" s="4">
        <v>4756</v>
      </c>
      <c r="F13" s="17"/>
      <c r="G13" s="17"/>
      <c r="H13" s="17"/>
    </row>
    <row r="14" spans="1:8" ht="23.1" customHeight="1" x14ac:dyDescent="0.25">
      <c r="A14" s="20">
        <v>7</v>
      </c>
      <c r="B14" s="4" t="s">
        <v>9</v>
      </c>
      <c r="C14" s="4">
        <v>8233</v>
      </c>
      <c r="D14" s="4">
        <v>3702</v>
      </c>
      <c r="E14" s="4">
        <v>4531</v>
      </c>
      <c r="F14" s="17"/>
      <c r="G14" s="17"/>
      <c r="H14" s="17"/>
    </row>
    <row r="15" spans="1:8" ht="23.1" customHeight="1" x14ac:dyDescent="0.25">
      <c r="A15" s="20">
        <v>8</v>
      </c>
      <c r="B15" s="4" t="s">
        <v>10</v>
      </c>
      <c r="C15" s="4">
        <v>18491</v>
      </c>
      <c r="D15" s="4">
        <v>8788</v>
      </c>
      <c r="E15" s="4">
        <v>9703</v>
      </c>
      <c r="F15" s="17"/>
      <c r="G15" s="17"/>
      <c r="H15" s="17"/>
    </row>
    <row r="16" spans="1:8" ht="23.1" customHeight="1" x14ac:dyDescent="0.25">
      <c r="A16" s="20">
        <v>9</v>
      </c>
      <c r="B16" s="4" t="s">
        <v>11</v>
      </c>
      <c r="C16" s="4">
        <v>7869</v>
      </c>
      <c r="D16" s="4">
        <v>3804</v>
      </c>
      <c r="E16" s="4">
        <v>4065</v>
      </c>
      <c r="F16" s="17"/>
      <c r="G16" s="17"/>
      <c r="H16" s="17"/>
    </row>
    <row r="17" spans="1:8" ht="23.1" customHeight="1" x14ac:dyDescent="0.25">
      <c r="A17" s="20">
        <v>10</v>
      </c>
      <c r="B17" s="4" t="s">
        <v>12</v>
      </c>
      <c r="C17" s="4">
        <v>12256</v>
      </c>
      <c r="D17" s="4">
        <v>5872</v>
      </c>
      <c r="E17" s="4">
        <v>6384</v>
      </c>
      <c r="F17" s="17"/>
      <c r="G17" s="17"/>
      <c r="H17" s="17"/>
    </row>
    <row r="18" spans="1:8" ht="23.1" customHeight="1" x14ac:dyDescent="0.25">
      <c r="A18" s="20">
        <v>11</v>
      </c>
      <c r="B18" s="4" t="s">
        <v>13</v>
      </c>
      <c r="C18" s="4">
        <v>16270</v>
      </c>
      <c r="D18" s="4">
        <v>7774</v>
      </c>
      <c r="E18" s="4">
        <v>8496</v>
      </c>
      <c r="F18" s="17"/>
      <c r="G18" s="17"/>
      <c r="H18" s="17"/>
    </row>
    <row r="19" spans="1:8" ht="23.1" customHeight="1" x14ac:dyDescent="0.25">
      <c r="A19" s="20">
        <v>12</v>
      </c>
      <c r="B19" s="4" t="s">
        <v>14</v>
      </c>
      <c r="C19" s="4">
        <v>20811</v>
      </c>
      <c r="D19" s="4">
        <v>10042</v>
      </c>
      <c r="E19" s="4">
        <v>10769</v>
      </c>
      <c r="F19" s="17"/>
      <c r="G19" s="17"/>
      <c r="H19" s="17"/>
    </row>
    <row r="20" spans="1:8" ht="23.1" customHeight="1" x14ac:dyDescent="0.25">
      <c r="A20" s="20">
        <v>13</v>
      </c>
      <c r="B20" s="4" t="s">
        <v>15</v>
      </c>
      <c r="C20" s="4">
        <v>12304</v>
      </c>
      <c r="D20" s="4">
        <v>5587</v>
      </c>
      <c r="E20" s="4">
        <v>6717</v>
      </c>
      <c r="F20" s="17"/>
      <c r="G20" s="17"/>
      <c r="H20" s="17"/>
    </row>
    <row r="21" spans="1:8" ht="23.1" customHeight="1" x14ac:dyDescent="0.25">
      <c r="A21" s="20">
        <v>14</v>
      </c>
      <c r="B21" s="4" t="s">
        <v>16</v>
      </c>
      <c r="C21" s="4">
        <v>19350</v>
      </c>
      <c r="D21" s="4">
        <v>8733</v>
      </c>
      <c r="E21" s="4">
        <v>10617</v>
      </c>
      <c r="F21" s="17"/>
      <c r="G21" s="17"/>
      <c r="H21" s="17"/>
    </row>
    <row r="22" spans="1:8" ht="23.1" customHeight="1" x14ac:dyDescent="0.25">
      <c r="A22" s="20">
        <v>15</v>
      </c>
      <c r="B22" s="4" t="s">
        <v>17</v>
      </c>
      <c r="C22" s="4">
        <v>16376</v>
      </c>
      <c r="D22" s="4">
        <v>7570</v>
      </c>
      <c r="E22" s="4">
        <v>8806</v>
      </c>
      <c r="F22" s="17"/>
      <c r="G22" s="17"/>
      <c r="H22" s="17"/>
    </row>
    <row r="23" spans="1:8" ht="23.1" customHeight="1" x14ac:dyDescent="0.25">
      <c r="A23" s="20">
        <v>16</v>
      </c>
      <c r="B23" s="4" t="s">
        <v>18</v>
      </c>
      <c r="C23" s="4">
        <v>10904</v>
      </c>
      <c r="D23" s="4">
        <v>7190</v>
      </c>
      <c r="E23" s="4">
        <v>3714</v>
      </c>
      <c r="F23" s="17"/>
      <c r="G23" s="17"/>
      <c r="H23" s="17"/>
    </row>
    <row r="24" spans="1:8" ht="23.1" customHeight="1" x14ac:dyDescent="0.25">
      <c r="A24" s="20">
        <v>17</v>
      </c>
      <c r="B24" s="4" t="s">
        <v>19</v>
      </c>
      <c r="C24" s="4">
        <v>30704</v>
      </c>
      <c r="D24" s="4">
        <v>14889</v>
      </c>
      <c r="E24" s="4">
        <v>15815</v>
      </c>
      <c r="F24" s="17"/>
      <c r="G24" s="17"/>
      <c r="H24" s="17"/>
    </row>
    <row r="25" spans="1:8" ht="23.1" customHeight="1" x14ac:dyDescent="0.25">
      <c r="A25" s="20">
        <v>18</v>
      </c>
      <c r="B25" s="4" t="s">
        <v>20</v>
      </c>
      <c r="C25" s="4">
        <v>23992</v>
      </c>
      <c r="D25" s="4">
        <v>11197</v>
      </c>
      <c r="E25" s="4">
        <v>12795</v>
      </c>
      <c r="F25" s="17"/>
      <c r="G25" s="17"/>
      <c r="H25" s="17"/>
    </row>
    <row r="26" spans="1:8" ht="23.1" customHeight="1" x14ac:dyDescent="0.25">
      <c r="A26" s="20">
        <v>19</v>
      </c>
      <c r="B26" s="4" t="s">
        <v>21</v>
      </c>
      <c r="C26" s="4">
        <v>22861</v>
      </c>
      <c r="D26" s="4">
        <v>10621</v>
      </c>
      <c r="E26" s="4">
        <v>12240</v>
      </c>
      <c r="F26" s="17"/>
      <c r="G26" s="17"/>
      <c r="H26" s="17"/>
    </row>
    <row r="27" spans="1:8" ht="23.1" customHeight="1" x14ac:dyDescent="0.25">
      <c r="A27" s="20">
        <v>20</v>
      </c>
      <c r="B27" s="4" t="s">
        <v>22</v>
      </c>
      <c r="C27" s="4">
        <v>18555</v>
      </c>
      <c r="D27" s="4">
        <v>8534</v>
      </c>
      <c r="E27" s="4">
        <v>10021</v>
      </c>
      <c r="F27" s="17"/>
      <c r="G27" s="17"/>
      <c r="H27" s="17"/>
    </row>
    <row r="28" spans="1:8" ht="23.1" customHeight="1" x14ac:dyDescent="0.25">
      <c r="A28" s="21">
        <v>21</v>
      </c>
      <c r="B28" s="10" t="s">
        <v>23</v>
      </c>
      <c r="C28" s="10">
        <v>22688</v>
      </c>
      <c r="D28" s="10">
        <v>11129</v>
      </c>
      <c r="E28" s="10">
        <v>11559</v>
      </c>
      <c r="F28" s="17"/>
      <c r="G28" s="17"/>
      <c r="H28" s="17"/>
    </row>
  </sheetData>
  <mergeCells count="4">
    <mergeCell ref="A1:E1"/>
    <mergeCell ref="C3:E3"/>
    <mergeCell ref="B3:B4"/>
    <mergeCell ref="A3:A4"/>
  </mergeCells>
  <hyperlinks>
    <hyperlink ref="A1:E1" location="'List of Township'!A1" display="Yangon Region,North District,  Insein  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7" customWidth="1"/>
    <col min="2" max="2" width="34.5703125" customWidth="1"/>
    <col min="3" max="5" width="15.7109375" customWidth="1"/>
  </cols>
  <sheetData>
    <row r="1" spans="1:5" s="2" customFormat="1" ht="25.5" customHeight="1" x14ac:dyDescent="0.4">
      <c r="A1" s="80" t="s">
        <v>1044</v>
      </c>
      <c r="B1" s="80"/>
      <c r="C1" s="80"/>
      <c r="D1" s="80"/>
      <c r="E1" s="80"/>
    </row>
    <row r="2" spans="1:5" s="2" customFormat="1" ht="22.5" customHeight="1" x14ac:dyDescent="0.4">
      <c r="A2" s="1"/>
      <c r="B2" s="1"/>
      <c r="C2" s="1"/>
      <c r="D2" s="1"/>
      <c r="E2" s="51" t="s">
        <v>1031</v>
      </c>
    </row>
    <row r="3" spans="1:5" s="2" customFormat="1" ht="23.1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1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0"/>
      <c r="B5" s="57" t="s">
        <v>0</v>
      </c>
      <c r="C5" s="57">
        <f>C7+C35</f>
        <v>331586</v>
      </c>
      <c r="D5" s="57">
        <f t="shared" ref="D5" si="0">D7+D35</f>
        <v>158259</v>
      </c>
      <c r="E5" s="57">
        <f>E7+E35</f>
        <v>173327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4" customHeight="1" x14ac:dyDescent="0.25">
      <c r="A7" s="4"/>
      <c r="B7" s="15" t="s">
        <v>1028</v>
      </c>
      <c r="C7" s="15">
        <f>SUM(C8:C34)</f>
        <v>198396</v>
      </c>
      <c r="D7" s="15">
        <f t="shared" ref="D7:E7" si="1">SUM(D8:D34)</f>
        <v>95814</v>
      </c>
      <c r="E7" s="15">
        <f t="shared" si="1"/>
        <v>102582</v>
      </c>
    </row>
    <row r="8" spans="1:5" ht="24" customHeight="1" x14ac:dyDescent="0.25">
      <c r="A8" s="4">
        <v>1</v>
      </c>
      <c r="B8" s="4" t="s">
        <v>24</v>
      </c>
      <c r="C8" s="4">
        <v>3562</v>
      </c>
      <c r="D8" s="4">
        <v>1671</v>
      </c>
      <c r="E8" s="4">
        <v>1891</v>
      </c>
    </row>
    <row r="9" spans="1:5" ht="24" customHeight="1" x14ac:dyDescent="0.25">
      <c r="A9" s="4">
        <v>2</v>
      </c>
      <c r="B9" s="4" t="s">
        <v>25</v>
      </c>
      <c r="C9" s="4">
        <v>7935</v>
      </c>
      <c r="D9" s="4">
        <v>3816</v>
      </c>
      <c r="E9" s="4">
        <v>4119</v>
      </c>
    </row>
    <row r="10" spans="1:5" ht="24" customHeight="1" x14ac:dyDescent="0.25">
      <c r="A10" s="4">
        <v>3</v>
      </c>
      <c r="B10" s="4" t="s">
        <v>26</v>
      </c>
      <c r="C10" s="4">
        <v>567</v>
      </c>
      <c r="D10" s="4">
        <v>237</v>
      </c>
      <c r="E10" s="4">
        <v>330</v>
      </c>
    </row>
    <row r="11" spans="1:5" ht="24" customHeight="1" x14ac:dyDescent="0.25">
      <c r="A11" s="4">
        <v>4</v>
      </c>
      <c r="B11" s="4" t="s">
        <v>27</v>
      </c>
      <c r="C11" s="4">
        <v>2173</v>
      </c>
      <c r="D11" s="4">
        <v>959</v>
      </c>
      <c r="E11" s="4">
        <v>1214</v>
      </c>
    </row>
    <row r="12" spans="1:5" ht="24" customHeight="1" x14ac:dyDescent="0.25">
      <c r="A12" s="4">
        <v>5</v>
      </c>
      <c r="B12" s="4" t="s">
        <v>28</v>
      </c>
      <c r="C12" s="4">
        <v>8537</v>
      </c>
      <c r="D12" s="4">
        <v>4006</v>
      </c>
      <c r="E12" s="4">
        <v>4531</v>
      </c>
    </row>
    <row r="13" spans="1:5" ht="24" customHeight="1" x14ac:dyDescent="0.25">
      <c r="A13" s="4">
        <v>6</v>
      </c>
      <c r="B13" s="4" t="s">
        <v>29</v>
      </c>
      <c r="C13" s="4">
        <v>1711</v>
      </c>
      <c r="D13" s="4">
        <v>782</v>
      </c>
      <c r="E13" s="4">
        <v>929</v>
      </c>
    </row>
    <row r="14" spans="1:5" ht="24" customHeight="1" x14ac:dyDescent="0.25">
      <c r="A14" s="4">
        <v>7</v>
      </c>
      <c r="B14" s="4" t="s">
        <v>30</v>
      </c>
      <c r="C14" s="4">
        <v>2468</v>
      </c>
      <c r="D14" s="4">
        <v>1208</v>
      </c>
      <c r="E14" s="4">
        <v>1260</v>
      </c>
    </row>
    <row r="15" spans="1:5" ht="24" customHeight="1" x14ac:dyDescent="0.25">
      <c r="A15" s="4">
        <v>8</v>
      </c>
      <c r="B15" s="4" t="s">
        <v>31</v>
      </c>
      <c r="C15" s="4">
        <v>1379</v>
      </c>
      <c r="D15" s="4">
        <v>676</v>
      </c>
      <c r="E15" s="4">
        <v>703</v>
      </c>
    </row>
    <row r="16" spans="1:5" ht="24" customHeight="1" x14ac:dyDescent="0.25">
      <c r="A16" s="4">
        <v>9</v>
      </c>
      <c r="B16" s="4" t="s">
        <v>32</v>
      </c>
      <c r="C16" s="4">
        <v>3243</v>
      </c>
      <c r="D16" s="4">
        <v>1481</v>
      </c>
      <c r="E16" s="4">
        <v>1762</v>
      </c>
    </row>
    <row r="17" spans="1:5" ht="24" customHeight="1" x14ac:dyDescent="0.25">
      <c r="A17" s="4">
        <v>10</v>
      </c>
      <c r="B17" s="4" t="s">
        <v>33</v>
      </c>
      <c r="C17" s="4">
        <v>562</v>
      </c>
      <c r="D17" s="4">
        <v>226</v>
      </c>
      <c r="E17" s="4">
        <v>336</v>
      </c>
    </row>
    <row r="18" spans="1:5" ht="24" customHeight="1" x14ac:dyDescent="0.25">
      <c r="A18" s="4">
        <v>11</v>
      </c>
      <c r="B18" s="4" t="s">
        <v>34</v>
      </c>
      <c r="C18" s="4">
        <v>1037</v>
      </c>
      <c r="D18" s="4">
        <v>496</v>
      </c>
      <c r="E18" s="4">
        <v>541</v>
      </c>
    </row>
    <row r="19" spans="1:5" ht="24" customHeight="1" x14ac:dyDescent="0.25">
      <c r="A19" s="4">
        <v>12</v>
      </c>
      <c r="B19" s="4" t="s">
        <v>35</v>
      </c>
      <c r="C19" s="4">
        <v>6071</v>
      </c>
      <c r="D19" s="4">
        <v>2873</v>
      </c>
      <c r="E19" s="4">
        <v>3198</v>
      </c>
    </row>
    <row r="20" spans="1:5" ht="24" customHeight="1" x14ac:dyDescent="0.25">
      <c r="A20" s="4">
        <v>13</v>
      </c>
      <c r="B20" s="4" t="s">
        <v>36</v>
      </c>
      <c r="C20" s="4">
        <v>9045</v>
      </c>
      <c r="D20" s="4">
        <v>4141</v>
      </c>
      <c r="E20" s="4">
        <v>4904</v>
      </c>
    </row>
    <row r="21" spans="1:5" ht="24" customHeight="1" x14ac:dyDescent="0.25">
      <c r="A21" s="4">
        <v>14</v>
      </c>
      <c r="B21" s="4" t="s">
        <v>37</v>
      </c>
      <c r="C21" s="4">
        <v>9994</v>
      </c>
      <c r="D21" s="4">
        <v>4879</v>
      </c>
      <c r="E21" s="4">
        <v>5115</v>
      </c>
    </row>
    <row r="22" spans="1:5" ht="24" customHeight="1" x14ac:dyDescent="0.25">
      <c r="A22" s="4">
        <v>15</v>
      </c>
      <c r="B22" s="4" t="s">
        <v>38</v>
      </c>
      <c r="C22" s="4">
        <v>8419</v>
      </c>
      <c r="D22" s="4">
        <v>4321</v>
      </c>
      <c r="E22" s="4">
        <v>4098</v>
      </c>
    </row>
    <row r="23" spans="1:5" ht="24" customHeight="1" x14ac:dyDescent="0.25">
      <c r="A23" s="4">
        <v>16</v>
      </c>
      <c r="B23" s="4" t="s">
        <v>39</v>
      </c>
      <c r="C23" s="4">
        <v>11620</v>
      </c>
      <c r="D23" s="4">
        <v>6149</v>
      </c>
      <c r="E23" s="4">
        <v>5471</v>
      </c>
    </row>
    <row r="24" spans="1:5" ht="24" customHeight="1" x14ac:dyDescent="0.25">
      <c r="A24" s="4">
        <v>17</v>
      </c>
      <c r="B24" s="4" t="s">
        <v>40</v>
      </c>
      <c r="C24" s="4">
        <v>5362</v>
      </c>
      <c r="D24" s="4">
        <v>2426</v>
      </c>
      <c r="E24" s="4">
        <v>2936</v>
      </c>
    </row>
    <row r="25" spans="1:5" ht="24" customHeight="1" x14ac:dyDescent="0.25">
      <c r="A25" s="4">
        <v>18</v>
      </c>
      <c r="B25" s="4" t="s">
        <v>41</v>
      </c>
      <c r="C25" s="4">
        <v>2919</v>
      </c>
      <c r="D25" s="4">
        <v>1384</v>
      </c>
      <c r="E25" s="4">
        <v>1535</v>
      </c>
    </row>
    <row r="26" spans="1:5" ht="24" customHeight="1" x14ac:dyDescent="0.25">
      <c r="A26" s="4">
        <v>19</v>
      </c>
      <c r="B26" s="4" t="s">
        <v>42</v>
      </c>
      <c r="C26" s="4">
        <v>1329</v>
      </c>
      <c r="D26" s="4">
        <v>600</v>
      </c>
      <c r="E26" s="4">
        <v>729</v>
      </c>
    </row>
    <row r="27" spans="1:5" ht="24" customHeight="1" x14ac:dyDescent="0.25">
      <c r="A27" s="4">
        <v>20</v>
      </c>
      <c r="B27" s="4" t="s">
        <v>43</v>
      </c>
      <c r="C27" s="4">
        <v>4515</v>
      </c>
      <c r="D27" s="4">
        <v>1972</v>
      </c>
      <c r="E27" s="4">
        <v>2543</v>
      </c>
    </row>
    <row r="28" spans="1:5" ht="24" customHeight="1" x14ac:dyDescent="0.25">
      <c r="A28" s="4">
        <v>21</v>
      </c>
      <c r="B28" s="4" t="s">
        <v>44</v>
      </c>
      <c r="C28" s="4">
        <v>9764</v>
      </c>
      <c r="D28" s="4">
        <v>4512</v>
      </c>
      <c r="E28" s="4">
        <v>5252</v>
      </c>
    </row>
    <row r="29" spans="1:5" ht="24" customHeight="1" x14ac:dyDescent="0.25">
      <c r="A29" s="4">
        <v>22</v>
      </c>
      <c r="B29" s="4" t="s">
        <v>45</v>
      </c>
      <c r="C29" s="4">
        <v>687</v>
      </c>
      <c r="D29" s="4">
        <v>306</v>
      </c>
      <c r="E29" s="4">
        <v>381</v>
      </c>
    </row>
    <row r="30" spans="1:5" ht="24" customHeight="1" x14ac:dyDescent="0.25">
      <c r="A30" s="4">
        <v>23</v>
      </c>
      <c r="B30" s="4" t="s">
        <v>46</v>
      </c>
      <c r="C30" s="4">
        <v>29829</v>
      </c>
      <c r="D30" s="4">
        <v>13864</v>
      </c>
      <c r="E30" s="4">
        <v>15965</v>
      </c>
    </row>
    <row r="31" spans="1:5" ht="24" customHeight="1" x14ac:dyDescent="0.25">
      <c r="A31" s="4">
        <v>24</v>
      </c>
      <c r="B31" s="4" t="s">
        <v>47</v>
      </c>
      <c r="C31" s="4">
        <v>23588</v>
      </c>
      <c r="D31" s="4">
        <v>12974</v>
      </c>
      <c r="E31" s="4">
        <v>10614</v>
      </c>
    </row>
    <row r="32" spans="1:5" ht="24" customHeight="1" x14ac:dyDescent="0.25">
      <c r="A32" s="4">
        <v>25</v>
      </c>
      <c r="B32" s="4" t="s">
        <v>48</v>
      </c>
      <c r="C32" s="4">
        <v>26250</v>
      </c>
      <c r="D32" s="4">
        <v>12244</v>
      </c>
      <c r="E32" s="4">
        <v>14006</v>
      </c>
    </row>
    <row r="33" spans="1:5" ht="24" customHeight="1" x14ac:dyDescent="0.25">
      <c r="A33" s="4">
        <v>26</v>
      </c>
      <c r="B33" s="4" t="s">
        <v>49</v>
      </c>
      <c r="C33" s="4">
        <v>10365</v>
      </c>
      <c r="D33" s="4">
        <v>5096</v>
      </c>
      <c r="E33" s="4">
        <v>5269</v>
      </c>
    </row>
    <row r="34" spans="1:5" ht="24" customHeight="1" x14ac:dyDescent="0.25">
      <c r="A34" s="4">
        <v>27</v>
      </c>
      <c r="B34" s="4" t="s">
        <v>50</v>
      </c>
      <c r="C34" s="4">
        <v>5465</v>
      </c>
      <c r="D34" s="4">
        <v>2515</v>
      </c>
      <c r="E34" s="4">
        <v>2950</v>
      </c>
    </row>
    <row r="35" spans="1:5" ht="24" customHeight="1" x14ac:dyDescent="0.25">
      <c r="A35" s="4"/>
      <c r="B35" s="15" t="s">
        <v>1032</v>
      </c>
      <c r="C35" s="15">
        <f>SUM(C36:C40)</f>
        <v>133190</v>
      </c>
      <c r="D35" s="15">
        <f t="shared" ref="D35:E35" si="2">SUM(D36:D40)</f>
        <v>62445</v>
      </c>
      <c r="E35" s="15">
        <f t="shared" si="2"/>
        <v>70745</v>
      </c>
    </row>
    <row r="36" spans="1:5" ht="23.1" customHeight="1" x14ac:dyDescent="0.25">
      <c r="A36" s="4">
        <v>1</v>
      </c>
      <c r="B36" s="4" t="s">
        <v>51</v>
      </c>
      <c r="C36" s="4">
        <v>14159</v>
      </c>
      <c r="D36" s="4">
        <v>6805</v>
      </c>
      <c r="E36" s="4">
        <v>7354</v>
      </c>
    </row>
    <row r="37" spans="1:5" ht="23.1" customHeight="1" x14ac:dyDescent="0.25">
      <c r="A37" s="4">
        <v>2</v>
      </c>
      <c r="B37" s="4" t="s">
        <v>52</v>
      </c>
      <c r="C37" s="4">
        <v>22667</v>
      </c>
      <c r="D37" s="4">
        <v>9977</v>
      </c>
      <c r="E37" s="4">
        <v>12690</v>
      </c>
    </row>
    <row r="38" spans="1:5" ht="23.1" customHeight="1" x14ac:dyDescent="0.25">
      <c r="A38" s="4">
        <v>3</v>
      </c>
      <c r="B38" s="4" t="s">
        <v>53</v>
      </c>
      <c r="C38" s="4">
        <v>39989</v>
      </c>
      <c r="D38" s="4">
        <v>19371</v>
      </c>
      <c r="E38" s="4">
        <v>20618</v>
      </c>
    </row>
    <row r="39" spans="1:5" ht="23.1" customHeight="1" x14ac:dyDescent="0.25">
      <c r="A39" s="4">
        <v>4</v>
      </c>
      <c r="B39" s="4" t="s">
        <v>54</v>
      </c>
      <c r="C39" s="4">
        <v>14025</v>
      </c>
      <c r="D39" s="4">
        <v>7042</v>
      </c>
      <c r="E39" s="4">
        <v>6983</v>
      </c>
    </row>
    <row r="40" spans="1:5" ht="23.1" customHeight="1" x14ac:dyDescent="0.25">
      <c r="A40" s="10">
        <v>5</v>
      </c>
      <c r="B40" s="10" t="s">
        <v>55</v>
      </c>
      <c r="C40" s="10">
        <v>42350</v>
      </c>
      <c r="D40" s="10">
        <v>19250</v>
      </c>
      <c r="E40" s="10">
        <v>23100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North  District,   Mingaladon  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C4" sqref="C4"/>
    </sheetView>
  </sheetViews>
  <sheetFormatPr defaultRowHeight="15" x14ac:dyDescent="0.25"/>
  <cols>
    <col min="1" max="1" width="6.28515625" customWidth="1"/>
    <col min="2" max="2" width="29.85546875" customWidth="1"/>
    <col min="3" max="5" width="15.7109375" customWidth="1"/>
  </cols>
  <sheetData>
    <row r="1" spans="1:5" s="2" customFormat="1" ht="25.5" customHeight="1" x14ac:dyDescent="0.4">
      <c r="A1" s="80" t="s">
        <v>1046</v>
      </c>
      <c r="B1" s="80"/>
      <c r="C1" s="80"/>
      <c r="D1" s="80"/>
      <c r="E1" s="80"/>
    </row>
    <row r="2" spans="1:5" s="2" customFormat="1" ht="25.5" customHeight="1" x14ac:dyDescent="0.4">
      <c r="A2" s="1"/>
      <c r="B2" s="1"/>
      <c r="C2" s="1"/>
      <c r="D2" s="1"/>
      <c r="E2" s="47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9" t="s">
        <v>0</v>
      </c>
      <c r="C5" s="57">
        <f>C7+C13</f>
        <v>244607</v>
      </c>
      <c r="D5" s="57">
        <f t="shared" ref="D5:E5" si="0">D7+D13</f>
        <v>120931</v>
      </c>
      <c r="E5" s="57">
        <f t="shared" si="0"/>
        <v>123676</v>
      </c>
    </row>
    <row r="6" spans="1:5" s="3" customFormat="1" ht="23.1" customHeight="1" x14ac:dyDescent="0.4">
      <c r="A6" s="5"/>
      <c r="B6" s="4"/>
      <c r="C6" s="4"/>
      <c r="D6" s="4"/>
      <c r="E6" s="4"/>
    </row>
    <row r="7" spans="1:5" ht="23.1" customHeight="1" x14ac:dyDescent="0.25">
      <c r="A7" s="4"/>
      <c r="B7" s="19" t="s">
        <v>1028</v>
      </c>
      <c r="C7" s="19">
        <f>SUM(C8:C11)</f>
        <v>25960</v>
      </c>
      <c r="D7" s="19">
        <f t="shared" ref="D7:E7" si="1">SUM(D8:D11)</f>
        <v>12285</v>
      </c>
      <c r="E7" s="19">
        <f t="shared" si="1"/>
        <v>13675</v>
      </c>
    </row>
    <row r="8" spans="1:5" ht="23.1" customHeight="1" x14ac:dyDescent="0.25">
      <c r="A8" s="4">
        <v>1</v>
      </c>
      <c r="B8" s="4" t="s">
        <v>56</v>
      </c>
      <c r="C8" s="4">
        <v>5107</v>
      </c>
      <c r="D8" s="4">
        <v>2469</v>
      </c>
      <c r="E8" s="4">
        <v>2638</v>
      </c>
    </row>
    <row r="9" spans="1:5" ht="23.1" customHeight="1" x14ac:dyDescent="0.25">
      <c r="A9" s="4">
        <v>2</v>
      </c>
      <c r="B9" s="4" t="s">
        <v>57</v>
      </c>
      <c r="C9" s="4">
        <v>8782</v>
      </c>
      <c r="D9" s="4">
        <v>4142</v>
      </c>
      <c r="E9" s="4">
        <v>4640</v>
      </c>
    </row>
    <row r="10" spans="1:5" ht="23.1" customHeight="1" x14ac:dyDescent="0.25">
      <c r="A10" s="4">
        <v>3</v>
      </c>
      <c r="B10" s="4" t="s">
        <v>58</v>
      </c>
      <c r="C10" s="4">
        <v>2588</v>
      </c>
      <c r="D10" s="4">
        <v>1199</v>
      </c>
      <c r="E10" s="4">
        <v>1389</v>
      </c>
    </row>
    <row r="11" spans="1:5" ht="23.1" customHeight="1" x14ac:dyDescent="0.25">
      <c r="A11" s="4">
        <v>4</v>
      </c>
      <c r="B11" s="4" t="s">
        <v>59</v>
      </c>
      <c r="C11" s="4">
        <v>9483</v>
      </c>
      <c r="D11" s="4">
        <v>4475</v>
      </c>
      <c r="E11" s="4">
        <v>5008</v>
      </c>
    </row>
    <row r="12" spans="1:5" ht="23.1" customHeight="1" x14ac:dyDescent="0.25">
      <c r="A12" s="4"/>
      <c r="B12" s="4"/>
      <c r="C12" s="4"/>
      <c r="D12" s="4"/>
      <c r="E12" s="4"/>
    </row>
    <row r="13" spans="1:5" ht="23.1" customHeight="1" x14ac:dyDescent="0.25">
      <c r="A13" s="4"/>
      <c r="B13" s="15" t="s">
        <v>1032</v>
      </c>
      <c r="C13" s="15">
        <f>SUM(C14:C52)</f>
        <v>218647</v>
      </c>
      <c r="D13" s="15">
        <f t="shared" ref="D13:E13" si="2">SUM(D14:D52)</f>
        <v>108646</v>
      </c>
      <c r="E13" s="15">
        <f t="shared" si="2"/>
        <v>110001</v>
      </c>
    </row>
    <row r="14" spans="1:5" ht="23.1" customHeight="1" x14ac:dyDescent="0.25">
      <c r="A14" s="4">
        <v>1</v>
      </c>
      <c r="B14" s="4" t="s">
        <v>60</v>
      </c>
      <c r="C14" s="4">
        <v>14265</v>
      </c>
      <c r="D14" s="4">
        <v>6802</v>
      </c>
      <c r="E14" s="4">
        <v>7463</v>
      </c>
    </row>
    <row r="15" spans="1:5" ht="23.1" customHeight="1" x14ac:dyDescent="0.25">
      <c r="A15" s="4">
        <v>2</v>
      </c>
      <c r="B15" s="4" t="s">
        <v>61</v>
      </c>
      <c r="C15" s="4">
        <v>5032</v>
      </c>
      <c r="D15" s="4">
        <v>2468</v>
      </c>
      <c r="E15" s="4">
        <v>2564</v>
      </c>
    </row>
    <row r="16" spans="1:5" ht="23.1" customHeight="1" x14ac:dyDescent="0.25">
      <c r="A16" s="4">
        <v>3</v>
      </c>
      <c r="B16" s="4" t="s">
        <v>62</v>
      </c>
      <c r="C16" s="4">
        <v>4495</v>
      </c>
      <c r="D16" s="4">
        <v>2259</v>
      </c>
      <c r="E16" s="4">
        <v>2236</v>
      </c>
    </row>
    <row r="17" spans="1:5" ht="23.1" customHeight="1" x14ac:dyDescent="0.25">
      <c r="A17" s="4">
        <v>4</v>
      </c>
      <c r="B17" s="4" t="s">
        <v>63</v>
      </c>
      <c r="C17" s="4">
        <v>3165</v>
      </c>
      <c r="D17" s="4">
        <v>1579</v>
      </c>
      <c r="E17" s="4">
        <v>1586</v>
      </c>
    </row>
    <row r="18" spans="1:5" ht="23.1" customHeight="1" x14ac:dyDescent="0.25">
      <c r="A18" s="4">
        <v>5</v>
      </c>
      <c r="B18" s="4" t="s">
        <v>64</v>
      </c>
      <c r="C18" s="4">
        <v>1426</v>
      </c>
      <c r="D18" s="4">
        <v>701</v>
      </c>
      <c r="E18" s="4">
        <v>725</v>
      </c>
    </row>
    <row r="19" spans="1:5" ht="23.1" customHeight="1" x14ac:dyDescent="0.25">
      <c r="A19" s="4">
        <v>6</v>
      </c>
      <c r="B19" s="4" t="s">
        <v>65</v>
      </c>
      <c r="C19" s="4">
        <v>1498</v>
      </c>
      <c r="D19" s="4">
        <v>715</v>
      </c>
      <c r="E19" s="4">
        <v>783</v>
      </c>
    </row>
    <row r="20" spans="1:5" ht="23.1" customHeight="1" x14ac:dyDescent="0.25">
      <c r="A20" s="4">
        <v>7</v>
      </c>
      <c r="B20" s="4" t="s">
        <v>66</v>
      </c>
      <c r="C20" s="4">
        <v>1353</v>
      </c>
      <c r="D20" s="4">
        <v>686</v>
      </c>
      <c r="E20" s="4">
        <v>667</v>
      </c>
    </row>
    <row r="21" spans="1:5" ht="23.1" customHeight="1" x14ac:dyDescent="0.25">
      <c r="A21" s="4">
        <v>8</v>
      </c>
      <c r="B21" s="4" t="s">
        <v>67</v>
      </c>
      <c r="C21" s="4">
        <v>3429</v>
      </c>
      <c r="D21" s="4">
        <v>1661</v>
      </c>
      <c r="E21" s="4">
        <v>1768</v>
      </c>
    </row>
    <row r="22" spans="1:5" ht="23.1" customHeight="1" x14ac:dyDescent="0.25">
      <c r="A22" s="4">
        <v>9</v>
      </c>
      <c r="B22" s="4" t="s">
        <v>68</v>
      </c>
      <c r="C22" s="4">
        <v>4107</v>
      </c>
      <c r="D22" s="4">
        <v>1968</v>
      </c>
      <c r="E22" s="4">
        <v>2139</v>
      </c>
    </row>
    <row r="23" spans="1:5" ht="23.1" customHeight="1" x14ac:dyDescent="0.25">
      <c r="A23" s="4">
        <v>10</v>
      </c>
      <c r="B23" s="4" t="s">
        <v>69</v>
      </c>
      <c r="C23" s="4">
        <v>4685</v>
      </c>
      <c r="D23" s="4">
        <v>2257</v>
      </c>
      <c r="E23" s="4">
        <v>2428</v>
      </c>
    </row>
    <row r="24" spans="1:5" ht="23.1" customHeight="1" x14ac:dyDescent="0.25">
      <c r="A24" s="4">
        <v>11</v>
      </c>
      <c r="B24" s="4" t="s">
        <v>70</v>
      </c>
      <c r="C24" s="4">
        <v>8297</v>
      </c>
      <c r="D24" s="4">
        <v>4028</v>
      </c>
      <c r="E24" s="4">
        <v>4269</v>
      </c>
    </row>
    <row r="25" spans="1:5" ht="23.1" customHeight="1" x14ac:dyDescent="0.25">
      <c r="A25" s="4">
        <v>12</v>
      </c>
      <c r="B25" s="4" t="s">
        <v>71</v>
      </c>
      <c r="C25" s="4">
        <v>8544</v>
      </c>
      <c r="D25" s="4">
        <v>4374</v>
      </c>
      <c r="E25" s="4">
        <v>4170</v>
      </c>
    </row>
    <row r="26" spans="1:5" ht="23.1" customHeight="1" x14ac:dyDescent="0.25">
      <c r="A26" s="4">
        <v>13</v>
      </c>
      <c r="B26" s="4" t="s">
        <v>72</v>
      </c>
      <c r="C26" s="4">
        <v>4367</v>
      </c>
      <c r="D26" s="4">
        <v>2209</v>
      </c>
      <c r="E26" s="4">
        <v>2158</v>
      </c>
    </row>
    <row r="27" spans="1:5" ht="23.1" customHeight="1" x14ac:dyDescent="0.25">
      <c r="A27" s="4">
        <v>14</v>
      </c>
      <c r="B27" s="4" t="s">
        <v>73</v>
      </c>
      <c r="C27" s="4">
        <v>1850</v>
      </c>
      <c r="D27" s="4">
        <v>918</v>
      </c>
      <c r="E27" s="4">
        <v>932</v>
      </c>
    </row>
    <row r="28" spans="1:5" ht="23.1" customHeight="1" x14ac:dyDescent="0.25">
      <c r="A28" s="4">
        <v>15</v>
      </c>
      <c r="B28" s="4" t="s">
        <v>74</v>
      </c>
      <c r="C28" s="4">
        <v>9031</v>
      </c>
      <c r="D28" s="4">
        <v>4455</v>
      </c>
      <c r="E28" s="4">
        <v>4576</v>
      </c>
    </row>
    <row r="29" spans="1:5" ht="23.1" customHeight="1" x14ac:dyDescent="0.25">
      <c r="A29" s="4">
        <v>16</v>
      </c>
      <c r="B29" s="4" t="s">
        <v>75</v>
      </c>
      <c r="C29" s="4">
        <v>6820</v>
      </c>
      <c r="D29" s="4">
        <v>3479</v>
      </c>
      <c r="E29" s="4">
        <v>3341</v>
      </c>
    </row>
    <row r="30" spans="1:5" ht="23.1" customHeight="1" x14ac:dyDescent="0.25">
      <c r="A30" s="4">
        <v>17</v>
      </c>
      <c r="B30" s="4" t="s">
        <v>76</v>
      </c>
      <c r="C30" s="4">
        <v>3050</v>
      </c>
      <c r="D30" s="4">
        <v>1475</v>
      </c>
      <c r="E30" s="4">
        <v>1575</v>
      </c>
    </row>
    <row r="31" spans="1:5" ht="23.1" customHeight="1" x14ac:dyDescent="0.25">
      <c r="A31" s="4">
        <v>18</v>
      </c>
      <c r="B31" s="4" t="s">
        <v>77</v>
      </c>
      <c r="C31" s="4">
        <v>7874</v>
      </c>
      <c r="D31" s="4">
        <v>4372</v>
      </c>
      <c r="E31" s="4">
        <v>3502</v>
      </c>
    </row>
    <row r="32" spans="1:5" ht="23.1" customHeight="1" x14ac:dyDescent="0.25">
      <c r="A32" s="4">
        <v>19</v>
      </c>
      <c r="B32" s="4" t="s">
        <v>78</v>
      </c>
      <c r="C32" s="4">
        <v>3853</v>
      </c>
      <c r="D32" s="4">
        <v>1865</v>
      </c>
      <c r="E32" s="4">
        <v>1988</v>
      </c>
    </row>
    <row r="33" spans="1:5" ht="23.1" customHeight="1" x14ac:dyDescent="0.25">
      <c r="A33" s="4">
        <v>20</v>
      </c>
      <c r="B33" s="4" t="s">
        <v>79</v>
      </c>
      <c r="C33" s="4">
        <v>1790</v>
      </c>
      <c r="D33" s="4">
        <v>908</v>
      </c>
      <c r="E33" s="4">
        <v>882</v>
      </c>
    </row>
    <row r="34" spans="1:5" ht="23.1" customHeight="1" x14ac:dyDescent="0.25">
      <c r="A34" s="4">
        <v>21</v>
      </c>
      <c r="B34" s="4" t="s">
        <v>80</v>
      </c>
      <c r="C34" s="4">
        <v>13615</v>
      </c>
      <c r="D34" s="4">
        <v>6732</v>
      </c>
      <c r="E34" s="4">
        <v>6883</v>
      </c>
    </row>
    <row r="35" spans="1:5" ht="23.1" customHeight="1" x14ac:dyDescent="0.25">
      <c r="A35" s="4">
        <v>22</v>
      </c>
      <c r="B35" s="4" t="s">
        <v>81</v>
      </c>
      <c r="C35" s="4">
        <v>4588</v>
      </c>
      <c r="D35" s="4">
        <v>2207</v>
      </c>
      <c r="E35" s="4">
        <v>2381</v>
      </c>
    </row>
    <row r="36" spans="1:5" ht="23.1" customHeight="1" x14ac:dyDescent="0.25">
      <c r="A36" s="4">
        <v>23</v>
      </c>
      <c r="B36" s="4" t="s">
        <v>82</v>
      </c>
      <c r="C36" s="4">
        <v>998</v>
      </c>
      <c r="D36" s="4">
        <v>528</v>
      </c>
      <c r="E36" s="4">
        <v>470</v>
      </c>
    </row>
    <row r="37" spans="1:5" ht="23.1" customHeight="1" x14ac:dyDescent="0.25">
      <c r="A37" s="4">
        <v>24</v>
      </c>
      <c r="B37" s="4" t="s">
        <v>83</v>
      </c>
      <c r="C37" s="4">
        <v>8260</v>
      </c>
      <c r="D37" s="4">
        <v>4284</v>
      </c>
      <c r="E37" s="4">
        <v>3976</v>
      </c>
    </row>
    <row r="38" spans="1:5" ht="23.1" customHeight="1" x14ac:dyDescent="0.25">
      <c r="A38" s="4">
        <v>25</v>
      </c>
      <c r="B38" s="4" t="s">
        <v>84</v>
      </c>
      <c r="C38" s="4">
        <v>891</v>
      </c>
      <c r="D38" s="4">
        <v>458</v>
      </c>
      <c r="E38" s="4">
        <v>433</v>
      </c>
    </row>
    <row r="39" spans="1:5" ht="23.1" customHeight="1" x14ac:dyDescent="0.25">
      <c r="A39" s="4">
        <v>26</v>
      </c>
      <c r="B39" s="4" t="s">
        <v>85</v>
      </c>
      <c r="C39" s="4">
        <v>23825</v>
      </c>
      <c r="D39" s="4">
        <v>11379</v>
      </c>
      <c r="E39" s="4">
        <v>12446</v>
      </c>
    </row>
    <row r="40" spans="1:5" ht="23.1" customHeight="1" x14ac:dyDescent="0.25">
      <c r="A40" s="4">
        <v>27</v>
      </c>
      <c r="B40" s="4" t="s">
        <v>86</v>
      </c>
      <c r="C40" s="4">
        <v>11727</v>
      </c>
      <c r="D40" s="4">
        <v>5722</v>
      </c>
      <c r="E40" s="4">
        <v>6005</v>
      </c>
    </row>
    <row r="41" spans="1:5" ht="23.1" customHeight="1" x14ac:dyDescent="0.25">
      <c r="A41" s="4">
        <v>28</v>
      </c>
      <c r="B41" s="4" t="s">
        <v>87</v>
      </c>
      <c r="C41" s="4">
        <v>5493</v>
      </c>
      <c r="D41" s="4">
        <v>3090</v>
      </c>
      <c r="E41" s="4">
        <v>2403</v>
      </c>
    </row>
    <row r="42" spans="1:5" ht="23.1" customHeight="1" x14ac:dyDescent="0.25">
      <c r="A42" s="4">
        <v>29</v>
      </c>
      <c r="B42" s="4" t="s">
        <v>88</v>
      </c>
      <c r="C42" s="4">
        <v>7089</v>
      </c>
      <c r="D42" s="4">
        <v>3598</v>
      </c>
      <c r="E42" s="4">
        <v>3491</v>
      </c>
    </row>
    <row r="43" spans="1:5" ht="23.1" customHeight="1" x14ac:dyDescent="0.25">
      <c r="A43" s="4">
        <v>30</v>
      </c>
      <c r="B43" s="4" t="s">
        <v>89</v>
      </c>
      <c r="C43" s="4">
        <v>908</v>
      </c>
      <c r="D43" s="4">
        <v>484</v>
      </c>
      <c r="E43" s="4">
        <v>424</v>
      </c>
    </row>
    <row r="44" spans="1:5" ht="23.1" customHeight="1" x14ac:dyDescent="0.25">
      <c r="A44" s="4">
        <v>31</v>
      </c>
      <c r="B44" s="4" t="s">
        <v>90</v>
      </c>
      <c r="C44" s="4">
        <v>927</v>
      </c>
      <c r="D44" s="4">
        <v>457</v>
      </c>
      <c r="E44" s="4">
        <v>470</v>
      </c>
    </row>
    <row r="45" spans="1:5" ht="23.1" customHeight="1" x14ac:dyDescent="0.25">
      <c r="A45" s="4">
        <v>32</v>
      </c>
      <c r="B45" s="4" t="s">
        <v>91</v>
      </c>
      <c r="C45" s="4">
        <v>1898</v>
      </c>
      <c r="D45" s="4">
        <v>955</v>
      </c>
      <c r="E45" s="4">
        <v>943</v>
      </c>
    </row>
    <row r="46" spans="1:5" ht="23.1" customHeight="1" x14ac:dyDescent="0.25">
      <c r="A46" s="4">
        <v>33</v>
      </c>
      <c r="B46" s="4" t="s">
        <v>92</v>
      </c>
      <c r="C46" s="4">
        <v>5612</v>
      </c>
      <c r="D46" s="4">
        <v>2856</v>
      </c>
      <c r="E46" s="4">
        <v>2756</v>
      </c>
    </row>
    <row r="47" spans="1:5" ht="23.1" customHeight="1" x14ac:dyDescent="0.25">
      <c r="A47" s="4">
        <v>34</v>
      </c>
      <c r="B47" s="4" t="s">
        <v>93</v>
      </c>
      <c r="C47" s="4">
        <v>1213</v>
      </c>
      <c r="D47" s="4">
        <v>566</v>
      </c>
      <c r="E47" s="4">
        <v>647</v>
      </c>
    </row>
    <row r="48" spans="1:5" ht="23.1" customHeight="1" x14ac:dyDescent="0.25">
      <c r="A48" s="4">
        <v>35</v>
      </c>
      <c r="B48" s="4" t="s">
        <v>94</v>
      </c>
      <c r="C48" s="4">
        <v>1814</v>
      </c>
      <c r="D48" s="4">
        <v>882</v>
      </c>
      <c r="E48" s="4">
        <v>932</v>
      </c>
    </row>
    <row r="49" spans="1:5" ht="23.1" customHeight="1" x14ac:dyDescent="0.25">
      <c r="A49" s="4">
        <v>36</v>
      </c>
      <c r="B49" s="4" t="s">
        <v>95</v>
      </c>
      <c r="C49" s="4">
        <v>4422</v>
      </c>
      <c r="D49" s="4">
        <v>2245</v>
      </c>
      <c r="E49" s="4">
        <v>2177</v>
      </c>
    </row>
    <row r="50" spans="1:5" ht="23.1" customHeight="1" x14ac:dyDescent="0.25">
      <c r="A50" s="4">
        <v>37</v>
      </c>
      <c r="B50" s="4" t="s">
        <v>96</v>
      </c>
      <c r="C50" s="4">
        <v>1078</v>
      </c>
      <c r="D50" s="4">
        <v>549</v>
      </c>
      <c r="E50" s="4">
        <v>529</v>
      </c>
    </row>
    <row r="51" spans="1:5" ht="23.1" customHeight="1" x14ac:dyDescent="0.25">
      <c r="A51" s="4">
        <v>38</v>
      </c>
      <c r="B51" s="4" t="s">
        <v>97</v>
      </c>
      <c r="C51" s="4">
        <v>4264</v>
      </c>
      <c r="D51" s="4">
        <v>2195</v>
      </c>
      <c r="E51" s="4">
        <v>2069</v>
      </c>
    </row>
    <row r="52" spans="1:5" ht="23.1" customHeight="1" x14ac:dyDescent="0.25">
      <c r="A52" s="10">
        <v>39</v>
      </c>
      <c r="B52" s="10" t="s">
        <v>98</v>
      </c>
      <c r="C52" s="10">
        <v>21094</v>
      </c>
      <c r="D52" s="10">
        <v>10280</v>
      </c>
      <c r="E52" s="10">
        <v>10814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North District,   Hmawby  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zoomScaleNormal="100" workbookViewId="0">
      <selection sqref="A1:E1"/>
    </sheetView>
  </sheetViews>
  <sheetFormatPr defaultRowHeight="15" x14ac:dyDescent="0.25"/>
  <cols>
    <col min="1" max="1" width="5.42578125" customWidth="1"/>
    <col min="2" max="2" width="30.28515625" customWidth="1"/>
    <col min="3" max="5" width="15.7109375" customWidth="1"/>
  </cols>
  <sheetData>
    <row r="1" spans="1:5" s="2" customFormat="1" ht="25.5" customHeight="1" x14ac:dyDescent="0.4">
      <c r="A1" s="80" t="s">
        <v>1047</v>
      </c>
      <c r="B1" s="80"/>
      <c r="C1" s="80"/>
      <c r="D1" s="80"/>
      <c r="E1" s="80"/>
    </row>
    <row r="2" spans="1:5" s="2" customFormat="1" ht="25.5" customHeight="1" x14ac:dyDescent="0.4">
      <c r="A2" s="1"/>
      <c r="B2" s="1"/>
      <c r="C2" s="1"/>
      <c r="D2" s="1"/>
      <c r="E2" s="52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57"/>
      <c r="B5" s="57" t="s">
        <v>0</v>
      </c>
      <c r="C5" s="57">
        <f>C7+C14</f>
        <v>270741</v>
      </c>
      <c r="D5" s="57">
        <f t="shared" ref="D5:E5" si="0">D7+D14</f>
        <v>134087</v>
      </c>
      <c r="E5" s="57">
        <f t="shared" si="0"/>
        <v>136654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SUM(C8:C12)</f>
        <v>40078</v>
      </c>
      <c r="D7" s="15">
        <f t="shared" ref="D7:E7" si="1">SUM(D8:D12)</f>
        <v>18906</v>
      </c>
      <c r="E7" s="15">
        <f t="shared" si="1"/>
        <v>21172</v>
      </c>
    </row>
    <row r="8" spans="1:5" ht="23.1" customHeight="1" x14ac:dyDescent="0.25">
      <c r="A8" s="4">
        <v>1</v>
      </c>
      <c r="B8" s="4" t="s">
        <v>99</v>
      </c>
      <c r="C8" s="4">
        <v>10486</v>
      </c>
      <c r="D8" s="4">
        <v>4926</v>
      </c>
      <c r="E8" s="4">
        <v>5560</v>
      </c>
    </row>
    <row r="9" spans="1:5" ht="23.1" customHeight="1" x14ac:dyDescent="0.25">
      <c r="A9" s="4">
        <v>2</v>
      </c>
      <c r="B9" s="4" t="s">
        <v>49</v>
      </c>
      <c r="C9" s="4">
        <v>8311</v>
      </c>
      <c r="D9" s="4">
        <v>3969</v>
      </c>
      <c r="E9" s="4">
        <v>4342</v>
      </c>
    </row>
    <row r="10" spans="1:5" ht="23.1" customHeight="1" x14ac:dyDescent="0.25">
      <c r="A10" s="4">
        <v>3</v>
      </c>
      <c r="B10" s="4" t="s">
        <v>100</v>
      </c>
      <c r="C10" s="4">
        <v>12614</v>
      </c>
      <c r="D10" s="4">
        <v>6007</v>
      </c>
      <c r="E10" s="4">
        <v>6607</v>
      </c>
    </row>
    <row r="11" spans="1:5" ht="23.1" customHeight="1" x14ac:dyDescent="0.25">
      <c r="A11" s="4">
        <v>4</v>
      </c>
      <c r="B11" s="4" t="s">
        <v>34</v>
      </c>
      <c r="C11" s="4">
        <v>1269</v>
      </c>
      <c r="D11" s="4">
        <v>560</v>
      </c>
      <c r="E11" s="4">
        <v>709</v>
      </c>
    </row>
    <row r="12" spans="1:5" ht="23.1" customHeight="1" x14ac:dyDescent="0.25">
      <c r="A12" s="4">
        <v>5</v>
      </c>
      <c r="B12" s="4" t="s">
        <v>101</v>
      </c>
      <c r="C12" s="4">
        <v>7398</v>
      </c>
      <c r="D12" s="4">
        <v>3444</v>
      </c>
      <c r="E12" s="4">
        <v>3954</v>
      </c>
    </row>
    <row r="13" spans="1:5" ht="23.1" customHeight="1" x14ac:dyDescent="0.25">
      <c r="A13" s="4"/>
      <c r="B13" s="4"/>
      <c r="C13" s="4"/>
      <c r="D13" s="4"/>
      <c r="E13" s="4"/>
    </row>
    <row r="14" spans="1:5" ht="23.1" customHeight="1" x14ac:dyDescent="0.25">
      <c r="A14" s="4"/>
      <c r="B14" s="15" t="s">
        <v>1032</v>
      </c>
      <c r="C14" s="15">
        <f>SUM(C15:C66)</f>
        <v>230663</v>
      </c>
      <c r="D14" s="15">
        <f t="shared" ref="D14:E14" si="2">SUM(D15:D66)</f>
        <v>115181</v>
      </c>
      <c r="E14" s="15">
        <f t="shared" si="2"/>
        <v>115482</v>
      </c>
    </row>
    <row r="15" spans="1:5" ht="23.1" customHeight="1" x14ac:dyDescent="0.25">
      <c r="A15" s="4">
        <v>1</v>
      </c>
      <c r="B15" s="4" t="s">
        <v>102</v>
      </c>
      <c r="C15" s="4">
        <v>13129</v>
      </c>
      <c r="D15" s="4">
        <v>6516</v>
      </c>
      <c r="E15" s="4">
        <v>6613</v>
      </c>
    </row>
    <row r="16" spans="1:5" ht="23.1" customHeight="1" x14ac:dyDescent="0.25">
      <c r="A16" s="4">
        <v>2</v>
      </c>
      <c r="B16" s="4" t="s">
        <v>103</v>
      </c>
      <c r="C16" s="4">
        <v>7216</v>
      </c>
      <c r="D16" s="4">
        <v>3546</v>
      </c>
      <c r="E16" s="4">
        <v>3670</v>
      </c>
    </row>
    <row r="17" spans="1:5" ht="23.1" customHeight="1" x14ac:dyDescent="0.25">
      <c r="A17" s="4">
        <v>3</v>
      </c>
      <c r="B17" s="4" t="s">
        <v>104</v>
      </c>
      <c r="C17" s="4">
        <v>2660</v>
      </c>
      <c r="D17" s="4">
        <v>1422</v>
      </c>
      <c r="E17" s="4">
        <v>1238</v>
      </c>
    </row>
    <row r="18" spans="1:5" ht="23.1" customHeight="1" x14ac:dyDescent="0.25">
      <c r="A18" s="4">
        <v>4</v>
      </c>
      <c r="B18" s="4" t="s">
        <v>105</v>
      </c>
      <c r="C18" s="4">
        <v>4814</v>
      </c>
      <c r="D18" s="4">
        <v>2532</v>
      </c>
      <c r="E18" s="4">
        <v>2282</v>
      </c>
    </row>
    <row r="19" spans="1:5" ht="23.1" customHeight="1" x14ac:dyDescent="0.25">
      <c r="A19" s="4">
        <v>5</v>
      </c>
      <c r="B19" s="4" t="s">
        <v>106</v>
      </c>
      <c r="C19" s="4">
        <v>9411</v>
      </c>
      <c r="D19" s="4">
        <v>4571</v>
      </c>
      <c r="E19" s="4">
        <v>4840</v>
      </c>
    </row>
    <row r="20" spans="1:5" ht="23.1" customHeight="1" x14ac:dyDescent="0.25">
      <c r="A20" s="4">
        <v>6</v>
      </c>
      <c r="B20" s="4" t="s">
        <v>93</v>
      </c>
      <c r="C20" s="4">
        <v>4777</v>
      </c>
      <c r="D20" s="4">
        <v>2353</v>
      </c>
      <c r="E20" s="4">
        <v>2424</v>
      </c>
    </row>
    <row r="21" spans="1:5" ht="23.1" customHeight="1" x14ac:dyDescent="0.25">
      <c r="A21" s="4">
        <v>7</v>
      </c>
      <c r="B21" s="4" t="s">
        <v>107</v>
      </c>
      <c r="C21" s="4">
        <v>11402</v>
      </c>
      <c r="D21" s="4">
        <v>5807</v>
      </c>
      <c r="E21" s="4">
        <v>5595</v>
      </c>
    </row>
    <row r="22" spans="1:5" ht="23.1" customHeight="1" x14ac:dyDescent="0.25">
      <c r="A22" s="4">
        <v>8</v>
      </c>
      <c r="B22" s="4" t="s">
        <v>108</v>
      </c>
      <c r="C22" s="4">
        <v>3102</v>
      </c>
      <c r="D22" s="4">
        <v>1605</v>
      </c>
      <c r="E22" s="4">
        <v>1497</v>
      </c>
    </row>
    <row r="23" spans="1:5" ht="23.1" customHeight="1" x14ac:dyDescent="0.25">
      <c r="A23" s="4">
        <v>9</v>
      </c>
      <c r="B23" s="4" t="s">
        <v>109</v>
      </c>
      <c r="C23" s="4">
        <v>2493</v>
      </c>
      <c r="D23" s="4">
        <v>1255</v>
      </c>
      <c r="E23" s="4">
        <v>1238</v>
      </c>
    </row>
    <row r="24" spans="1:5" ht="23.1" customHeight="1" x14ac:dyDescent="0.25">
      <c r="A24" s="4">
        <v>10</v>
      </c>
      <c r="B24" s="4" t="s">
        <v>110</v>
      </c>
      <c r="C24" s="4">
        <v>2725</v>
      </c>
      <c r="D24" s="4">
        <v>1336</v>
      </c>
      <c r="E24" s="4">
        <v>1389</v>
      </c>
    </row>
    <row r="25" spans="1:5" ht="23.1" customHeight="1" x14ac:dyDescent="0.25">
      <c r="A25" s="4">
        <v>11</v>
      </c>
      <c r="B25" s="4" t="s">
        <v>111</v>
      </c>
      <c r="C25" s="4">
        <v>9093</v>
      </c>
      <c r="D25" s="4">
        <v>4475</v>
      </c>
      <c r="E25" s="4">
        <v>4618</v>
      </c>
    </row>
    <row r="26" spans="1:5" ht="23.1" customHeight="1" x14ac:dyDescent="0.25">
      <c r="A26" s="4">
        <v>12</v>
      </c>
      <c r="B26" s="4" t="s">
        <v>112</v>
      </c>
      <c r="C26" s="4">
        <v>2140</v>
      </c>
      <c r="D26" s="4">
        <v>1109</v>
      </c>
      <c r="E26" s="4">
        <v>1031</v>
      </c>
    </row>
    <row r="27" spans="1:5" ht="23.1" customHeight="1" x14ac:dyDescent="0.25">
      <c r="A27" s="4">
        <v>13</v>
      </c>
      <c r="B27" s="4" t="s">
        <v>113</v>
      </c>
      <c r="C27" s="4">
        <v>4620</v>
      </c>
      <c r="D27" s="4">
        <v>2208</v>
      </c>
      <c r="E27" s="4">
        <v>2412</v>
      </c>
    </row>
    <row r="28" spans="1:5" ht="23.1" customHeight="1" x14ac:dyDescent="0.25">
      <c r="A28" s="4">
        <v>14</v>
      </c>
      <c r="B28" s="4" t="s">
        <v>114</v>
      </c>
      <c r="C28" s="4">
        <v>453</v>
      </c>
      <c r="D28" s="4">
        <v>243</v>
      </c>
      <c r="E28" s="4">
        <v>210</v>
      </c>
    </row>
    <row r="29" spans="1:5" ht="23.1" customHeight="1" x14ac:dyDescent="0.25">
      <c r="A29" s="4">
        <v>15</v>
      </c>
      <c r="B29" s="4" t="s">
        <v>115</v>
      </c>
      <c r="C29" s="4">
        <v>9683</v>
      </c>
      <c r="D29" s="4">
        <v>5146</v>
      </c>
      <c r="E29" s="4">
        <v>4537</v>
      </c>
    </row>
    <row r="30" spans="1:5" ht="23.1" customHeight="1" x14ac:dyDescent="0.25">
      <c r="A30" s="4">
        <v>16</v>
      </c>
      <c r="B30" s="4" t="s">
        <v>116</v>
      </c>
      <c r="C30" s="4">
        <v>5013</v>
      </c>
      <c r="D30" s="4">
        <v>2394</v>
      </c>
      <c r="E30" s="4">
        <v>2619</v>
      </c>
    </row>
    <row r="31" spans="1:5" ht="23.1" customHeight="1" x14ac:dyDescent="0.25">
      <c r="A31" s="4">
        <v>17</v>
      </c>
      <c r="B31" s="4" t="s">
        <v>117</v>
      </c>
      <c r="C31" s="4">
        <v>10439</v>
      </c>
      <c r="D31" s="4">
        <v>4990</v>
      </c>
      <c r="E31" s="4">
        <v>5449</v>
      </c>
    </row>
    <row r="32" spans="1:5" ht="23.1" customHeight="1" x14ac:dyDescent="0.25">
      <c r="A32" s="4">
        <v>18</v>
      </c>
      <c r="B32" s="4" t="s">
        <v>118</v>
      </c>
      <c r="C32" s="4">
        <v>5351</v>
      </c>
      <c r="D32" s="4">
        <v>2648</v>
      </c>
      <c r="E32" s="4">
        <v>2703</v>
      </c>
    </row>
    <row r="33" spans="1:5" ht="23.1" customHeight="1" x14ac:dyDescent="0.25">
      <c r="A33" s="4">
        <v>19</v>
      </c>
      <c r="B33" s="4" t="s">
        <v>119</v>
      </c>
      <c r="C33" s="4">
        <v>10675</v>
      </c>
      <c r="D33" s="4">
        <v>5316</v>
      </c>
      <c r="E33" s="4">
        <v>5359</v>
      </c>
    </row>
    <row r="34" spans="1:5" ht="23.1" customHeight="1" x14ac:dyDescent="0.25">
      <c r="A34" s="4">
        <v>20</v>
      </c>
      <c r="B34" s="4" t="s">
        <v>120</v>
      </c>
      <c r="C34" s="4">
        <v>4330</v>
      </c>
      <c r="D34" s="4">
        <v>2147</v>
      </c>
      <c r="E34" s="4">
        <v>2183</v>
      </c>
    </row>
    <row r="35" spans="1:5" ht="23.1" customHeight="1" x14ac:dyDescent="0.25">
      <c r="A35" s="4">
        <v>21</v>
      </c>
      <c r="B35" s="4" t="s">
        <v>121</v>
      </c>
      <c r="C35" s="4">
        <v>1434</v>
      </c>
      <c r="D35" s="4">
        <v>716</v>
      </c>
      <c r="E35" s="4">
        <v>718</v>
      </c>
    </row>
    <row r="36" spans="1:5" ht="23.1" customHeight="1" x14ac:dyDescent="0.25">
      <c r="A36" s="4">
        <v>22</v>
      </c>
      <c r="B36" s="4" t="s">
        <v>122</v>
      </c>
      <c r="C36" s="4">
        <v>457</v>
      </c>
      <c r="D36" s="4">
        <v>231</v>
      </c>
      <c r="E36" s="4">
        <v>226</v>
      </c>
    </row>
    <row r="37" spans="1:5" ht="23.1" customHeight="1" x14ac:dyDescent="0.25">
      <c r="A37" s="4">
        <v>23</v>
      </c>
      <c r="B37" s="4" t="s">
        <v>123</v>
      </c>
      <c r="C37" s="4">
        <v>13649</v>
      </c>
      <c r="D37" s="4">
        <v>6913</v>
      </c>
      <c r="E37" s="4">
        <v>6736</v>
      </c>
    </row>
    <row r="38" spans="1:5" ht="23.1" customHeight="1" x14ac:dyDescent="0.25">
      <c r="A38" s="4">
        <v>24</v>
      </c>
      <c r="B38" s="4" t="s">
        <v>124</v>
      </c>
      <c r="C38" s="4">
        <v>4643</v>
      </c>
      <c r="D38" s="4">
        <v>2456</v>
      </c>
      <c r="E38" s="4">
        <v>2187</v>
      </c>
    </row>
    <row r="39" spans="1:5" ht="23.1" customHeight="1" x14ac:dyDescent="0.25">
      <c r="A39" s="4">
        <v>25</v>
      </c>
      <c r="B39" s="4" t="s">
        <v>125</v>
      </c>
      <c r="C39" s="4">
        <v>11424</v>
      </c>
      <c r="D39" s="4">
        <v>5383</v>
      </c>
      <c r="E39" s="4">
        <v>6041</v>
      </c>
    </row>
    <row r="40" spans="1:5" ht="23.1" customHeight="1" x14ac:dyDescent="0.25">
      <c r="A40" s="4">
        <v>26</v>
      </c>
      <c r="B40" s="4" t="s">
        <v>126</v>
      </c>
      <c r="C40" s="4">
        <v>862</v>
      </c>
      <c r="D40" s="4">
        <v>449</v>
      </c>
      <c r="E40" s="4">
        <v>413</v>
      </c>
    </row>
    <row r="41" spans="1:5" ht="23.1" customHeight="1" x14ac:dyDescent="0.25">
      <c r="A41" s="4">
        <v>27</v>
      </c>
      <c r="B41" s="4" t="s">
        <v>127</v>
      </c>
      <c r="C41" s="4">
        <v>507</v>
      </c>
      <c r="D41" s="4">
        <v>256</v>
      </c>
      <c r="E41" s="4">
        <v>251</v>
      </c>
    </row>
    <row r="42" spans="1:5" ht="23.1" customHeight="1" x14ac:dyDescent="0.25">
      <c r="A42" s="4">
        <v>28</v>
      </c>
      <c r="B42" s="4" t="s">
        <v>128</v>
      </c>
      <c r="C42" s="4">
        <v>1851</v>
      </c>
      <c r="D42" s="4">
        <v>921</v>
      </c>
      <c r="E42" s="4">
        <v>930</v>
      </c>
    </row>
    <row r="43" spans="1:5" ht="23.1" customHeight="1" x14ac:dyDescent="0.25">
      <c r="A43" s="4">
        <v>29</v>
      </c>
      <c r="B43" s="4" t="s">
        <v>129</v>
      </c>
      <c r="C43" s="4">
        <v>4550</v>
      </c>
      <c r="D43" s="4">
        <v>2238</v>
      </c>
      <c r="E43" s="4">
        <v>2312</v>
      </c>
    </row>
    <row r="44" spans="1:5" ht="23.1" customHeight="1" x14ac:dyDescent="0.25">
      <c r="A44" s="4">
        <v>30</v>
      </c>
      <c r="B44" s="4" t="s">
        <v>130</v>
      </c>
      <c r="C44" s="4">
        <v>3052</v>
      </c>
      <c r="D44" s="4">
        <v>1460</v>
      </c>
      <c r="E44" s="4">
        <v>1592</v>
      </c>
    </row>
    <row r="45" spans="1:5" ht="23.1" customHeight="1" x14ac:dyDescent="0.25">
      <c r="A45" s="4">
        <v>31</v>
      </c>
      <c r="B45" s="4" t="s">
        <v>131</v>
      </c>
      <c r="C45" s="4">
        <v>3647</v>
      </c>
      <c r="D45" s="4">
        <v>1754</v>
      </c>
      <c r="E45" s="4">
        <v>1893</v>
      </c>
    </row>
    <row r="46" spans="1:5" ht="23.1" customHeight="1" x14ac:dyDescent="0.25">
      <c r="A46" s="4">
        <v>32</v>
      </c>
      <c r="B46" s="4" t="s">
        <v>132</v>
      </c>
      <c r="C46" s="4">
        <v>2330</v>
      </c>
      <c r="D46" s="4">
        <v>1135</v>
      </c>
      <c r="E46" s="4">
        <v>1195</v>
      </c>
    </row>
    <row r="47" spans="1:5" ht="23.1" customHeight="1" x14ac:dyDescent="0.25">
      <c r="A47" s="4">
        <v>33</v>
      </c>
      <c r="B47" s="4" t="s">
        <v>133</v>
      </c>
      <c r="C47" s="4">
        <v>366</v>
      </c>
      <c r="D47" s="4">
        <v>192</v>
      </c>
      <c r="E47" s="4">
        <v>174</v>
      </c>
    </row>
    <row r="48" spans="1:5" ht="23.1" customHeight="1" x14ac:dyDescent="0.25">
      <c r="A48" s="4">
        <v>34</v>
      </c>
      <c r="B48" s="4" t="s">
        <v>134</v>
      </c>
      <c r="C48" s="4">
        <v>2091</v>
      </c>
      <c r="D48" s="4">
        <v>1047</v>
      </c>
      <c r="E48" s="4">
        <v>1044</v>
      </c>
    </row>
    <row r="49" spans="1:5" ht="23.1" customHeight="1" x14ac:dyDescent="0.25">
      <c r="A49" s="4">
        <v>35</v>
      </c>
      <c r="B49" s="4" t="s">
        <v>135</v>
      </c>
      <c r="C49" s="4">
        <v>3902</v>
      </c>
      <c r="D49" s="4">
        <v>1893</v>
      </c>
      <c r="E49" s="4">
        <v>2009</v>
      </c>
    </row>
    <row r="50" spans="1:5" ht="23.1" customHeight="1" x14ac:dyDescent="0.25">
      <c r="A50" s="4">
        <v>36</v>
      </c>
      <c r="B50" s="4" t="s">
        <v>136</v>
      </c>
      <c r="C50" s="4">
        <v>2028</v>
      </c>
      <c r="D50" s="4">
        <v>1020</v>
      </c>
      <c r="E50" s="4">
        <v>1008</v>
      </c>
    </row>
    <row r="51" spans="1:5" ht="23.1" customHeight="1" x14ac:dyDescent="0.25">
      <c r="A51" s="4">
        <v>37</v>
      </c>
      <c r="B51" s="4" t="s">
        <v>137</v>
      </c>
      <c r="C51" s="4">
        <v>3323</v>
      </c>
      <c r="D51" s="4">
        <v>1690</v>
      </c>
      <c r="E51" s="4">
        <v>1633</v>
      </c>
    </row>
    <row r="52" spans="1:5" ht="23.1" customHeight="1" x14ac:dyDescent="0.25">
      <c r="A52" s="4">
        <v>38</v>
      </c>
      <c r="B52" s="4" t="s">
        <v>138</v>
      </c>
      <c r="C52" s="4">
        <v>3934</v>
      </c>
      <c r="D52" s="4">
        <v>1974</v>
      </c>
      <c r="E52" s="4">
        <v>1960</v>
      </c>
    </row>
    <row r="53" spans="1:5" ht="23.1" customHeight="1" x14ac:dyDescent="0.25">
      <c r="A53" s="4">
        <v>39</v>
      </c>
      <c r="B53" s="4" t="s">
        <v>139</v>
      </c>
      <c r="C53" s="4">
        <v>3222</v>
      </c>
      <c r="D53" s="4">
        <v>1583</v>
      </c>
      <c r="E53" s="4">
        <v>1639</v>
      </c>
    </row>
    <row r="54" spans="1:5" ht="23.1" customHeight="1" x14ac:dyDescent="0.25">
      <c r="A54" s="4">
        <v>40</v>
      </c>
      <c r="B54" s="4" t="s">
        <v>140</v>
      </c>
      <c r="C54" s="4">
        <v>2911</v>
      </c>
      <c r="D54" s="4">
        <v>1436</v>
      </c>
      <c r="E54" s="4">
        <v>1475</v>
      </c>
    </row>
    <row r="55" spans="1:5" ht="23.1" customHeight="1" x14ac:dyDescent="0.25">
      <c r="A55" s="4">
        <v>41</v>
      </c>
      <c r="B55" s="4" t="s">
        <v>141</v>
      </c>
      <c r="C55" s="4">
        <v>776</v>
      </c>
      <c r="D55" s="4">
        <v>370</v>
      </c>
      <c r="E55" s="4">
        <v>406</v>
      </c>
    </row>
    <row r="56" spans="1:5" ht="23.1" customHeight="1" x14ac:dyDescent="0.25">
      <c r="A56" s="4">
        <v>42</v>
      </c>
      <c r="B56" s="4" t="s">
        <v>142</v>
      </c>
      <c r="C56" s="4">
        <v>2603</v>
      </c>
      <c r="D56" s="4">
        <v>1265</v>
      </c>
      <c r="E56" s="4">
        <v>1338</v>
      </c>
    </row>
    <row r="57" spans="1:5" ht="23.1" customHeight="1" x14ac:dyDescent="0.25">
      <c r="A57" s="4">
        <v>43</v>
      </c>
      <c r="B57" s="4" t="s">
        <v>143</v>
      </c>
      <c r="C57" s="4">
        <v>1719</v>
      </c>
      <c r="D57" s="4">
        <v>910</v>
      </c>
      <c r="E57" s="4">
        <v>809</v>
      </c>
    </row>
    <row r="58" spans="1:5" ht="23.1" customHeight="1" x14ac:dyDescent="0.25">
      <c r="A58" s="4">
        <v>44</v>
      </c>
      <c r="B58" s="4" t="s">
        <v>144</v>
      </c>
      <c r="C58" s="4">
        <v>2201</v>
      </c>
      <c r="D58" s="4">
        <v>1060</v>
      </c>
      <c r="E58" s="4">
        <v>1141</v>
      </c>
    </row>
    <row r="59" spans="1:5" ht="23.1" customHeight="1" x14ac:dyDescent="0.25">
      <c r="A59" s="4">
        <v>45</v>
      </c>
      <c r="B59" s="4" t="s">
        <v>145</v>
      </c>
      <c r="C59" s="4">
        <v>853</v>
      </c>
      <c r="D59" s="4">
        <v>425</v>
      </c>
      <c r="E59" s="4">
        <v>428</v>
      </c>
    </row>
    <row r="60" spans="1:5" ht="23.1" customHeight="1" x14ac:dyDescent="0.25">
      <c r="A60" s="4">
        <v>46</v>
      </c>
      <c r="B60" s="4" t="s">
        <v>146</v>
      </c>
      <c r="C60" s="4">
        <v>2170</v>
      </c>
      <c r="D60" s="4">
        <v>1053</v>
      </c>
      <c r="E60" s="4">
        <v>1117</v>
      </c>
    </row>
    <row r="61" spans="1:5" ht="23.1" customHeight="1" x14ac:dyDescent="0.25">
      <c r="A61" s="4">
        <v>47</v>
      </c>
      <c r="B61" s="4" t="s">
        <v>147</v>
      </c>
      <c r="C61" s="4">
        <v>2977</v>
      </c>
      <c r="D61" s="4">
        <v>1522</v>
      </c>
      <c r="E61" s="4">
        <v>1455</v>
      </c>
    </row>
    <row r="62" spans="1:5" ht="23.1" customHeight="1" x14ac:dyDescent="0.25">
      <c r="A62" s="4">
        <v>48</v>
      </c>
      <c r="B62" s="4" t="s">
        <v>148</v>
      </c>
      <c r="C62" s="4">
        <v>1581</v>
      </c>
      <c r="D62" s="4">
        <v>792</v>
      </c>
      <c r="E62" s="4">
        <v>789</v>
      </c>
    </row>
    <row r="63" spans="1:5" ht="23.1" customHeight="1" x14ac:dyDescent="0.25">
      <c r="A63" s="4">
        <v>49</v>
      </c>
      <c r="B63" s="4" t="s">
        <v>149</v>
      </c>
      <c r="C63" s="4">
        <v>12127</v>
      </c>
      <c r="D63" s="4">
        <v>6333</v>
      </c>
      <c r="E63" s="4">
        <v>5794</v>
      </c>
    </row>
    <row r="64" spans="1:5" ht="23.1" customHeight="1" x14ac:dyDescent="0.25">
      <c r="A64" s="4">
        <v>50</v>
      </c>
      <c r="B64" s="4" t="s">
        <v>150</v>
      </c>
      <c r="C64" s="4">
        <v>4986</v>
      </c>
      <c r="D64" s="4">
        <v>2496</v>
      </c>
      <c r="E64" s="4">
        <v>2490</v>
      </c>
    </row>
    <row r="65" spans="1:5" ht="23.1" customHeight="1" x14ac:dyDescent="0.25">
      <c r="A65" s="4">
        <v>51</v>
      </c>
      <c r="B65" s="4" t="s">
        <v>151</v>
      </c>
      <c r="C65" s="4">
        <v>3217</v>
      </c>
      <c r="D65" s="4">
        <v>1685</v>
      </c>
      <c r="E65" s="4">
        <v>1532</v>
      </c>
    </row>
    <row r="66" spans="1:5" ht="23.1" customHeight="1" x14ac:dyDescent="0.25">
      <c r="A66" s="10">
        <v>52</v>
      </c>
      <c r="B66" s="10" t="s">
        <v>152</v>
      </c>
      <c r="C66" s="10">
        <v>1744</v>
      </c>
      <c r="D66" s="10">
        <v>904</v>
      </c>
      <c r="E66" s="10">
        <v>840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North District, Hlegu  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26.7109375" customWidth="1"/>
    <col min="3" max="5" width="15.7109375" customWidth="1"/>
  </cols>
  <sheetData>
    <row r="1" spans="1:6" s="2" customFormat="1" ht="25.5" customHeight="1" x14ac:dyDescent="0.4">
      <c r="A1" s="80" t="s">
        <v>1048</v>
      </c>
      <c r="B1" s="80"/>
      <c r="C1" s="80"/>
      <c r="D1" s="80"/>
      <c r="E1" s="80"/>
    </row>
    <row r="2" spans="1:6" s="2" customFormat="1" ht="25.5" customHeight="1" x14ac:dyDescent="0.4">
      <c r="A2" s="1"/>
      <c r="B2" s="1"/>
      <c r="C2" s="1"/>
      <c r="D2" s="1"/>
      <c r="E2" s="53" t="s">
        <v>1031</v>
      </c>
    </row>
    <row r="3" spans="1:6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6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6" s="3" customFormat="1" ht="23.1" customHeight="1" x14ac:dyDescent="0.4">
      <c r="A5" s="61"/>
      <c r="B5" s="59" t="s">
        <v>0</v>
      </c>
      <c r="C5" s="59">
        <f>C7+C29</f>
        <v>277268</v>
      </c>
      <c r="D5" s="59">
        <f t="shared" ref="D5:E5" si="0">D7+D29</f>
        <v>134714</v>
      </c>
      <c r="E5" s="59">
        <f t="shared" si="0"/>
        <v>142554</v>
      </c>
      <c r="F5"/>
    </row>
    <row r="6" spans="1:6" s="3" customFormat="1" ht="23.1" customHeight="1" x14ac:dyDescent="0.4">
      <c r="A6" s="5"/>
      <c r="B6" s="19"/>
      <c r="C6" s="5"/>
      <c r="D6" s="5"/>
      <c r="E6" s="5"/>
    </row>
    <row r="7" spans="1:6" ht="23.1" customHeight="1" x14ac:dyDescent="0.25">
      <c r="A7" s="4"/>
      <c r="B7" s="19" t="s">
        <v>1028</v>
      </c>
      <c r="C7" s="19">
        <f>SUM(C8:C27)</f>
        <v>88000</v>
      </c>
      <c r="D7" s="19">
        <f t="shared" ref="D7:E7" si="1">SUM(D8:D27)</f>
        <v>42161</v>
      </c>
      <c r="E7" s="19">
        <f t="shared" si="1"/>
        <v>45839</v>
      </c>
    </row>
    <row r="8" spans="1:6" ht="23.1" customHeight="1" x14ac:dyDescent="0.25">
      <c r="A8" s="4">
        <v>1</v>
      </c>
      <c r="B8" s="4" t="s">
        <v>153</v>
      </c>
      <c r="C8" s="4">
        <v>3514</v>
      </c>
      <c r="D8" s="4">
        <v>1679</v>
      </c>
      <c r="E8" s="4">
        <v>1835</v>
      </c>
    </row>
    <row r="9" spans="1:6" ht="23.1" customHeight="1" x14ac:dyDescent="0.25">
      <c r="A9" s="4">
        <v>2</v>
      </c>
      <c r="B9" s="4" t="s">
        <v>154</v>
      </c>
      <c r="C9" s="4">
        <v>8287</v>
      </c>
      <c r="D9" s="4">
        <v>3942</v>
      </c>
      <c r="E9" s="4">
        <v>4345</v>
      </c>
    </row>
    <row r="10" spans="1:6" ht="23.1" customHeight="1" x14ac:dyDescent="0.25">
      <c r="A10" s="4">
        <v>3</v>
      </c>
      <c r="B10" s="4" t="s">
        <v>155</v>
      </c>
      <c r="C10" s="4">
        <v>2817</v>
      </c>
      <c r="D10" s="4">
        <v>1265</v>
      </c>
      <c r="E10" s="4">
        <v>1552</v>
      </c>
    </row>
    <row r="11" spans="1:6" ht="23.1" customHeight="1" x14ac:dyDescent="0.25">
      <c r="A11" s="4">
        <v>4</v>
      </c>
      <c r="B11" s="4" t="s">
        <v>156</v>
      </c>
      <c r="C11" s="4">
        <v>4613</v>
      </c>
      <c r="D11" s="4">
        <v>2159</v>
      </c>
      <c r="E11" s="4">
        <v>2454</v>
      </c>
    </row>
    <row r="12" spans="1:6" ht="23.1" customHeight="1" x14ac:dyDescent="0.25">
      <c r="A12" s="4">
        <v>5</v>
      </c>
      <c r="B12" s="4" t="s">
        <v>157</v>
      </c>
      <c r="C12" s="4">
        <v>3445</v>
      </c>
      <c r="D12" s="4">
        <v>1649</v>
      </c>
      <c r="E12" s="4">
        <v>1796</v>
      </c>
    </row>
    <row r="13" spans="1:6" ht="23.1" customHeight="1" x14ac:dyDescent="0.25">
      <c r="A13" s="4">
        <v>6</v>
      </c>
      <c r="B13" s="4" t="s">
        <v>158</v>
      </c>
      <c r="C13" s="4">
        <v>9764</v>
      </c>
      <c r="D13" s="4">
        <v>4820</v>
      </c>
      <c r="E13" s="4">
        <v>4944</v>
      </c>
    </row>
    <row r="14" spans="1:6" ht="23.1" customHeight="1" x14ac:dyDescent="0.25">
      <c r="A14" s="4">
        <v>7</v>
      </c>
      <c r="B14" s="4" t="s">
        <v>159</v>
      </c>
      <c r="C14" s="4">
        <v>11022</v>
      </c>
      <c r="D14" s="4">
        <v>5329</v>
      </c>
      <c r="E14" s="4">
        <v>5693</v>
      </c>
    </row>
    <row r="15" spans="1:6" ht="23.1" customHeight="1" x14ac:dyDescent="0.25">
      <c r="A15" s="4">
        <v>8</v>
      </c>
      <c r="B15" s="4" t="s">
        <v>160</v>
      </c>
      <c r="C15" s="4">
        <v>14392</v>
      </c>
      <c r="D15" s="4">
        <v>7137</v>
      </c>
      <c r="E15" s="4">
        <v>7255</v>
      </c>
    </row>
    <row r="16" spans="1:6" ht="23.1" customHeight="1" x14ac:dyDescent="0.25">
      <c r="A16" s="4">
        <v>9</v>
      </c>
      <c r="B16" s="4" t="s">
        <v>161</v>
      </c>
      <c r="C16" s="4">
        <v>1782</v>
      </c>
      <c r="D16" s="4">
        <v>848</v>
      </c>
      <c r="E16" s="4">
        <v>934</v>
      </c>
    </row>
    <row r="17" spans="1:5" ht="23.1" customHeight="1" x14ac:dyDescent="0.25">
      <c r="A17" s="4">
        <v>10</v>
      </c>
      <c r="B17" s="4" t="s">
        <v>162</v>
      </c>
      <c r="C17" s="4">
        <v>1652</v>
      </c>
      <c r="D17" s="4">
        <v>759</v>
      </c>
      <c r="E17" s="4">
        <v>893</v>
      </c>
    </row>
    <row r="18" spans="1:5" ht="23.1" customHeight="1" x14ac:dyDescent="0.25">
      <c r="A18" s="4">
        <v>11</v>
      </c>
      <c r="B18" s="4" t="s">
        <v>163</v>
      </c>
      <c r="C18" s="4">
        <v>3167</v>
      </c>
      <c r="D18" s="4">
        <v>1467</v>
      </c>
      <c r="E18" s="4">
        <v>1700</v>
      </c>
    </row>
    <row r="19" spans="1:5" ht="23.1" customHeight="1" x14ac:dyDescent="0.25">
      <c r="A19" s="4">
        <v>12</v>
      </c>
      <c r="B19" s="4" t="s">
        <v>164</v>
      </c>
      <c r="C19" s="4">
        <v>3486</v>
      </c>
      <c r="D19" s="4">
        <v>1635</v>
      </c>
      <c r="E19" s="4">
        <v>1851</v>
      </c>
    </row>
    <row r="20" spans="1:5" ht="23.1" customHeight="1" x14ac:dyDescent="0.25">
      <c r="A20" s="4">
        <v>13</v>
      </c>
      <c r="B20" s="4" t="s">
        <v>165</v>
      </c>
      <c r="C20" s="4">
        <v>1932</v>
      </c>
      <c r="D20" s="4">
        <v>956</v>
      </c>
      <c r="E20" s="4">
        <v>976</v>
      </c>
    </row>
    <row r="21" spans="1:5" ht="23.1" customHeight="1" x14ac:dyDescent="0.25">
      <c r="A21" s="4">
        <v>14</v>
      </c>
      <c r="B21" s="4" t="s">
        <v>166</v>
      </c>
      <c r="C21" s="4">
        <v>3200</v>
      </c>
      <c r="D21" s="4">
        <v>1504</v>
      </c>
      <c r="E21" s="4">
        <v>1696</v>
      </c>
    </row>
    <row r="22" spans="1:5" ht="23.1" customHeight="1" x14ac:dyDescent="0.25">
      <c r="A22" s="4">
        <v>15</v>
      </c>
      <c r="B22" s="4" t="s">
        <v>167</v>
      </c>
      <c r="C22" s="4">
        <v>2432</v>
      </c>
      <c r="D22" s="4">
        <v>1152</v>
      </c>
      <c r="E22" s="4">
        <v>1280</v>
      </c>
    </row>
    <row r="23" spans="1:5" ht="23.1" customHeight="1" x14ac:dyDescent="0.25">
      <c r="A23" s="4">
        <v>16</v>
      </c>
      <c r="B23" s="4" t="s">
        <v>168</v>
      </c>
      <c r="C23" s="4">
        <v>1310</v>
      </c>
      <c r="D23" s="4">
        <v>635</v>
      </c>
      <c r="E23" s="4">
        <v>675</v>
      </c>
    </row>
    <row r="24" spans="1:5" ht="23.1" customHeight="1" x14ac:dyDescent="0.25">
      <c r="A24" s="4">
        <v>17</v>
      </c>
      <c r="B24" s="4" t="s">
        <v>56</v>
      </c>
      <c r="C24" s="4">
        <v>2650</v>
      </c>
      <c r="D24" s="4">
        <v>1260</v>
      </c>
      <c r="E24" s="4">
        <v>1390</v>
      </c>
    </row>
    <row r="25" spans="1:5" ht="23.1" customHeight="1" x14ac:dyDescent="0.25">
      <c r="A25" s="4">
        <v>18</v>
      </c>
      <c r="B25" s="4" t="s">
        <v>57</v>
      </c>
      <c r="C25" s="4">
        <v>1742</v>
      </c>
      <c r="D25" s="4">
        <v>840</v>
      </c>
      <c r="E25" s="4">
        <v>902</v>
      </c>
    </row>
    <row r="26" spans="1:5" ht="23.1" customHeight="1" x14ac:dyDescent="0.25">
      <c r="A26" s="4">
        <v>19</v>
      </c>
      <c r="B26" s="4" t="s">
        <v>58</v>
      </c>
      <c r="C26" s="4">
        <v>3850</v>
      </c>
      <c r="D26" s="4">
        <v>1750</v>
      </c>
      <c r="E26" s="4">
        <v>2100</v>
      </c>
    </row>
    <row r="27" spans="1:5" ht="23.1" customHeight="1" x14ac:dyDescent="0.25">
      <c r="A27" s="4">
        <v>20</v>
      </c>
      <c r="B27" s="4" t="s">
        <v>59</v>
      </c>
      <c r="C27" s="4">
        <v>2943</v>
      </c>
      <c r="D27" s="4">
        <v>1375</v>
      </c>
      <c r="E27" s="4">
        <v>1568</v>
      </c>
    </row>
    <row r="28" spans="1:5" ht="23.1" customHeight="1" x14ac:dyDescent="0.25">
      <c r="A28" s="4"/>
      <c r="B28" s="4"/>
      <c r="C28" s="4"/>
      <c r="D28" s="4"/>
      <c r="E28" s="4"/>
    </row>
    <row r="29" spans="1:5" ht="23.1" customHeight="1" x14ac:dyDescent="0.25">
      <c r="A29" s="4"/>
      <c r="B29" s="19" t="s">
        <v>1032</v>
      </c>
      <c r="C29" s="19">
        <f>SUM(C30:C103)</f>
        <v>189268</v>
      </c>
      <c r="D29" s="19">
        <f t="shared" ref="D29:E29" si="2">SUM(D30:D103)</f>
        <v>92553</v>
      </c>
      <c r="E29" s="19">
        <f t="shared" si="2"/>
        <v>96715</v>
      </c>
    </row>
    <row r="30" spans="1:5" ht="23.1" customHeight="1" x14ac:dyDescent="0.25">
      <c r="A30" s="4">
        <v>1</v>
      </c>
      <c r="B30" s="4" t="s">
        <v>169</v>
      </c>
      <c r="C30" s="4">
        <v>6420</v>
      </c>
      <c r="D30" s="4">
        <v>3199</v>
      </c>
      <c r="E30" s="4">
        <v>3221</v>
      </c>
    </row>
    <row r="31" spans="1:5" ht="23.1" customHeight="1" x14ac:dyDescent="0.25">
      <c r="A31" s="4">
        <v>2</v>
      </c>
      <c r="B31" s="4" t="s">
        <v>170</v>
      </c>
      <c r="C31" s="4">
        <v>3888</v>
      </c>
      <c r="D31" s="4">
        <v>1865</v>
      </c>
      <c r="E31" s="4">
        <v>2023</v>
      </c>
    </row>
    <row r="32" spans="1:5" ht="23.1" customHeight="1" x14ac:dyDescent="0.25">
      <c r="A32" s="4">
        <v>3</v>
      </c>
      <c r="B32" s="4" t="s">
        <v>171</v>
      </c>
      <c r="C32" s="4">
        <v>3023</v>
      </c>
      <c r="D32" s="4">
        <v>1429</v>
      </c>
      <c r="E32" s="4">
        <v>1594</v>
      </c>
    </row>
    <row r="33" spans="1:5" ht="23.1" customHeight="1" x14ac:dyDescent="0.25">
      <c r="A33" s="4">
        <v>4</v>
      </c>
      <c r="B33" s="4" t="s">
        <v>172</v>
      </c>
      <c r="C33" s="4">
        <v>1773</v>
      </c>
      <c r="D33" s="4">
        <v>847</v>
      </c>
      <c r="E33" s="4">
        <v>926</v>
      </c>
    </row>
    <row r="34" spans="1:5" ht="23.1" customHeight="1" x14ac:dyDescent="0.25">
      <c r="A34" s="4">
        <v>5</v>
      </c>
      <c r="B34" s="4" t="s">
        <v>173</v>
      </c>
      <c r="C34" s="4">
        <v>7954</v>
      </c>
      <c r="D34" s="4">
        <v>3801</v>
      </c>
      <c r="E34" s="4">
        <v>4153</v>
      </c>
    </row>
    <row r="35" spans="1:5" ht="23.1" customHeight="1" x14ac:dyDescent="0.25">
      <c r="A35" s="4">
        <v>6</v>
      </c>
      <c r="B35" s="4" t="s">
        <v>174</v>
      </c>
      <c r="C35" s="4">
        <v>2862</v>
      </c>
      <c r="D35" s="4">
        <v>1353</v>
      </c>
      <c r="E35" s="4">
        <v>1509</v>
      </c>
    </row>
    <row r="36" spans="1:5" ht="23.1" customHeight="1" x14ac:dyDescent="0.25">
      <c r="A36" s="4">
        <v>7</v>
      </c>
      <c r="B36" s="4" t="s">
        <v>175</v>
      </c>
      <c r="C36" s="4">
        <v>3884</v>
      </c>
      <c r="D36" s="4">
        <v>1858</v>
      </c>
      <c r="E36" s="4">
        <v>2026</v>
      </c>
    </row>
    <row r="37" spans="1:5" ht="23.1" customHeight="1" x14ac:dyDescent="0.25">
      <c r="A37" s="4">
        <v>8</v>
      </c>
      <c r="B37" s="4" t="s">
        <v>176</v>
      </c>
      <c r="C37" s="4">
        <v>4188</v>
      </c>
      <c r="D37" s="4">
        <v>2065</v>
      </c>
      <c r="E37" s="4">
        <v>2123</v>
      </c>
    </row>
    <row r="38" spans="1:5" ht="23.1" customHeight="1" x14ac:dyDescent="0.25">
      <c r="A38" s="4">
        <v>9</v>
      </c>
      <c r="B38" s="4" t="s">
        <v>177</v>
      </c>
      <c r="C38" s="4">
        <v>3957</v>
      </c>
      <c r="D38" s="4">
        <v>1936</v>
      </c>
      <c r="E38" s="4">
        <v>2021</v>
      </c>
    </row>
    <row r="39" spans="1:5" ht="23.1" customHeight="1" x14ac:dyDescent="0.25">
      <c r="A39" s="4">
        <v>10</v>
      </c>
      <c r="B39" s="4" t="s">
        <v>178</v>
      </c>
      <c r="C39" s="4">
        <v>2233</v>
      </c>
      <c r="D39" s="4">
        <v>1058</v>
      </c>
      <c r="E39" s="4">
        <v>1175</v>
      </c>
    </row>
    <row r="40" spans="1:5" ht="23.1" customHeight="1" x14ac:dyDescent="0.25">
      <c r="A40" s="4">
        <v>11</v>
      </c>
      <c r="B40" s="4" t="s">
        <v>179</v>
      </c>
      <c r="C40" s="4">
        <v>1004</v>
      </c>
      <c r="D40" s="4">
        <v>477</v>
      </c>
      <c r="E40" s="4">
        <v>527</v>
      </c>
    </row>
    <row r="41" spans="1:5" ht="23.1" customHeight="1" x14ac:dyDescent="0.25">
      <c r="A41" s="4">
        <v>12</v>
      </c>
      <c r="B41" s="4" t="s">
        <v>180</v>
      </c>
      <c r="C41" s="4">
        <v>4699</v>
      </c>
      <c r="D41" s="4">
        <v>2364</v>
      </c>
      <c r="E41" s="4">
        <v>2335</v>
      </c>
    </row>
    <row r="42" spans="1:5" ht="23.1" customHeight="1" x14ac:dyDescent="0.25">
      <c r="A42" s="4">
        <v>13</v>
      </c>
      <c r="B42" s="4" t="s">
        <v>181</v>
      </c>
      <c r="C42" s="4">
        <v>7056</v>
      </c>
      <c r="D42" s="4">
        <v>3577</v>
      </c>
      <c r="E42" s="4">
        <v>3479</v>
      </c>
    </row>
    <row r="43" spans="1:5" ht="23.1" customHeight="1" x14ac:dyDescent="0.25">
      <c r="A43" s="4">
        <v>14</v>
      </c>
      <c r="B43" s="4" t="s">
        <v>182</v>
      </c>
      <c r="C43" s="4">
        <v>5150</v>
      </c>
      <c r="D43" s="4">
        <v>2522</v>
      </c>
      <c r="E43" s="4">
        <v>2628</v>
      </c>
    </row>
    <row r="44" spans="1:5" ht="23.1" customHeight="1" x14ac:dyDescent="0.25">
      <c r="A44" s="4">
        <v>15</v>
      </c>
      <c r="B44" s="4" t="s">
        <v>183</v>
      </c>
      <c r="C44" s="4">
        <v>2558</v>
      </c>
      <c r="D44" s="4">
        <v>1243</v>
      </c>
      <c r="E44" s="4">
        <v>1315</v>
      </c>
    </row>
    <row r="45" spans="1:5" ht="23.1" customHeight="1" x14ac:dyDescent="0.25">
      <c r="A45" s="4">
        <v>16</v>
      </c>
      <c r="B45" s="4" t="s">
        <v>184</v>
      </c>
      <c r="C45" s="4">
        <v>6038</v>
      </c>
      <c r="D45" s="4">
        <v>2910</v>
      </c>
      <c r="E45" s="4">
        <v>3128</v>
      </c>
    </row>
    <row r="46" spans="1:5" ht="23.1" customHeight="1" x14ac:dyDescent="0.25">
      <c r="A46" s="4">
        <v>17</v>
      </c>
      <c r="B46" s="4" t="s">
        <v>185</v>
      </c>
      <c r="C46" s="4">
        <v>2494</v>
      </c>
      <c r="D46" s="4">
        <v>1234</v>
      </c>
      <c r="E46" s="4">
        <v>1260</v>
      </c>
    </row>
    <row r="47" spans="1:5" ht="23.1" customHeight="1" x14ac:dyDescent="0.25">
      <c r="A47" s="4">
        <v>18</v>
      </c>
      <c r="B47" s="4" t="s">
        <v>186</v>
      </c>
      <c r="C47" s="4">
        <v>3433</v>
      </c>
      <c r="D47" s="4">
        <v>1624</v>
      </c>
      <c r="E47" s="4">
        <v>1809</v>
      </c>
    </row>
    <row r="48" spans="1:5" ht="23.1" customHeight="1" x14ac:dyDescent="0.25">
      <c r="A48" s="4">
        <v>19</v>
      </c>
      <c r="B48" s="4" t="s">
        <v>187</v>
      </c>
      <c r="C48" s="4">
        <v>2704</v>
      </c>
      <c r="D48" s="4">
        <v>1304</v>
      </c>
      <c r="E48" s="4">
        <v>1400</v>
      </c>
    </row>
    <row r="49" spans="1:5" ht="23.1" customHeight="1" x14ac:dyDescent="0.25">
      <c r="A49" s="4">
        <v>20</v>
      </c>
      <c r="B49" s="4" t="s">
        <v>188</v>
      </c>
      <c r="C49" s="4">
        <v>1343</v>
      </c>
      <c r="D49" s="4">
        <v>655</v>
      </c>
      <c r="E49" s="4">
        <v>688</v>
      </c>
    </row>
    <row r="50" spans="1:5" ht="23.1" customHeight="1" x14ac:dyDescent="0.25">
      <c r="A50" s="4">
        <v>21</v>
      </c>
      <c r="B50" s="4" t="s">
        <v>189</v>
      </c>
      <c r="C50" s="4">
        <v>4595</v>
      </c>
      <c r="D50" s="4">
        <v>2349</v>
      </c>
      <c r="E50" s="4">
        <v>2246</v>
      </c>
    </row>
    <row r="51" spans="1:5" ht="23.1" customHeight="1" x14ac:dyDescent="0.25">
      <c r="A51" s="4">
        <v>22</v>
      </c>
      <c r="B51" s="4" t="s">
        <v>190</v>
      </c>
      <c r="C51" s="4">
        <v>877</v>
      </c>
      <c r="D51" s="4">
        <v>436</v>
      </c>
      <c r="E51" s="4">
        <v>441</v>
      </c>
    </row>
    <row r="52" spans="1:5" ht="23.1" customHeight="1" x14ac:dyDescent="0.25">
      <c r="A52" s="4">
        <v>23</v>
      </c>
      <c r="B52" s="4" t="s">
        <v>191</v>
      </c>
      <c r="C52" s="4">
        <v>1903</v>
      </c>
      <c r="D52" s="4">
        <v>952</v>
      </c>
      <c r="E52" s="4">
        <v>951</v>
      </c>
    </row>
    <row r="53" spans="1:5" ht="23.1" customHeight="1" x14ac:dyDescent="0.25">
      <c r="A53" s="4">
        <v>24</v>
      </c>
      <c r="B53" s="4" t="s">
        <v>192</v>
      </c>
      <c r="C53" s="4">
        <v>2806</v>
      </c>
      <c r="D53" s="4">
        <v>1367</v>
      </c>
      <c r="E53" s="4">
        <v>1439</v>
      </c>
    </row>
    <row r="54" spans="1:5" ht="23.1" customHeight="1" x14ac:dyDescent="0.25">
      <c r="A54" s="4">
        <v>25</v>
      </c>
      <c r="B54" s="4" t="s">
        <v>193</v>
      </c>
      <c r="C54" s="4">
        <v>1230</v>
      </c>
      <c r="D54" s="4">
        <v>585</v>
      </c>
      <c r="E54" s="4">
        <v>645</v>
      </c>
    </row>
    <row r="55" spans="1:5" ht="23.1" customHeight="1" x14ac:dyDescent="0.25">
      <c r="A55" s="4">
        <v>26</v>
      </c>
      <c r="B55" s="4" t="s">
        <v>194</v>
      </c>
      <c r="C55" s="4">
        <v>1428</v>
      </c>
      <c r="D55" s="4">
        <v>686</v>
      </c>
      <c r="E55" s="4">
        <v>742</v>
      </c>
    </row>
    <row r="56" spans="1:5" ht="23.1" customHeight="1" x14ac:dyDescent="0.25">
      <c r="A56" s="4">
        <v>27</v>
      </c>
      <c r="B56" s="4" t="s">
        <v>195</v>
      </c>
      <c r="C56" s="4">
        <v>1371</v>
      </c>
      <c r="D56" s="4">
        <v>686</v>
      </c>
      <c r="E56" s="4">
        <v>685</v>
      </c>
    </row>
    <row r="57" spans="1:5" ht="23.1" customHeight="1" x14ac:dyDescent="0.25">
      <c r="A57" s="4">
        <v>28</v>
      </c>
      <c r="B57" s="4" t="s">
        <v>196</v>
      </c>
      <c r="C57" s="4">
        <v>1852</v>
      </c>
      <c r="D57" s="4">
        <v>898</v>
      </c>
      <c r="E57" s="4">
        <v>954</v>
      </c>
    </row>
    <row r="58" spans="1:5" ht="23.1" customHeight="1" x14ac:dyDescent="0.25">
      <c r="A58" s="4">
        <v>29</v>
      </c>
      <c r="B58" s="4" t="s">
        <v>197</v>
      </c>
      <c r="C58" s="4">
        <v>2815</v>
      </c>
      <c r="D58" s="4">
        <v>1353</v>
      </c>
      <c r="E58" s="4">
        <v>1462</v>
      </c>
    </row>
    <row r="59" spans="1:5" ht="23.1" customHeight="1" x14ac:dyDescent="0.25">
      <c r="A59" s="4">
        <v>30</v>
      </c>
      <c r="B59" s="4" t="s">
        <v>198</v>
      </c>
      <c r="C59" s="4">
        <v>1037</v>
      </c>
      <c r="D59" s="4">
        <v>514</v>
      </c>
      <c r="E59" s="4">
        <v>523</v>
      </c>
    </row>
    <row r="60" spans="1:5" ht="23.1" customHeight="1" x14ac:dyDescent="0.25">
      <c r="A60" s="4">
        <v>31</v>
      </c>
      <c r="B60" s="4" t="s">
        <v>199</v>
      </c>
      <c r="C60" s="4">
        <v>1819</v>
      </c>
      <c r="D60" s="4">
        <v>927</v>
      </c>
      <c r="E60" s="4">
        <v>892</v>
      </c>
    </row>
    <row r="61" spans="1:5" ht="23.1" customHeight="1" x14ac:dyDescent="0.25">
      <c r="A61" s="4">
        <v>32</v>
      </c>
      <c r="B61" s="4" t="s">
        <v>200</v>
      </c>
      <c r="C61" s="4">
        <v>740</v>
      </c>
      <c r="D61" s="4">
        <v>349</v>
      </c>
      <c r="E61" s="4">
        <v>391</v>
      </c>
    </row>
    <row r="62" spans="1:5" ht="23.1" customHeight="1" x14ac:dyDescent="0.25">
      <c r="A62" s="4">
        <v>33</v>
      </c>
      <c r="B62" s="4" t="s">
        <v>201</v>
      </c>
      <c r="C62" s="4">
        <v>748</v>
      </c>
      <c r="D62" s="4">
        <v>344</v>
      </c>
      <c r="E62" s="4">
        <v>404</v>
      </c>
    </row>
    <row r="63" spans="1:5" ht="23.1" customHeight="1" x14ac:dyDescent="0.25">
      <c r="A63" s="4">
        <v>34</v>
      </c>
      <c r="B63" s="4" t="s">
        <v>202</v>
      </c>
      <c r="C63" s="4">
        <v>3399</v>
      </c>
      <c r="D63" s="4">
        <v>1634</v>
      </c>
      <c r="E63" s="4">
        <v>1765</v>
      </c>
    </row>
    <row r="64" spans="1:5" ht="23.1" customHeight="1" x14ac:dyDescent="0.25">
      <c r="A64" s="4">
        <v>35</v>
      </c>
      <c r="B64" s="4" t="s">
        <v>203</v>
      </c>
      <c r="C64" s="4">
        <v>1342</v>
      </c>
      <c r="D64" s="4">
        <v>631</v>
      </c>
      <c r="E64" s="4">
        <v>711</v>
      </c>
    </row>
    <row r="65" spans="1:5" ht="23.1" customHeight="1" x14ac:dyDescent="0.25">
      <c r="A65" s="4">
        <v>36</v>
      </c>
      <c r="B65" s="4" t="s">
        <v>204</v>
      </c>
      <c r="C65" s="4">
        <v>2168</v>
      </c>
      <c r="D65" s="4">
        <v>1049</v>
      </c>
      <c r="E65" s="4">
        <v>1119</v>
      </c>
    </row>
    <row r="66" spans="1:5" ht="23.1" customHeight="1" x14ac:dyDescent="0.25">
      <c r="A66" s="4">
        <v>37</v>
      </c>
      <c r="B66" s="4" t="s">
        <v>205</v>
      </c>
      <c r="C66" s="4">
        <v>3651</v>
      </c>
      <c r="D66" s="4">
        <v>1753</v>
      </c>
      <c r="E66" s="4">
        <v>1898</v>
      </c>
    </row>
    <row r="67" spans="1:5" ht="23.1" customHeight="1" x14ac:dyDescent="0.25">
      <c r="A67" s="4">
        <v>38</v>
      </c>
      <c r="B67" s="4" t="s">
        <v>206</v>
      </c>
      <c r="C67" s="4">
        <v>768</v>
      </c>
      <c r="D67" s="4">
        <v>359</v>
      </c>
      <c r="E67" s="4">
        <v>409</v>
      </c>
    </row>
    <row r="68" spans="1:5" ht="23.1" customHeight="1" x14ac:dyDescent="0.25">
      <c r="A68" s="4">
        <v>39</v>
      </c>
      <c r="B68" s="4" t="s">
        <v>207</v>
      </c>
      <c r="C68" s="4">
        <v>1283</v>
      </c>
      <c r="D68" s="4">
        <v>636</v>
      </c>
      <c r="E68" s="4">
        <v>647</v>
      </c>
    </row>
    <row r="69" spans="1:5" ht="23.1" customHeight="1" x14ac:dyDescent="0.25">
      <c r="A69" s="4">
        <v>40</v>
      </c>
      <c r="B69" s="4" t="s">
        <v>93</v>
      </c>
      <c r="C69" s="4">
        <v>799</v>
      </c>
      <c r="D69" s="4">
        <v>391</v>
      </c>
      <c r="E69" s="4">
        <v>408</v>
      </c>
    </row>
    <row r="70" spans="1:5" ht="23.1" customHeight="1" x14ac:dyDescent="0.25">
      <c r="A70" s="4">
        <v>41</v>
      </c>
      <c r="B70" s="4" t="s">
        <v>208</v>
      </c>
      <c r="C70" s="4">
        <v>1860</v>
      </c>
      <c r="D70" s="4">
        <v>897</v>
      </c>
      <c r="E70" s="4">
        <v>963</v>
      </c>
    </row>
    <row r="71" spans="1:5" ht="23.1" customHeight="1" x14ac:dyDescent="0.25">
      <c r="A71" s="4">
        <v>42</v>
      </c>
      <c r="B71" s="4" t="s">
        <v>209</v>
      </c>
      <c r="C71" s="4">
        <v>1879</v>
      </c>
      <c r="D71" s="4">
        <v>912</v>
      </c>
      <c r="E71" s="4">
        <v>967</v>
      </c>
    </row>
    <row r="72" spans="1:5" ht="23.1" customHeight="1" x14ac:dyDescent="0.25">
      <c r="A72" s="4">
        <v>43</v>
      </c>
      <c r="B72" s="4" t="s">
        <v>210</v>
      </c>
      <c r="C72" s="4">
        <v>3154</v>
      </c>
      <c r="D72" s="4">
        <v>1545</v>
      </c>
      <c r="E72" s="4">
        <v>1609</v>
      </c>
    </row>
    <row r="73" spans="1:5" ht="23.1" customHeight="1" x14ac:dyDescent="0.25">
      <c r="A73" s="4">
        <v>44</v>
      </c>
      <c r="B73" s="4" t="s">
        <v>211</v>
      </c>
      <c r="C73" s="4">
        <v>2229</v>
      </c>
      <c r="D73" s="4">
        <v>1121</v>
      </c>
      <c r="E73" s="4">
        <v>1108</v>
      </c>
    </row>
    <row r="74" spans="1:5" ht="23.1" customHeight="1" x14ac:dyDescent="0.25">
      <c r="A74" s="4">
        <v>45</v>
      </c>
      <c r="B74" s="4" t="s">
        <v>212</v>
      </c>
      <c r="C74" s="4">
        <v>2349</v>
      </c>
      <c r="D74" s="4">
        <v>1180</v>
      </c>
      <c r="E74" s="4">
        <v>1169</v>
      </c>
    </row>
    <row r="75" spans="1:5" ht="23.1" customHeight="1" x14ac:dyDescent="0.25">
      <c r="A75" s="4">
        <v>46</v>
      </c>
      <c r="B75" s="4" t="s">
        <v>213</v>
      </c>
      <c r="C75" s="4">
        <v>825</v>
      </c>
      <c r="D75" s="4">
        <v>400</v>
      </c>
      <c r="E75" s="4">
        <v>425</v>
      </c>
    </row>
    <row r="76" spans="1:5" ht="23.1" customHeight="1" x14ac:dyDescent="0.25">
      <c r="A76" s="4">
        <v>47</v>
      </c>
      <c r="B76" s="4" t="s">
        <v>214</v>
      </c>
      <c r="C76" s="4">
        <v>4991</v>
      </c>
      <c r="D76" s="4">
        <v>2489</v>
      </c>
      <c r="E76" s="4">
        <v>2502</v>
      </c>
    </row>
    <row r="77" spans="1:5" ht="23.1" customHeight="1" x14ac:dyDescent="0.25">
      <c r="A77" s="4">
        <v>48</v>
      </c>
      <c r="B77" s="4" t="s">
        <v>215</v>
      </c>
      <c r="C77" s="4">
        <v>1598</v>
      </c>
      <c r="D77" s="4">
        <v>742</v>
      </c>
      <c r="E77" s="4">
        <v>856</v>
      </c>
    </row>
    <row r="78" spans="1:5" ht="23.1" customHeight="1" x14ac:dyDescent="0.25">
      <c r="A78" s="4">
        <v>49</v>
      </c>
      <c r="B78" s="4" t="s">
        <v>216</v>
      </c>
      <c r="C78" s="4">
        <v>1650</v>
      </c>
      <c r="D78" s="4">
        <v>768</v>
      </c>
      <c r="E78" s="4">
        <v>882</v>
      </c>
    </row>
    <row r="79" spans="1:5" ht="23.1" customHeight="1" x14ac:dyDescent="0.25">
      <c r="A79" s="4">
        <v>50</v>
      </c>
      <c r="B79" s="4" t="s">
        <v>217</v>
      </c>
      <c r="C79" s="4">
        <v>2956</v>
      </c>
      <c r="D79" s="4">
        <v>1437</v>
      </c>
      <c r="E79" s="4">
        <v>1519</v>
      </c>
    </row>
    <row r="80" spans="1:5" ht="23.1" customHeight="1" x14ac:dyDescent="0.25">
      <c r="A80" s="4">
        <v>51</v>
      </c>
      <c r="B80" s="4" t="s">
        <v>218</v>
      </c>
      <c r="C80" s="4">
        <v>2473</v>
      </c>
      <c r="D80" s="4">
        <v>1223</v>
      </c>
      <c r="E80" s="4">
        <v>1250</v>
      </c>
    </row>
    <row r="81" spans="1:5" ht="23.1" customHeight="1" x14ac:dyDescent="0.25">
      <c r="A81" s="4">
        <v>52</v>
      </c>
      <c r="B81" s="4" t="s">
        <v>219</v>
      </c>
      <c r="C81" s="4">
        <v>2060</v>
      </c>
      <c r="D81" s="4">
        <v>1301</v>
      </c>
      <c r="E81" s="4">
        <v>759</v>
      </c>
    </row>
    <row r="82" spans="1:5" ht="23.1" customHeight="1" x14ac:dyDescent="0.25">
      <c r="A82" s="4">
        <v>53</v>
      </c>
      <c r="B82" s="4" t="s">
        <v>220</v>
      </c>
      <c r="C82" s="4">
        <v>2220</v>
      </c>
      <c r="D82" s="4">
        <v>1042</v>
      </c>
      <c r="E82" s="4">
        <v>1178</v>
      </c>
    </row>
    <row r="83" spans="1:5" ht="23.1" customHeight="1" x14ac:dyDescent="0.25">
      <c r="A83" s="4">
        <v>54</v>
      </c>
      <c r="B83" s="4" t="s">
        <v>221</v>
      </c>
      <c r="C83" s="4">
        <v>1384</v>
      </c>
      <c r="D83" s="4">
        <v>661</v>
      </c>
      <c r="E83" s="4">
        <v>723</v>
      </c>
    </row>
    <row r="84" spans="1:5" ht="23.1" customHeight="1" x14ac:dyDescent="0.25">
      <c r="A84" s="4">
        <v>55</v>
      </c>
      <c r="B84" s="4" t="s">
        <v>222</v>
      </c>
      <c r="C84" s="4">
        <v>1318</v>
      </c>
      <c r="D84" s="4">
        <v>651</v>
      </c>
      <c r="E84" s="4">
        <v>667</v>
      </c>
    </row>
    <row r="85" spans="1:5" ht="23.1" customHeight="1" x14ac:dyDescent="0.25">
      <c r="A85" s="4">
        <v>56</v>
      </c>
      <c r="B85" s="4" t="s">
        <v>223</v>
      </c>
      <c r="C85" s="4">
        <v>1811</v>
      </c>
      <c r="D85" s="4">
        <v>882</v>
      </c>
      <c r="E85" s="4">
        <v>929</v>
      </c>
    </row>
    <row r="86" spans="1:5" ht="23.1" customHeight="1" x14ac:dyDescent="0.25">
      <c r="A86" s="4">
        <v>57</v>
      </c>
      <c r="B86" s="4" t="s">
        <v>224</v>
      </c>
      <c r="C86" s="4">
        <v>1770</v>
      </c>
      <c r="D86" s="4">
        <v>870</v>
      </c>
      <c r="E86" s="4">
        <v>900</v>
      </c>
    </row>
    <row r="87" spans="1:5" ht="23.1" customHeight="1" x14ac:dyDescent="0.25">
      <c r="A87" s="4">
        <v>58</v>
      </c>
      <c r="B87" s="4" t="s">
        <v>225</v>
      </c>
      <c r="C87" s="4">
        <v>2352</v>
      </c>
      <c r="D87" s="4">
        <v>1150</v>
      </c>
      <c r="E87" s="4">
        <v>1202</v>
      </c>
    </row>
    <row r="88" spans="1:5" ht="23.1" customHeight="1" x14ac:dyDescent="0.25">
      <c r="A88" s="4">
        <v>59</v>
      </c>
      <c r="B88" s="4" t="s">
        <v>226</v>
      </c>
      <c r="C88" s="4">
        <v>1305</v>
      </c>
      <c r="D88" s="4">
        <v>640</v>
      </c>
      <c r="E88" s="4">
        <v>665</v>
      </c>
    </row>
    <row r="89" spans="1:5" ht="23.1" customHeight="1" x14ac:dyDescent="0.25">
      <c r="A89" s="4">
        <v>60</v>
      </c>
      <c r="B89" s="4" t="s">
        <v>227</v>
      </c>
      <c r="C89" s="4">
        <v>2541</v>
      </c>
      <c r="D89" s="4">
        <v>1254</v>
      </c>
      <c r="E89" s="4">
        <v>1287</v>
      </c>
    </row>
    <row r="90" spans="1:5" ht="23.1" customHeight="1" x14ac:dyDescent="0.25">
      <c r="A90" s="4">
        <v>61</v>
      </c>
      <c r="B90" s="4" t="s">
        <v>228</v>
      </c>
      <c r="C90" s="4">
        <v>884</v>
      </c>
      <c r="D90" s="4">
        <v>422</v>
      </c>
      <c r="E90" s="4">
        <v>462</v>
      </c>
    </row>
    <row r="91" spans="1:5" ht="23.1" customHeight="1" x14ac:dyDescent="0.25">
      <c r="A91" s="4">
        <v>62</v>
      </c>
      <c r="B91" s="4" t="s">
        <v>229</v>
      </c>
      <c r="C91" s="4">
        <v>1427</v>
      </c>
      <c r="D91" s="4">
        <v>691</v>
      </c>
      <c r="E91" s="4">
        <v>736</v>
      </c>
    </row>
    <row r="92" spans="1:5" ht="23.1" customHeight="1" x14ac:dyDescent="0.25">
      <c r="A92" s="4">
        <v>63</v>
      </c>
      <c r="B92" s="4" t="s">
        <v>230</v>
      </c>
      <c r="C92" s="4">
        <v>1705</v>
      </c>
      <c r="D92" s="4">
        <v>829</v>
      </c>
      <c r="E92" s="4">
        <v>876</v>
      </c>
    </row>
    <row r="93" spans="1:5" ht="23.1" customHeight="1" x14ac:dyDescent="0.25">
      <c r="A93" s="4">
        <v>64</v>
      </c>
      <c r="B93" s="4" t="s">
        <v>231</v>
      </c>
      <c r="C93" s="4">
        <v>2059</v>
      </c>
      <c r="D93" s="4">
        <v>993</v>
      </c>
      <c r="E93" s="4">
        <v>1066</v>
      </c>
    </row>
    <row r="94" spans="1:5" ht="23.1" customHeight="1" x14ac:dyDescent="0.25">
      <c r="A94" s="4">
        <v>65</v>
      </c>
      <c r="B94" s="4" t="s">
        <v>232</v>
      </c>
      <c r="C94" s="4">
        <v>4674</v>
      </c>
      <c r="D94" s="4">
        <v>2286</v>
      </c>
      <c r="E94" s="4">
        <v>2388</v>
      </c>
    </row>
    <row r="95" spans="1:5" ht="23.1" customHeight="1" x14ac:dyDescent="0.25">
      <c r="A95" s="4">
        <v>66</v>
      </c>
      <c r="B95" s="4" t="s">
        <v>233</v>
      </c>
      <c r="C95" s="4">
        <v>2885</v>
      </c>
      <c r="D95" s="4">
        <v>1356</v>
      </c>
      <c r="E95" s="4">
        <v>1529</v>
      </c>
    </row>
    <row r="96" spans="1:5" ht="23.1" customHeight="1" x14ac:dyDescent="0.25">
      <c r="A96" s="4">
        <v>67</v>
      </c>
      <c r="B96" s="4" t="s">
        <v>234</v>
      </c>
      <c r="C96" s="4">
        <v>1477</v>
      </c>
      <c r="D96" s="4">
        <v>735</v>
      </c>
      <c r="E96" s="4">
        <v>742</v>
      </c>
    </row>
    <row r="97" spans="1:5" ht="23.1" customHeight="1" x14ac:dyDescent="0.25">
      <c r="A97" s="4">
        <v>68</v>
      </c>
      <c r="B97" s="4" t="s">
        <v>235</v>
      </c>
      <c r="C97" s="4">
        <v>2624</v>
      </c>
      <c r="D97" s="4">
        <v>1278</v>
      </c>
      <c r="E97" s="4">
        <v>1346</v>
      </c>
    </row>
    <row r="98" spans="1:5" ht="23.1" customHeight="1" x14ac:dyDescent="0.25">
      <c r="A98" s="4">
        <v>69</v>
      </c>
      <c r="B98" s="4" t="s">
        <v>236</v>
      </c>
      <c r="C98" s="4">
        <v>3612</v>
      </c>
      <c r="D98" s="4">
        <v>1794</v>
      </c>
      <c r="E98" s="4">
        <v>1818</v>
      </c>
    </row>
    <row r="99" spans="1:5" ht="23.1" customHeight="1" x14ac:dyDescent="0.25">
      <c r="A99" s="4">
        <v>70</v>
      </c>
      <c r="B99" s="4" t="s">
        <v>237</v>
      </c>
      <c r="C99" s="4">
        <v>1888</v>
      </c>
      <c r="D99" s="4">
        <v>934</v>
      </c>
      <c r="E99" s="4">
        <v>954</v>
      </c>
    </row>
    <row r="100" spans="1:5" ht="23.1" customHeight="1" x14ac:dyDescent="0.25">
      <c r="A100" s="4">
        <v>71</v>
      </c>
      <c r="B100" s="4" t="s">
        <v>238</v>
      </c>
      <c r="C100" s="4">
        <v>3436</v>
      </c>
      <c r="D100" s="4">
        <v>1660</v>
      </c>
      <c r="E100" s="4">
        <v>1776</v>
      </c>
    </row>
    <row r="101" spans="1:5" ht="23.1" customHeight="1" x14ac:dyDescent="0.25">
      <c r="A101" s="4">
        <v>72</v>
      </c>
      <c r="B101" s="4" t="s">
        <v>239</v>
      </c>
      <c r="C101" s="4">
        <v>1629</v>
      </c>
      <c r="D101" s="4">
        <v>780</v>
      </c>
      <c r="E101" s="4">
        <v>849</v>
      </c>
    </row>
    <row r="102" spans="1:5" ht="23.1" customHeight="1" x14ac:dyDescent="0.25">
      <c r="A102" s="4">
        <v>73</v>
      </c>
      <c r="B102" s="4" t="s">
        <v>240</v>
      </c>
      <c r="C102" s="4">
        <v>2350</v>
      </c>
      <c r="D102" s="4">
        <v>1144</v>
      </c>
      <c r="E102" s="4">
        <v>1206</v>
      </c>
    </row>
    <row r="103" spans="1:5" ht="23.1" customHeight="1" x14ac:dyDescent="0.25">
      <c r="A103" s="10">
        <v>74</v>
      </c>
      <c r="B103" s="10" t="s">
        <v>241</v>
      </c>
      <c r="C103" s="10">
        <v>2601</v>
      </c>
      <c r="D103" s="10">
        <v>1266</v>
      </c>
      <c r="E103" s="10">
        <v>1335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North District, Taikkyi 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26.42578125" customWidth="1"/>
    <col min="3" max="5" width="15.7109375" customWidth="1"/>
  </cols>
  <sheetData>
    <row r="1" spans="1:5" s="2" customFormat="1" ht="25.5" customHeight="1" x14ac:dyDescent="0.4">
      <c r="A1" s="86" t="s">
        <v>1049</v>
      </c>
      <c r="B1" s="86"/>
      <c r="C1" s="86"/>
      <c r="D1" s="86"/>
      <c r="E1" s="86"/>
    </row>
    <row r="2" spans="1:5" s="2" customFormat="1" ht="25.5" customHeight="1" x14ac:dyDescent="0.4">
      <c r="A2" s="1"/>
      <c r="B2" s="1"/>
      <c r="C2" s="1"/>
      <c r="E2" s="54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75" t="s">
        <v>0</v>
      </c>
      <c r="C5" s="49">
        <f>C7+C14</f>
        <v>145792</v>
      </c>
      <c r="D5" s="49">
        <f t="shared" ref="D5:E5" si="0">D7+D14</f>
        <v>71807</v>
      </c>
      <c r="E5" s="49">
        <f t="shared" si="0"/>
        <v>73985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76" t="s">
        <v>1028</v>
      </c>
      <c r="C7" s="16">
        <f>SUM(C8:C12)</f>
        <v>9019</v>
      </c>
      <c r="D7" s="16">
        <f t="shared" ref="D7:E7" si="1">SUM(D8:D12)</f>
        <v>4318</v>
      </c>
      <c r="E7" s="16">
        <f t="shared" si="1"/>
        <v>4701</v>
      </c>
    </row>
    <row r="8" spans="1:5" ht="23.1" customHeight="1" x14ac:dyDescent="0.25">
      <c r="A8" s="4">
        <v>1</v>
      </c>
      <c r="B8" s="4" t="s">
        <v>56</v>
      </c>
      <c r="C8" s="4">
        <v>2264</v>
      </c>
      <c r="D8" s="4">
        <v>1137</v>
      </c>
      <c r="E8" s="4">
        <v>1127</v>
      </c>
    </row>
    <row r="9" spans="1:5" ht="23.1" customHeight="1" x14ac:dyDescent="0.25">
      <c r="A9" s="4">
        <v>2</v>
      </c>
      <c r="B9" s="4" t="s">
        <v>57</v>
      </c>
      <c r="C9" s="4">
        <v>1827</v>
      </c>
      <c r="D9" s="4">
        <v>872</v>
      </c>
      <c r="E9" s="4">
        <v>955</v>
      </c>
    </row>
    <row r="10" spans="1:5" ht="23.1" customHeight="1" x14ac:dyDescent="0.25">
      <c r="A10" s="4">
        <v>3</v>
      </c>
      <c r="B10" s="4" t="s">
        <v>58</v>
      </c>
      <c r="C10" s="4">
        <v>3027</v>
      </c>
      <c r="D10" s="4">
        <v>1408</v>
      </c>
      <c r="E10" s="4">
        <v>1619</v>
      </c>
    </row>
    <row r="11" spans="1:5" ht="23.1" customHeight="1" x14ac:dyDescent="0.25">
      <c r="A11" s="4">
        <v>4</v>
      </c>
      <c r="B11" s="4" t="s">
        <v>59</v>
      </c>
      <c r="C11" s="4">
        <v>1335</v>
      </c>
      <c r="D11" s="4">
        <v>631</v>
      </c>
      <c r="E11" s="4">
        <v>704</v>
      </c>
    </row>
    <row r="12" spans="1:5" ht="23.1" customHeight="1" x14ac:dyDescent="0.25">
      <c r="A12" s="4">
        <v>5</v>
      </c>
      <c r="B12" s="4" t="s">
        <v>242</v>
      </c>
      <c r="C12" s="4">
        <v>566</v>
      </c>
      <c r="D12" s="4">
        <v>270</v>
      </c>
      <c r="E12" s="4">
        <v>296</v>
      </c>
    </row>
    <row r="13" spans="1:5" ht="23.1" customHeight="1" x14ac:dyDescent="0.25">
      <c r="A13" s="4"/>
      <c r="B13" s="4"/>
      <c r="C13" s="4"/>
      <c r="D13" s="4"/>
      <c r="E13" s="4"/>
    </row>
    <row r="14" spans="1:5" ht="23.1" customHeight="1" x14ac:dyDescent="0.25">
      <c r="A14" s="4"/>
      <c r="B14" s="76" t="s">
        <v>1032</v>
      </c>
      <c r="C14" s="16">
        <f>SUM(C15:C68)</f>
        <v>136773</v>
      </c>
      <c r="D14" s="16">
        <f t="shared" ref="D14:E14" si="2">SUM(D15:D68)</f>
        <v>67489</v>
      </c>
      <c r="E14" s="16">
        <f t="shared" si="2"/>
        <v>69284</v>
      </c>
    </row>
    <row r="15" spans="1:5" ht="23.1" customHeight="1" x14ac:dyDescent="0.25">
      <c r="A15" s="4">
        <v>1</v>
      </c>
      <c r="B15" s="4" t="s">
        <v>243</v>
      </c>
      <c r="C15" s="4">
        <v>5383</v>
      </c>
      <c r="D15" s="4">
        <v>2626</v>
      </c>
      <c r="E15" s="4">
        <v>2757</v>
      </c>
    </row>
    <row r="16" spans="1:5" ht="23.1" customHeight="1" x14ac:dyDescent="0.25">
      <c r="A16" s="4">
        <v>2</v>
      </c>
      <c r="B16" s="4" t="s">
        <v>244</v>
      </c>
      <c r="C16" s="4">
        <v>3050</v>
      </c>
      <c r="D16" s="4">
        <v>1499</v>
      </c>
      <c r="E16" s="4">
        <v>1551</v>
      </c>
    </row>
    <row r="17" spans="1:5" ht="23.1" customHeight="1" x14ac:dyDescent="0.25">
      <c r="A17" s="4">
        <v>3</v>
      </c>
      <c r="B17" s="4" t="s">
        <v>245</v>
      </c>
      <c r="C17" s="4">
        <v>1989</v>
      </c>
      <c r="D17" s="4">
        <v>960</v>
      </c>
      <c r="E17" s="4">
        <v>1029</v>
      </c>
    </row>
    <row r="18" spans="1:5" ht="23.1" customHeight="1" x14ac:dyDescent="0.25">
      <c r="A18" s="4">
        <v>4</v>
      </c>
      <c r="B18" s="4" t="s">
        <v>246</v>
      </c>
      <c r="C18" s="4">
        <v>2834</v>
      </c>
      <c r="D18" s="4">
        <v>1379</v>
      </c>
      <c r="E18" s="4">
        <v>1455</v>
      </c>
    </row>
    <row r="19" spans="1:5" ht="23.1" customHeight="1" x14ac:dyDescent="0.25">
      <c r="A19" s="4">
        <v>5</v>
      </c>
      <c r="B19" s="4" t="s">
        <v>247</v>
      </c>
      <c r="C19" s="4">
        <v>1017</v>
      </c>
      <c r="D19" s="4">
        <v>476</v>
      </c>
      <c r="E19" s="4">
        <v>541</v>
      </c>
    </row>
    <row r="20" spans="1:5" ht="23.1" customHeight="1" x14ac:dyDescent="0.25">
      <c r="A20" s="4">
        <v>6</v>
      </c>
      <c r="B20" s="4" t="s">
        <v>236</v>
      </c>
      <c r="C20" s="4">
        <v>506</v>
      </c>
      <c r="D20" s="4">
        <v>262</v>
      </c>
      <c r="E20" s="4">
        <v>244</v>
      </c>
    </row>
    <row r="21" spans="1:5" ht="23.1" customHeight="1" x14ac:dyDescent="0.25">
      <c r="A21" s="4">
        <v>7</v>
      </c>
      <c r="B21" s="4" t="s">
        <v>192</v>
      </c>
      <c r="C21" s="4">
        <v>1664</v>
      </c>
      <c r="D21" s="4">
        <v>862</v>
      </c>
      <c r="E21" s="4">
        <v>802</v>
      </c>
    </row>
    <row r="22" spans="1:5" ht="23.1" customHeight="1" x14ac:dyDescent="0.25">
      <c r="A22" s="4">
        <v>8</v>
      </c>
      <c r="B22" s="4" t="s">
        <v>248</v>
      </c>
      <c r="C22" s="4">
        <v>1559</v>
      </c>
      <c r="D22" s="4">
        <v>771</v>
      </c>
      <c r="E22" s="4">
        <v>788</v>
      </c>
    </row>
    <row r="23" spans="1:5" ht="23.1" customHeight="1" x14ac:dyDescent="0.25">
      <c r="A23" s="4">
        <v>9</v>
      </c>
      <c r="B23" s="4" t="s">
        <v>249</v>
      </c>
      <c r="C23" s="4">
        <v>1791</v>
      </c>
      <c r="D23" s="4">
        <v>912</v>
      </c>
      <c r="E23" s="4">
        <v>879</v>
      </c>
    </row>
    <row r="24" spans="1:5" ht="23.1" customHeight="1" x14ac:dyDescent="0.25">
      <c r="A24" s="4">
        <v>10</v>
      </c>
      <c r="B24" s="4" t="s">
        <v>250</v>
      </c>
      <c r="C24" s="4">
        <v>1181</v>
      </c>
      <c r="D24" s="4">
        <v>606</v>
      </c>
      <c r="E24" s="4">
        <v>575</v>
      </c>
    </row>
    <row r="25" spans="1:5" ht="23.1" customHeight="1" x14ac:dyDescent="0.25">
      <c r="A25" s="4">
        <v>11</v>
      </c>
      <c r="B25" s="4" t="s">
        <v>251</v>
      </c>
      <c r="C25" s="4">
        <v>893</v>
      </c>
      <c r="D25" s="4">
        <v>451</v>
      </c>
      <c r="E25" s="4">
        <v>442</v>
      </c>
    </row>
    <row r="26" spans="1:5" ht="23.1" customHeight="1" x14ac:dyDescent="0.25">
      <c r="A26" s="4">
        <v>12</v>
      </c>
      <c r="B26" s="4" t="s">
        <v>252</v>
      </c>
      <c r="C26" s="4">
        <v>1168</v>
      </c>
      <c r="D26" s="4">
        <v>623</v>
      </c>
      <c r="E26" s="4">
        <v>545</v>
      </c>
    </row>
    <row r="27" spans="1:5" ht="23.1" customHeight="1" x14ac:dyDescent="0.25">
      <c r="A27" s="4">
        <v>13</v>
      </c>
      <c r="B27" s="4" t="s">
        <v>253</v>
      </c>
      <c r="C27" s="4">
        <v>1519</v>
      </c>
      <c r="D27" s="4">
        <v>736</v>
      </c>
      <c r="E27" s="4">
        <v>783</v>
      </c>
    </row>
    <row r="28" spans="1:5" ht="23.1" customHeight="1" x14ac:dyDescent="0.25">
      <c r="A28" s="4">
        <v>14</v>
      </c>
      <c r="B28" s="4" t="s">
        <v>254</v>
      </c>
      <c r="C28" s="4">
        <v>3628</v>
      </c>
      <c r="D28" s="4">
        <v>1808</v>
      </c>
      <c r="E28" s="4">
        <v>1820</v>
      </c>
    </row>
    <row r="29" spans="1:5" ht="23.1" customHeight="1" x14ac:dyDescent="0.25">
      <c r="A29" s="4">
        <v>15</v>
      </c>
      <c r="B29" s="4" t="s">
        <v>255</v>
      </c>
      <c r="C29" s="4">
        <v>873</v>
      </c>
      <c r="D29" s="4">
        <v>455</v>
      </c>
      <c r="E29" s="4">
        <v>418</v>
      </c>
    </row>
    <row r="30" spans="1:5" ht="23.1" customHeight="1" x14ac:dyDescent="0.25">
      <c r="A30" s="4">
        <v>16</v>
      </c>
      <c r="B30" s="4" t="s">
        <v>256</v>
      </c>
      <c r="C30" s="4">
        <v>1589</v>
      </c>
      <c r="D30" s="4">
        <v>826</v>
      </c>
      <c r="E30" s="4">
        <v>763</v>
      </c>
    </row>
    <row r="31" spans="1:5" ht="23.1" customHeight="1" x14ac:dyDescent="0.25">
      <c r="A31" s="4">
        <v>17</v>
      </c>
      <c r="B31" s="4" t="s">
        <v>257</v>
      </c>
      <c r="C31" s="4">
        <v>469</v>
      </c>
      <c r="D31" s="4">
        <v>248</v>
      </c>
      <c r="E31" s="4">
        <v>221</v>
      </c>
    </row>
    <row r="32" spans="1:5" ht="23.1" customHeight="1" x14ac:dyDescent="0.25">
      <c r="A32" s="4">
        <v>18</v>
      </c>
      <c r="B32" s="4" t="s">
        <v>258</v>
      </c>
      <c r="C32" s="4">
        <v>3558</v>
      </c>
      <c r="D32" s="4">
        <v>1753</v>
      </c>
      <c r="E32" s="4">
        <v>1805</v>
      </c>
    </row>
    <row r="33" spans="1:5" ht="23.1" customHeight="1" x14ac:dyDescent="0.25">
      <c r="A33" s="4">
        <v>19</v>
      </c>
      <c r="B33" s="4" t="s">
        <v>259</v>
      </c>
      <c r="C33" s="4">
        <v>2112</v>
      </c>
      <c r="D33" s="4">
        <v>1026</v>
      </c>
      <c r="E33" s="4">
        <v>1086</v>
      </c>
    </row>
    <row r="34" spans="1:5" ht="23.1" customHeight="1" x14ac:dyDescent="0.25">
      <c r="A34" s="4">
        <v>20</v>
      </c>
      <c r="B34" s="4" t="s">
        <v>260</v>
      </c>
      <c r="C34" s="4">
        <v>1187</v>
      </c>
      <c r="D34" s="4">
        <v>583</v>
      </c>
      <c r="E34" s="4">
        <v>604</v>
      </c>
    </row>
    <row r="35" spans="1:5" ht="23.1" customHeight="1" x14ac:dyDescent="0.25">
      <c r="A35" s="4">
        <v>21</v>
      </c>
      <c r="B35" s="4" t="s">
        <v>261</v>
      </c>
      <c r="C35" s="4">
        <v>2069</v>
      </c>
      <c r="D35" s="4">
        <v>1012</v>
      </c>
      <c r="E35" s="4">
        <v>1057</v>
      </c>
    </row>
    <row r="36" spans="1:5" ht="23.1" customHeight="1" x14ac:dyDescent="0.25">
      <c r="A36" s="4">
        <v>22</v>
      </c>
      <c r="B36" s="4" t="s">
        <v>262</v>
      </c>
      <c r="C36" s="4">
        <v>993</v>
      </c>
      <c r="D36" s="4">
        <v>502</v>
      </c>
      <c r="E36" s="4">
        <v>491</v>
      </c>
    </row>
    <row r="37" spans="1:5" ht="23.1" customHeight="1" x14ac:dyDescent="0.25">
      <c r="A37" s="4">
        <v>23</v>
      </c>
      <c r="B37" s="4" t="s">
        <v>263</v>
      </c>
      <c r="C37" s="4">
        <v>3020</v>
      </c>
      <c r="D37" s="4">
        <v>1487</v>
      </c>
      <c r="E37" s="4">
        <v>1533</v>
      </c>
    </row>
    <row r="38" spans="1:5" ht="23.1" customHeight="1" x14ac:dyDescent="0.25">
      <c r="A38" s="4">
        <v>24</v>
      </c>
      <c r="B38" s="4" t="s">
        <v>264</v>
      </c>
      <c r="C38" s="4">
        <v>4002</v>
      </c>
      <c r="D38" s="4">
        <v>2000</v>
      </c>
      <c r="E38" s="4">
        <v>2002</v>
      </c>
    </row>
    <row r="39" spans="1:5" ht="23.1" customHeight="1" x14ac:dyDescent="0.25">
      <c r="A39" s="4">
        <v>25</v>
      </c>
      <c r="B39" s="4" t="s">
        <v>265</v>
      </c>
      <c r="C39" s="4">
        <v>1628</v>
      </c>
      <c r="D39" s="4">
        <v>809</v>
      </c>
      <c r="E39" s="4">
        <v>819</v>
      </c>
    </row>
    <row r="40" spans="1:5" ht="23.1" customHeight="1" x14ac:dyDescent="0.25">
      <c r="A40" s="4">
        <v>26</v>
      </c>
      <c r="B40" s="4" t="s">
        <v>266</v>
      </c>
      <c r="C40" s="4">
        <v>3605</v>
      </c>
      <c r="D40" s="4">
        <v>1779</v>
      </c>
      <c r="E40" s="4">
        <v>1826</v>
      </c>
    </row>
    <row r="41" spans="1:5" ht="23.1" customHeight="1" x14ac:dyDescent="0.25">
      <c r="A41" s="4">
        <v>27</v>
      </c>
      <c r="B41" s="4" t="s">
        <v>267</v>
      </c>
      <c r="C41" s="4">
        <v>1265</v>
      </c>
      <c r="D41" s="4">
        <v>640</v>
      </c>
      <c r="E41" s="4">
        <v>625</v>
      </c>
    </row>
    <row r="42" spans="1:5" ht="23.1" customHeight="1" x14ac:dyDescent="0.25">
      <c r="A42" s="4">
        <v>28</v>
      </c>
      <c r="B42" s="4" t="s">
        <v>268</v>
      </c>
      <c r="C42" s="4">
        <v>1480</v>
      </c>
      <c r="D42" s="4">
        <v>689</v>
      </c>
      <c r="E42" s="4">
        <v>791</v>
      </c>
    </row>
    <row r="43" spans="1:5" ht="23.1" customHeight="1" x14ac:dyDescent="0.25">
      <c r="A43" s="4">
        <v>29</v>
      </c>
      <c r="B43" s="4" t="s">
        <v>269</v>
      </c>
      <c r="C43" s="4">
        <v>2133</v>
      </c>
      <c r="D43" s="4">
        <v>1032</v>
      </c>
      <c r="E43" s="4">
        <v>1101</v>
      </c>
    </row>
    <row r="44" spans="1:5" ht="23.1" customHeight="1" x14ac:dyDescent="0.25">
      <c r="A44" s="4">
        <v>30</v>
      </c>
      <c r="B44" s="4" t="s">
        <v>270</v>
      </c>
      <c r="C44" s="4">
        <v>1849</v>
      </c>
      <c r="D44" s="4">
        <v>943</v>
      </c>
      <c r="E44" s="4">
        <v>906</v>
      </c>
    </row>
    <row r="45" spans="1:5" ht="23.1" customHeight="1" x14ac:dyDescent="0.25">
      <c r="A45" s="4">
        <v>31</v>
      </c>
      <c r="B45" s="4" t="s">
        <v>271</v>
      </c>
      <c r="C45" s="4">
        <v>3361</v>
      </c>
      <c r="D45" s="4">
        <v>1654</v>
      </c>
      <c r="E45" s="4">
        <v>1707</v>
      </c>
    </row>
    <row r="46" spans="1:5" ht="23.1" customHeight="1" x14ac:dyDescent="0.25">
      <c r="A46" s="4">
        <v>32</v>
      </c>
      <c r="B46" s="4" t="s">
        <v>272</v>
      </c>
      <c r="C46" s="4">
        <v>2206</v>
      </c>
      <c r="D46" s="4">
        <v>1095</v>
      </c>
      <c r="E46" s="4">
        <v>1111</v>
      </c>
    </row>
    <row r="47" spans="1:5" ht="23.1" customHeight="1" x14ac:dyDescent="0.25">
      <c r="A47" s="4">
        <v>33</v>
      </c>
      <c r="B47" s="4" t="s">
        <v>273</v>
      </c>
      <c r="C47" s="4">
        <v>5032</v>
      </c>
      <c r="D47" s="4">
        <v>2474</v>
      </c>
      <c r="E47" s="4">
        <v>2558</v>
      </c>
    </row>
    <row r="48" spans="1:5" ht="23.1" customHeight="1" x14ac:dyDescent="0.25">
      <c r="A48" s="4">
        <v>34</v>
      </c>
      <c r="B48" s="4" t="s">
        <v>274</v>
      </c>
      <c r="C48" s="4">
        <v>11392</v>
      </c>
      <c r="D48" s="4">
        <v>5482</v>
      </c>
      <c r="E48" s="4">
        <v>5910</v>
      </c>
    </row>
    <row r="49" spans="1:5" ht="23.1" customHeight="1" x14ac:dyDescent="0.25">
      <c r="A49" s="4">
        <v>35</v>
      </c>
      <c r="B49" s="4" t="s">
        <v>275</v>
      </c>
      <c r="C49" s="4">
        <v>3074</v>
      </c>
      <c r="D49" s="4">
        <v>1506</v>
      </c>
      <c r="E49" s="4">
        <v>1568</v>
      </c>
    </row>
    <row r="50" spans="1:5" ht="23.1" customHeight="1" x14ac:dyDescent="0.25">
      <c r="A50" s="4">
        <v>36</v>
      </c>
      <c r="B50" s="4" t="s">
        <v>276</v>
      </c>
      <c r="C50" s="4">
        <v>1522</v>
      </c>
      <c r="D50" s="4">
        <v>728</v>
      </c>
      <c r="E50" s="4">
        <v>794</v>
      </c>
    </row>
    <row r="51" spans="1:5" ht="23.1" customHeight="1" x14ac:dyDescent="0.25">
      <c r="A51" s="4">
        <v>37</v>
      </c>
      <c r="B51" s="4" t="s">
        <v>277</v>
      </c>
      <c r="C51" s="4">
        <v>1168</v>
      </c>
      <c r="D51" s="4">
        <v>573</v>
      </c>
      <c r="E51" s="4">
        <v>595</v>
      </c>
    </row>
    <row r="52" spans="1:5" ht="23.1" customHeight="1" x14ac:dyDescent="0.25">
      <c r="A52" s="4">
        <v>38</v>
      </c>
      <c r="B52" s="4" t="s">
        <v>278</v>
      </c>
      <c r="C52" s="4">
        <v>1553</v>
      </c>
      <c r="D52" s="4">
        <v>733</v>
      </c>
      <c r="E52" s="4">
        <v>820</v>
      </c>
    </row>
    <row r="53" spans="1:5" ht="23.1" customHeight="1" x14ac:dyDescent="0.25">
      <c r="A53" s="4">
        <v>39</v>
      </c>
      <c r="B53" s="4" t="s">
        <v>279</v>
      </c>
      <c r="C53" s="4">
        <v>1572</v>
      </c>
      <c r="D53" s="4">
        <v>769</v>
      </c>
      <c r="E53" s="4">
        <v>803</v>
      </c>
    </row>
    <row r="54" spans="1:5" ht="23.1" customHeight="1" x14ac:dyDescent="0.25">
      <c r="A54" s="4">
        <v>40</v>
      </c>
      <c r="B54" s="4" t="s">
        <v>280</v>
      </c>
      <c r="C54" s="4">
        <v>3425</v>
      </c>
      <c r="D54" s="4">
        <v>1649</v>
      </c>
      <c r="E54" s="4">
        <v>1776</v>
      </c>
    </row>
    <row r="55" spans="1:5" ht="23.1" customHeight="1" x14ac:dyDescent="0.25">
      <c r="A55" s="4">
        <v>41</v>
      </c>
      <c r="B55" s="4" t="s">
        <v>281</v>
      </c>
      <c r="C55" s="4">
        <v>4401</v>
      </c>
      <c r="D55" s="4">
        <v>2165</v>
      </c>
      <c r="E55" s="4">
        <v>2236</v>
      </c>
    </row>
    <row r="56" spans="1:5" ht="23.1" customHeight="1" x14ac:dyDescent="0.25">
      <c r="A56" s="4">
        <v>42</v>
      </c>
      <c r="B56" s="4" t="s">
        <v>282</v>
      </c>
      <c r="C56" s="4">
        <v>4786</v>
      </c>
      <c r="D56" s="4">
        <v>2390</v>
      </c>
      <c r="E56" s="4">
        <v>2396</v>
      </c>
    </row>
    <row r="57" spans="1:5" ht="23.1" customHeight="1" x14ac:dyDescent="0.25">
      <c r="A57" s="4">
        <v>43</v>
      </c>
      <c r="B57" s="4" t="s">
        <v>283</v>
      </c>
      <c r="C57" s="4">
        <v>2729</v>
      </c>
      <c r="D57" s="4">
        <v>1310</v>
      </c>
      <c r="E57" s="4">
        <v>1419</v>
      </c>
    </row>
    <row r="58" spans="1:5" ht="23.1" customHeight="1" x14ac:dyDescent="0.25">
      <c r="A58" s="4">
        <v>44</v>
      </c>
      <c r="B58" s="4" t="s">
        <v>284</v>
      </c>
      <c r="C58" s="4">
        <v>2999</v>
      </c>
      <c r="D58" s="4">
        <v>1473</v>
      </c>
      <c r="E58" s="4">
        <v>1526</v>
      </c>
    </row>
    <row r="59" spans="1:5" ht="23.1" customHeight="1" x14ac:dyDescent="0.25">
      <c r="A59" s="4">
        <v>45</v>
      </c>
      <c r="B59" s="4" t="s">
        <v>285</v>
      </c>
      <c r="C59" s="4">
        <v>3943</v>
      </c>
      <c r="D59" s="4">
        <v>2074</v>
      </c>
      <c r="E59" s="4">
        <v>1869</v>
      </c>
    </row>
    <row r="60" spans="1:5" ht="23.1" customHeight="1" x14ac:dyDescent="0.25">
      <c r="A60" s="4">
        <v>46</v>
      </c>
      <c r="B60" s="4" t="s">
        <v>286</v>
      </c>
      <c r="C60" s="4">
        <v>5315</v>
      </c>
      <c r="D60" s="4">
        <v>2657</v>
      </c>
      <c r="E60" s="4">
        <v>2658</v>
      </c>
    </row>
    <row r="61" spans="1:5" ht="23.1" customHeight="1" x14ac:dyDescent="0.25">
      <c r="A61" s="4">
        <v>47</v>
      </c>
      <c r="B61" s="4" t="s">
        <v>287</v>
      </c>
      <c r="C61" s="4">
        <v>958</v>
      </c>
      <c r="D61" s="4">
        <v>462</v>
      </c>
      <c r="E61" s="4">
        <v>496</v>
      </c>
    </row>
    <row r="62" spans="1:5" ht="23.1" customHeight="1" x14ac:dyDescent="0.25">
      <c r="A62" s="4">
        <v>48</v>
      </c>
      <c r="B62" s="4" t="s">
        <v>288</v>
      </c>
      <c r="C62" s="4">
        <v>2479</v>
      </c>
      <c r="D62" s="4">
        <v>1215</v>
      </c>
      <c r="E62" s="4">
        <v>1264</v>
      </c>
    </row>
    <row r="63" spans="1:5" ht="23.1" customHeight="1" x14ac:dyDescent="0.25">
      <c r="A63" s="4">
        <v>49</v>
      </c>
      <c r="B63" s="4" t="s">
        <v>289</v>
      </c>
      <c r="C63" s="4">
        <v>2805</v>
      </c>
      <c r="D63" s="4">
        <v>1386</v>
      </c>
      <c r="E63" s="4">
        <v>1419</v>
      </c>
    </row>
    <row r="64" spans="1:5" ht="23.1" customHeight="1" x14ac:dyDescent="0.25">
      <c r="A64" s="4">
        <v>50</v>
      </c>
      <c r="B64" s="4" t="s">
        <v>179</v>
      </c>
      <c r="C64" s="4">
        <v>2314</v>
      </c>
      <c r="D64" s="4">
        <v>1145</v>
      </c>
      <c r="E64" s="4">
        <v>1169</v>
      </c>
    </row>
    <row r="65" spans="1:5" ht="23.1" customHeight="1" x14ac:dyDescent="0.25">
      <c r="A65" s="4">
        <v>51</v>
      </c>
      <c r="B65" s="4" t="s">
        <v>290</v>
      </c>
      <c r="C65" s="4">
        <v>3062</v>
      </c>
      <c r="D65" s="4">
        <v>1480</v>
      </c>
      <c r="E65" s="4">
        <v>1582</v>
      </c>
    </row>
    <row r="66" spans="1:5" ht="23.1" customHeight="1" x14ac:dyDescent="0.25">
      <c r="A66" s="4">
        <v>52</v>
      </c>
      <c r="B66" s="4" t="s">
        <v>291</v>
      </c>
      <c r="C66" s="4">
        <v>1377</v>
      </c>
      <c r="D66" s="4">
        <v>691</v>
      </c>
      <c r="E66" s="4">
        <v>686</v>
      </c>
    </row>
    <row r="67" spans="1:5" ht="23.1" customHeight="1" x14ac:dyDescent="0.25">
      <c r="A67" s="4">
        <v>53</v>
      </c>
      <c r="B67" s="4" t="s">
        <v>292</v>
      </c>
      <c r="C67" s="4">
        <v>4144</v>
      </c>
      <c r="D67" s="4">
        <v>2028</v>
      </c>
      <c r="E67" s="4">
        <v>2116</v>
      </c>
    </row>
    <row r="68" spans="1:5" ht="23.1" customHeight="1" x14ac:dyDescent="0.25">
      <c r="A68" s="10">
        <v>54</v>
      </c>
      <c r="B68" s="10" t="s">
        <v>293</v>
      </c>
      <c r="C68" s="10">
        <v>1142</v>
      </c>
      <c r="D68" s="10">
        <v>595</v>
      </c>
      <c r="E68" s="10">
        <v>547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North District, Htantabin 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1"/>
    </sheetView>
  </sheetViews>
  <sheetFormatPr defaultRowHeight="15" x14ac:dyDescent="0.25"/>
  <cols>
    <col min="1" max="1" width="9.140625" customWidth="1"/>
    <col min="2" max="2" width="22.42578125" customWidth="1"/>
    <col min="3" max="5" width="15.7109375" customWidth="1"/>
  </cols>
  <sheetData>
    <row r="1" spans="1:5" s="2" customFormat="1" ht="23.45" customHeight="1" x14ac:dyDescent="0.4">
      <c r="A1" s="86" t="s">
        <v>1050</v>
      </c>
      <c r="B1" s="86"/>
      <c r="C1" s="86"/>
      <c r="D1" s="86"/>
      <c r="E1" s="86"/>
    </row>
    <row r="2" spans="1:5" s="2" customFormat="1" ht="23.45" customHeight="1" x14ac:dyDescent="0.4">
      <c r="A2" s="1"/>
      <c r="B2" s="1"/>
      <c r="C2" s="1"/>
      <c r="E2" s="47" t="s">
        <v>1031</v>
      </c>
    </row>
    <row r="3" spans="1:5" s="2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77">
        <f>C7+C31</f>
        <v>343526</v>
      </c>
      <c r="D5" s="57">
        <f t="shared" ref="D5:E5" si="0">D7+D31</f>
        <v>164264</v>
      </c>
      <c r="E5" s="57">
        <f t="shared" si="0"/>
        <v>179262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SUM(C8:C30)</f>
        <v>279795</v>
      </c>
      <c r="D7" s="15">
        <f t="shared" ref="D7:E7" si="1">SUM(D8:D30)</f>
        <v>133915</v>
      </c>
      <c r="E7" s="15">
        <f t="shared" si="1"/>
        <v>145880</v>
      </c>
    </row>
    <row r="8" spans="1:5" ht="23.1" customHeight="1" x14ac:dyDescent="0.25">
      <c r="A8" s="4">
        <v>1</v>
      </c>
      <c r="B8" s="4" t="s">
        <v>56</v>
      </c>
      <c r="C8" s="4">
        <v>20092</v>
      </c>
      <c r="D8" s="4">
        <v>10086</v>
      </c>
      <c r="E8" s="4">
        <v>10006</v>
      </c>
    </row>
    <row r="9" spans="1:5" ht="23.1" customHeight="1" x14ac:dyDescent="0.25">
      <c r="A9" s="4">
        <v>2</v>
      </c>
      <c r="B9" s="4" t="s">
        <v>57</v>
      </c>
      <c r="C9" s="4">
        <v>3683</v>
      </c>
      <c r="D9" s="4">
        <v>1517</v>
      </c>
      <c r="E9" s="4">
        <v>2166</v>
      </c>
    </row>
    <row r="10" spans="1:5" ht="23.1" customHeight="1" x14ac:dyDescent="0.25">
      <c r="A10" s="4">
        <v>3</v>
      </c>
      <c r="B10" s="4" t="s">
        <v>58</v>
      </c>
      <c r="C10" s="4">
        <v>4381</v>
      </c>
      <c r="D10" s="4">
        <v>2046</v>
      </c>
      <c r="E10" s="4">
        <v>2335</v>
      </c>
    </row>
    <row r="11" spans="1:5" ht="23.1" customHeight="1" x14ac:dyDescent="0.25">
      <c r="A11" s="4">
        <v>4</v>
      </c>
      <c r="B11" s="4" t="s">
        <v>59</v>
      </c>
      <c r="C11" s="4">
        <v>1877</v>
      </c>
      <c r="D11" s="4">
        <v>1095</v>
      </c>
      <c r="E11" s="4">
        <v>782</v>
      </c>
    </row>
    <row r="12" spans="1:5" ht="23.1" customHeight="1" x14ac:dyDescent="0.25">
      <c r="A12" s="4">
        <v>5</v>
      </c>
      <c r="B12" s="4" t="s">
        <v>242</v>
      </c>
      <c r="C12" s="4">
        <v>17764</v>
      </c>
      <c r="D12" s="4">
        <v>8137</v>
      </c>
      <c r="E12" s="4">
        <v>9627</v>
      </c>
    </row>
    <row r="13" spans="1:5" ht="23.1" customHeight="1" x14ac:dyDescent="0.25">
      <c r="A13" s="4">
        <v>6</v>
      </c>
      <c r="B13" s="4" t="s">
        <v>294</v>
      </c>
      <c r="C13" s="4">
        <v>18041</v>
      </c>
      <c r="D13" s="4">
        <v>8482</v>
      </c>
      <c r="E13" s="4">
        <v>9559</v>
      </c>
    </row>
    <row r="14" spans="1:5" ht="23.1" customHeight="1" x14ac:dyDescent="0.25">
      <c r="A14" s="4">
        <v>7</v>
      </c>
      <c r="B14" s="4" t="s">
        <v>295</v>
      </c>
      <c r="C14" s="4">
        <v>8153</v>
      </c>
      <c r="D14" s="4">
        <v>3880</v>
      </c>
      <c r="E14" s="4">
        <v>4273</v>
      </c>
    </row>
    <row r="15" spans="1:5" ht="23.1" customHeight="1" x14ac:dyDescent="0.25">
      <c r="A15" s="4">
        <v>8</v>
      </c>
      <c r="B15" s="4" t="s">
        <v>296</v>
      </c>
      <c r="C15" s="4">
        <v>17544</v>
      </c>
      <c r="D15" s="4">
        <v>8201</v>
      </c>
      <c r="E15" s="4">
        <v>9343</v>
      </c>
    </row>
    <row r="16" spans="1:5" ht="23.1" customHeight="1" x14ac:dyDescent="0.25">
      <c r="A16" s="4">
        <v>9</v>
      </c>
      <c r="B16" s="4" t="s">
        <v>297</v>
      </c>
      <c r="C16" s="4">
        <v>18690</v>
      </c>
      <c r="D16" s="4">
        <v>8997</v>
      </c>
      <c r="E16" s="4">
        <v>9693</v>
      </c>
    </row>
    <row r="17" spans="1:5" ht="23.1" customHeight="1" x14ac:dyDescent="0.25">
      <c r="A17" s="4">
        <v>10</v>
      </c>
      <c r="B17" s="4" t="s">
        <v>298</v>
      </c>
      <c r="C17" s="4">
        <v>27053</v>
      </c>
      <c r="D17" s="4">
        <v>12307</v>
      </c>
      <c r="E17" s="4">
        <v>14746</v>
      </c>
    </row>
    <row r="18" spans="1:5" ht="23.1" customHeight="1" x14ac:dyDescent="0.25">
      <c r="A18" s="4">
        <v>11</v>
      </c>
      <c r="B18" s="4" t="s">
        <v>299</v>
      </c>
      <c r="C18" s="4">
        <v>12318</v>
      </c>
      <c r="D18" s="4">
        <v>5679</v>
      </c>
      <c r="E18" s="4">
        <v>6639</v>
      </c>
    </row>
    <row r="19" spans="1:5" ht="23.1" customHeight="1" x14ac:dyDescent="0.25">
      <c r="A19" s="4">
        <v>12</v>
      </c>
      <c r="B19" s="4" t="s">
        <v>300</v>
      </c>
      <c r="C19" s="4">
        <v>8244</v>
      </c>
      <c r="D19" s="4">
        <v>4030</v>
      </c>
      <c r="E19" s="4">
        <v>4214</v>
      </c>
    </row>
    <row r="20" spans="1:5" ht="23.1" customHeight="1" x14ac:dyDescent="0.25">
      <c r="A20" s="4">
        <v>13</v>
      </c>
      <c r="B20" s="4" t="s">
        <v>301</v>
      </c>
      <c r="C20" s="4">
        <v>12486</v>
      </c>
      <c r="D20" s="4">
        <v>6079</v>
      </c>
      <c r="E20" s="4">
        <v>6407</v>
      </c>
    </row>
    <row r="21" spans="1:5" ht="23.1" customHeight="1" x14ac:dyDescent="0.25">
      <c r="A21" s="4">
        <v>14</v>
      </c>
      <c r="B21" s="4" t="s">
        <v>302</v>
      </c>
      <c r="C21" s="4">
        <v>16537</v>
      </c>
      <c r="D21" s="4">
        <v>7958</v>
      </c>
      <c r="E21" s="4">
        <v>8579</v>
      </c>
    </row>
    <row r="22" spans="1:5" ht="23.1" customHeight="1" x14ac:dyDescent="0.25">
      <c r="A22" s="4">
        <v>15</v>
      </c>
      <c r="B22" s="4" t="s">
        <v>303</v>
      </c>
      <c r="C22" s="4">
        <v>20425</v>
      </c>
      <c r="D22" s="4">
        <v>9872</v>
      </c>
      <c r="E22" s="4">
        <v>10553</v>
      </c>
    </row>
    <row r="23" spans="1:5" ht="23.1" customHeight="1" x14ac:dyDescent="0.25">
      <c r="A23" s="4">
        <v>16</v>
      </c>
      <c r="B23" s="4" t="s">
        <v>304</v>
      </c>
      <c r="C23" s="4">
        <v>17119</v>
      </c>
      <c r="D23" s="4">
        <v>8146</v>
      </c>
      <c r="E23" s="4">
        <v>8973</v>
      </c>
    </row>
    <row r="24" spans="1:5" ht="23.1" customHeight="1" x14ac:dyDescent="0.25">
      <c r="A24" s="4">
        <v>17</v>
      </c>
      <c r="B24" s="4" t="s">
        <v>305</v>
      </c>
      <c r="C24" s="4">
        <v>8321</v>
      </c>
      <c r="D24" s="4">
        <v>4017</v>
      </c>
      <c r="E24" s="4">
        <v>4304</v>
      </c>
    </row>
    <row r="25" spans="1:5" ht="23.1" customHeight="1" x14ac:dyDescent="0.25">
      <c r="A25" s="4">
        <v>18</v>
      </c>
      <c r="B25" s="4" t="s">
        <v>306</v>
      </c>
      <c r="C25" s="4">
        <v>11487</v>
      </c>
      <c r="D25" s="4">
        <v>5810</v>
      </c>
      <c r="E25" s="4">
        <v>5677</v>
      </c>
    </row>
    <row r="26" spans="1:5" ht="23.1" customHeight="1" x14ac:dyDescent="0.25">
      <c r="A26" s="4">
        <v>19</v>
      </c>
      <c r="B26" s="4" t="s">
        <v>307</v>
      </c>
      <c r="C26" s="4">
        <v>13294</v>
      </c>
      <c r="D26" s="4">
        <v>6595</v>
      </c>
      <c r="E26" s="4">
        <v>6699</v>
      </c>
    </row>
    <row r="27" spans="1:5" ht="23.1" customHeight="1" x14ac:dyDescent="0.25">
      <c r="A27" s="4">
        <v>20</v>
      </c>
      <c r="B27" s="4" t="s">
        <v>308</v>
      </c>
      <c r="C27" s="4">
        <v>8961</v>
      </c>
      <c r="D27" s="4">
        <v>4273</v>
      </c>
      <c r="E27" s="4">
        <v>4688</v>
      </c>
    </row>
    <row r="28" spans="1:5" ht="23.1" customHeight="1" x14ac:dyDescent="0.25">
      <c r="A28" s="4">
        <v>21</v>
      </c>
      <c r="B28" s="4" t="s">
        <v>309</v>
      </c>
      <c r="C28" s="4">
        <v>4263</v>
      </c>
      <c r="D28" s="4">
        <v>2123</v>
      </c>
      <c r="E28" s="4">
        <v>2140</v>
      </c>
    </row>
    <row r="29" spans="1:5" ht="23.1" customHeight="1" x14ac:dyDescent="0.25">
      <c r="A29" s="4">
        <v>22</v>
      </c>
      <c r="B29" s="4" t="s">
        <v>310</v>
      </c>
      <c r="C29" s="4">
        <v>3257</v>
      </c>
      <c r="D29" s="4">
        <v>1607</v>
      </c>
      <c r="E29" s="4">
        <v>1650</v>
      </c>
    </row>
    <row r="30" spans="1:5" ht="23.1" customHeight="1" x14ac:dyDescent="0.25">
      <c r="A30" s="4">
        <v>23</v>
      </c>
      <c r="B30" s="4" t="s">
        <v>311</v>
      </c>
      <c r="C30" s="4">
        <v>5805</v>
      </c>
      <c r="D30" s="4">
        <v>2978</v>
      </c>
      <c r="E30" s="4">
        <v>2827</v>
      </c>
    </row>
    <row r="31" spans="1:5" ht="23.1" customHeight="1" x14ac:dyDescent="0.25">
      <c r="A31" s="4"/>
      <c r="B31" s="15" t="s">
        <v>1032</v>
      </c>
      <c r="C31" s="15">
        <f>SUM(C32:C35)</f>
        <v>63731</v>
      </c>
      <c r="D31" s="15">
        <f t="shared" ref="D31:E31" si="2">SUM(D32:D35)</f>
        <v>30349</v>
      </c>
      <c r="E31" s="15">
        <f t="shared" si="2"/>
        <v>33382</v>
      </c>
    </row>
    <row r="32" spans="1:5" ht="23.1" customHeight="1" x14ac:dyDescent="0.25">
      <c r="A32" s="4">
        <v>1</v>
      </c>
      <c r="B32" s="4" t="s">
        <v>312</v>
      </c>
      <c r="C32" s="4">
        <v>17812</v>
      </c>
      <c r="D32" s="4">
        <v>8841</v>
      </c>
      <c r="E32" s="4">
        <v>8971</v>
      </c>
    </row>
    <row r="33" spans="1:5" ht="23.1" customHeight="1" x14ac:dyDescent="0.25">
      <c r="A33" s="4">
        <v>2</v>
      </c>
      <c r="B33" s="4" t="s">
        <v>313</v>
      </c>
      <c r="C33" s="4">
        <v>24948</v>
      </c>
      <c r="D33" s="4">
        <v>10996</v>
      </c>
      <c r="E33" s="4">
        <v>13952</v>
      </c>
    </row>
    <row r="34" spans="1:5" ht="23.1" customHeight="1" x14ac:dyDescent="0.25">
      <c r="A34" s="4">
        <v>3</v>
      </c>
      <c r="B34" s="4" t="s">
        <v>314</v>
      </c>
      <c r="C34" s="4">
        <v>6809</v>
      </c>
      <c r="D34" s="4">
        <v>3286</v>
      </c>
      <c r="E34" s="4">
        <v>3523</v>
      </c>
    </row>
    <row r="35" spans="1:5" ht="23.1" customHeight="1" x14ac:dyDescent="0.25">
      <c r="A35" s="10">
        <v>4</v>
      </c>
      <c r="B35" s="10" t="s">
        <v>315</v>
      </c>
      <c r="C35" s="10">
        <v>14162</v>
      </c>
      <c r="D35" s="10">
        <v>7226</v>
      </c>
      <c r="E35" s="10">
        <v>6936</v>
      </c>
    </row>
    <row r="36" spans="1:5" ht="23.45" customHeight="1" x14ac:dyDescent="0.25"/>
  </sheetData>
  <mergeCells count="4">
    <mergeCell ref="A1:E1"/>
    <mergeCell ref="B3:B4"/>
    <mergeCell ref="A3:A4"/>
    <mergeCell ref="C3:E3"/>
  </mergeCells>
  <hyperlinks>
    <hyperlink ref="A1:E1" location="'List of Township'!A1" display="Yangon Region,North District, Shwepyitha  Township"/>
  </hyperlinks>
  <pageMargins left="0.75" right="0.5" top="0.9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40.85546875" customWidth="1"/>
    <col min="3" max="5" width="13.7109375" customWidth="1"/>
  </cols>
  <sheetData>
    <row r="1" spans="1:5" s="2" customFormat="1" ht="23.45" customHeight="1" x14ac:dyDescent="0.4">
      <c r="A1" s="86" t="s">
        <v>1051</v>
      </c>
      <c r="B1" s="86"/>
      <c r="C1" s="86"/>
      <c r="D1" s="86"/>
      <c r="E1" s="86"/>
    </row>
    <row r="2" spans="1:5" s="2" customFormat="1" ht="23.45" customHeight="1" x14ac:dyDescent="0.4">
      <c r="B2" s="1"/>
      <c r="C2" s="1"/>
      <c r="D2" s="1"/>
      <c r="E2" s="47" t="s">
        <v>1031</v>
      </c>
    </row>
    <row r="3" spans="1:5" s="2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C7+C28</f>
        <v>687867</v>
      </c>
      <c r="D5" s="57">
        <f t="shared" ref="D5" si="0">D7+D28</f>
        <v>322862</v>
      </c>
      <c r="E5" s="57">
        <f>E7+E28</f>
        <v>365005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SUM(C8:C27)</f>
        <v>482128</v>
      </c>
      <c r="D7" s="15">
        <f t="shared" ref="D7:E7" si="1">SUM(D8:D27)</f>
        <v>223568</v>
      </c>
      <c r="E7" s="15">
        <f t="shared" si="1"/>
        <v>258560</v>
      </c>
    </row>
    <row r="8" spans="1:5" ht="23.1" customHeight="1" x14ac:dyDescent="0.25">
      <c r="A8" s="4">
        <v>1</v>
      </c>
      <c r="B8" s="4" t="s">
        <v>56</v>
      </c>
      <c r="C8" s="4">
        <v>29699</v>
      </c>
      <c r="D8" s="4">
        <v>13910</v>
      </c>
      <c r="E8" s="4">
        <v>15789</v>
      </c>
    </row>
    <row r="9" spans="1:5" ht="23.1" customHeight="1" x14ac:dyDescent="0.25">
      <c r="A9" s="4">
        <v>2</v>
      </c>
      <c r="B9" s="4" t="s">
        <v>57</v>
      </c>
      <c r="C9" s="4">
        <v>16800</v>
      </c>
      <c r="D9" s="4">
        <v>8028</v>
      </c>
      <c r="E9" s="4">
        <v>8772</v>
      </c>
    </row>
    <row r="10" spans="1:5" ht="23.1" customHeight="1" x14ac:dyDescent="0.25">
      <c r="A10" s="4">
        <v>3</v>
      </c>
      <c r="B10" s="4" t="s">
        <v>58</v>
      </c>
      <c r="C10" s="4">
        <v>28790</v>
      </c>
      <c r="D10" s="4">
        <v>13799</v>
      </c>
      <c r="E10" s="4">
        <v>14991</v>
      </c>
    </row>
    <row r="11" spans="1:5" ht="23.1" customHeight="1" x14ac:dyDescent="0.25">
      <c r="A11" s="4">
        <v>4</v>
      </c>
      <c r="B11" s="4" t="s">
        <v>59</v>
      </c>
      <c r="C11" s="4">
        <v>8445</v>
      </c>
      <c r="D11" s="4">
        <v>3794</v>
      </c>
      <c r="E11" s="4">
        <v>4651</v>
      </c>
    </row>
    <row r="12" spans="1:5" ht="23.1" customHeight="1" x14ac:dyDescent="0.25">
      <c r="A12" s="4">
        <v>5</v>
      </c>
      <c r="B12" s="4" t="s">
        <v>242</v>
      </c>
      <c r="C12" s="4">
        <v>48386</v>
      </c>
      <c r="D12" s="4">
        <v>22283</v>
      </c>
      <c r="E12" s="4">
        <v>26103</v>
      </c>
    </row>
    <row r="13" spans="1:5" ht="23.1" customHeight="1" x14ac:dyDescent="0.25">
      <c r="A13" s="4">
        <v>6</v>
      </c>
      <c r="B13" s="4" t="s">
        <v>294</v>
      </c>
      <c r="C13" s="4">
        <v>42319</v>
      </c>
      <c r="D13" s="4">
        <v>18109</v>
      </c>
      <c r="E13" s="4">
        <v>24210</v>
      </c>
    </row>
    <row r="14" spans="1:5" ht="23.1" customHeight="1" x14ac:dyDescent="0.25">
      <c r="A14" s="4">
        <v>7</v>
      </c>
      <c r="B14" s="4" t="s">
        <v>295</v>
      </c>
      <c r="C14" s="4">
        <v>46988</v>
      </c>
      <c r="D14" s="4">
        <v>21653</v>
      </c>
      <c r="E14" s="4">
        <v>25335</v>
      </c>
    </row>
    <row r="15" spans="1:5" ht="23.1" customHeight="1" x14ac:dyDescent="0.25">
      <c r="A15" s="4">
        <v>8</v>
      </c>
      <c r="B15" s="4" t="s">
        <v>296</v>
      </c>
      <c r="C15" s="4">
        <v>9913</v>
      </c>
      <c r="D15" s="4">
        <v>4644</v>
      </c>
      <c r="E15" s="4">
        <v>5269</v>
      </c>
    </row>
    <row r="16" spans="1:5" ht="23.1" customHeight="1" x14ac:dyDescent="0.25">
      <c r="A16" s="4">
        <v>9</v>
      </c>
      <c r="B16" s="4" t="s">
        <v>297</v>
      </c>
      <c r="C16" s="4">
        <v>21171</v>
      </c>
      <c r="D16" s="4">
        <v>9921</v>
      </c>
      <c r="E16" s="4">
        <v>11250</v>
      </c>
    </row>
    <row r="17" spans="1:5" ht="23.1" customHeight="1" x14ac:dyDescent="0.25">
      <c r="A17" s="4">
        <v>10</v>
      </c>
      <c r="B17" s="4" t="s">
        <v>298</v>
      </c>
      <c r="C17" s="4">
        <v>16171</v>
      </c>
      <c r="D17" s="4">
        <v>7649</v>
      </c>
      <c r="E17" s="4">
        <v>8522</v>
      </c>
    </row>
    <row r="18" spans="1:5" ht="23.1" customHeight="1" x14ac:dyDescent="0.25">
      <c r="A18" s="4">
        <v>11</v>
      </c>
      <c r="B18" s="4" t="s">
        <v>299</v>
      </c>
      <c r="C18" s="4">
        <v>23049</v>
      </c>
      <c r="D18" s="4">
        <v>10759</v>
      </c>
      <c r="E18" s="4">
        <v>12290</v>
      </c>
    </row>
    <row r="19" spans="1:5" ht="23.1" customHeight="1" x14ac:dyDescent="0.25">
      <c r="A19" s="4">
        <v>12</v>
      </c>
      <c r="B19" s="4" t="s">
        <v>300</v>
      </c>
      <c r="C19" s="4">
        <v>16733</v>
      </c>
      <c r="D19" s="4">
        <v>7604</v>
      </c>
      <c r="E19" s="4">
        <v>9129</v>
      </c>
    </row>
    <row r="20" spans="1:5" ht="23.1" customHeight="1" x14ac:dyDescent="0.25">
      <c r="A20" s="4">
        <v>13</v>
      </c>
      <c r="B20" s="4" t="s">
        <v>301</v>
      </c>
      <c r="C20" s="4">
        <v>11631</v>
      </c>
      <c r="D20" s="4">
        <v>5233</v>
      </c>
      <c r="E20" s="4">
        <v>6398</v>
      </c>
    </row>
    <row r="21" spans="1:5" ht="23.1" customHeight="1" x14ac:dyDescent="0.25">
      <c r="A21" s="4">
        <v>14</v>
      </c>
      <c r="B21" s="4" t="s">
        <v>302</v>
      </c>
      <c r="C21" s="4">
        <v>20466</v>
      </c>
      <c r="D21" s="4">
        <v>9626</v>
      </c>
      <c r="E21" s="4">
        <v>10840</v>
      </c>
    </row>
    <row r="22" spans="1:5" ht="23.1" customHeight="1" x14ac:dyDescent="0.25">
      <c r="A22" s="4">
        <v>15</v>
      </c>
      <c r="B22" s="4" t="s">
        <v>303</v>
      </c>
      <c r="C22" s="4">
        <v>25502</v>
      </c>
      <c r="D22" s="4">
        <v>12100</v>
      </c>
      <c r="E22" s="4">
        <v>13402</v>
      </c>
    </row>
    <row r="23" spans="1:5" ht="23.1" customHeight="1" x14ac:dyDescent="0.25">
      <c r="A23" s="4">
        <v>16</v>
      </c>
      <c r="B23" s="4" t="s">
        <v>304</v>
      </c>
      <c r="C23" s="4">
        <v>23372</v>
      </c>
      <c r="D23" s="4">
        <v>10868</v>
      </c>
      <c r="E23" s="4">
        <v>12504</v>
      </c>
    </row>
    <row r="24" spans="1:5" ht="23.1" customHeight="1" x14ac:dyDescent="0.25">
      <c r="A24" s="4">
        <v>17</v>
      </c>
      <c r="B24" s="4" t="s">
        <v>305</v>
      </c>
      <c r="C24" s="4">
        <v>4077</v>
      </c>
      <c r="D24" s="4">
        <v>2301</v>
      </c>
      <c r="E24" s="4">
        <v>1776</v>
      </c>
    </row>
    <row r="25" spans="1:5" ht="23.1" customHeight="1" x14ac:dyDescent="0.25">
      <c r="A25" s="4">
        <v>18</v>
      </c>
      <c r="B25" s="4" t="s">
        <v>306</v>
      </c>
      <c r="C25" s="4">
        <v>23773</v>
      </c>
      <c r="D25" s="4">
        <v>10799</v>
      </c>
      <c r="E25" s="4">
        <v>12974</v>
      </c>
    </row>
    <row r="26" spans="1:5" ht="23.1" customHeight="1" x14ac:dyDescent="0.25">
      <c r="A26" s="4">
        <v>19</v>
      </c>
      <c r="B26" s="4" t="s">
        <v>307</v>
      </c>
      <c r="C26" s="4">
        <v>26115</v>
      </c>
      <c r="D26" s="4">
        <v>12318</v>
      </c>
      <c r="E26" s="4">
        <v>13797</v>
      </c>
    </row>
    <row r="27" spans="1:5" ht="23.1" customHeight="1" x14ac:dyDescent="0.25">
      <c r="A27" s="4">
        <v>20</v>
      </c>
      <c r="B27" s="4" t="s">
        <v>308</v>
      </c>
      <c r="C27" s="4">
        <v>38728</v>
      </c>
      <c r="D27" s="4">
        <v>18170</v>
      </c>
      <c r="E27" s="4">
        <v>20558</v>
      </c>
    </row>
    <row r="28" spans="1:5" ht="23.1" customHeight="1" x14ac:dyDescent="0.25">
      <c r="A28" s="4"/>
      <c r="B28" s="15" t="s">
        <v>1032</v>
      </c>
      <c r="C28" s="15">
        <f>SUM(C29:C37)</f>
        <v>205739</v>
      </c>
      <c r="D28" s="15">
        <f t="shared" ref="D28:E28" si="2">SUM(D29:D37)</f>
        <v>99294</v>
      </c>
      <c r="E28" s="15">
        <f t="shared" si="2"/>
        <v>106445</v>
      </c>
    </row>
    <row r="29" spans="1:5" ht="23.1" customHeight="1" x14ac:dyDescent="0.25">
      <c r="A29" s="4">
        <v>1</v>
      </c>
      <c r="B29" s="4" t="s">
        <v>316</v>
      </c>
      <c r="C29" s="4">
        <v>13349</v>
      </c>
      <c r="D29" s="4">
        <v>6539</v>
      </c>
      <c r="E29" s="4">
        <v>6810</v>
      </c>
    </row>
    <row r="30" spans="1:5" ht="23.1" customHeight="1" x14ac:dyDescent="0.25">
      <c r="A30" s="4">
        <v>2</v>
      </c>
      <c r="B30" s="4" t="s">
        <v>317</v>
      </c>
      <c r="C30" s="4">
        <v>15934</v>
      </c>
      <c r="D30" s="4">
        <v>7895</v>
      </c>
      <c r="E30" s="4">
        <v>8039</v>
      </c>
    </row>
    <row r="31" spans="1:5" ht="23.1" customHeight="1" x14ac:dyDescent="0.25">
      <c r="A31" s="4">
        <v>3</v>
      </c>
      <c r="B31" s="4" t="s">
        <v>318</v>
      </c>
      <c r="C31" s="4">
        <v>43828</v>
      </c>
      <c r="D31" s="4">
        <v>21635</v>
      </c>
      <c r="E31" s="4">
        <v>22193</v>
      </c>
    </row>
    <row r="32" spans="1:5" ht="23.1" customHeight="1" x14ac:dyDescent="0.25">
      <c r="A32" s="4">
        <v>4</v>
      </c>
      <c r="B32" s="4" t="s">
        <v>319</v>
      </c>
      <c r="C32" s="4">
        <v>23214</v>
      </c>
      <c r="D32" s="4">
        <v>10939</v>
      </c>
      <c r="E32" s="4">
        <v>12275</v>
      </c>
    </row>
    <row r="33" spans="1:5" ht="23.1" customHeight="1" x14ac:dyDescent="0.25">
      <c r="A33" s="4">
        <v>5</v>
      </c>
      <c r="B33" s="4" t="s">
        <v>320</v>
      </c>
      <c r="C33" s="4">
        <v>42201</v>
      </c>
      <c r="D33" s="4">
        <v>19100</v>
      </c>
      <c r="E33" s="4">
        <v>23101</v>
      </c>
    </row>
    <row r="34" spans="1:5" ht="23.1" customHeight="1" x14ac:dyDescent="0.25">
      <c r="A34" s="4">
        <v>6</v>
      </c>
      <c r="B34" s="4" t="s">
        <v>321</v>
      </c>
      <c r="C34" s="4">
        <v>10712</v>
      </c>
      <c r="D34" s="4">
        <v>5340</v>
      </c>
      <c r="E34" s="4">
        <v>5372</v>
      </c>
    </row>
    <row r="35" spans="1:5" ht="23.1" customHeight="1" x14ac:dyDescent="0.25">
      <c r="A35" s="4">
        <v>7</v>
      </c>
      <c r="B35" s="4" t="s">
        <v>322</v>
      </c>
      <c r="C35" s="4">
        <v>12972</v>
      </c>
      <c r="D35" s="4">
        <v>6652</v>
      </c>
      <c r="E35" s="4">
        <v>6320</v>
      </c>
    </row>
    <row r="36" spans="1:5" ht="23.1" customHeight="1" x14ac:dyDescent="0.25">
      <c r="A36" s="4">
        <v>8</v>
      </c>
      <c r="B36" s="4" t="s">
        <v>323</v>
      </c>
      <c r="C36" s="4">
        <v>14818</v>
      </c>
      <c r="D36" s="4">
        <v>7310</v>
      </c>
      <c r="E36" s="4">
        <v>7508</v>
      </c>
    </row>
    <row r="37" spans="1:5" ht="23.1" customHeight="1" x14ac:dyDescent="0.25">
      <c r="A37" s="10">
        <v>9</v>
      </c>
      <c r="B37" s="10" t="s">
        <v>324</v>
      </c>
      <c r="C37" s="10">
        <v>28711</v>
      </c>
      <c r="D37" s="10">
        <v>13884</v>
      </c>
      <c r="E37" s="10">
        <v>14827</v>
      </c>
    </row>
    <row r="38" spans="1:5" ht="23.45" customHeight="1" x14ac:dyDescent="0.25"/>
    <row r="39" spans="1:5" ht="23.45" customHeight="1" x14ac:dyDescent="0.25"/>
    <row r="40" spans="1:5" ht="23.45" customHeight="1" x14ac:dyDescent="0.25"/>
    <row r="41" spans="1:5" ht="23.45" customHeight="1" x14ac:dyDescent="0.25"/>
    <row r="42" spans="1:5" ht="23.45" customHeight="1" x14ac:dyDescent="0.25"/>
    <row r="43" spans="1:5" ht="23.45" customHeight="1" x14ac:dyDescent="0.25"/>
    <row r="44" spans="1:5" ht="23.45" customHeight="1" x14ac:dyDescent="0.25"/>
    <row r="45" spans="1:5" ht="23.45" customHeight="1" x14ac:dyDescent="0.25"/>
    <row r="46" spans="1:5" ht="23.45" customHeight="1" x14ac:dyDescent="0.25"/>
    <row r="47" spans="1:5" ht="23.45" customHeight="1" x14ac:dyDescent="0.25"/>
    <row r="48" spans="1:5" ht="25.5" customHeight="1" x14ac:dyDescent="0.25"/>
    <row r="49" ht="25.5" customHeight="1" x14ac:dyDescent="0.25"/>
    <row r="50" ht="25.5" customHeight="1" x14ac:dyDescent="0.25"/>
    <row r="51" ht="25.5" customHeight="1" x14ac:dyDescent="0.25"/>
  </sheetData>
  <mergeCells count="4">
    <mergeCell ref="A3:A4"/>
    <mergeCell ref="B3:B4"/>
    <mergeCell ref="C3:E3"/>
    <mergeCell ref="A1:E1"/>
  </mergeCells>
  <hyperlinks>
    <hyperlink ref="A1:E1" location="'List of Township'!A1" display="Yangon Region,North District, Hlinethaya  Township"/>
  </hyperlinks>
  <pageMargins left="0.75" right="0.5" top="0.99" bottom="0.99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39.7109375" customWidth="1"/>
    <col min="3" max="5" width="13.7109375" customWidth="1"/>
  </cols>
  <sheetData>
    <row r="1" spans="1:5" s="2" customFormat="1" ht="23.45" customHeight="1" x14ac:dyDescent="0.4">
      <c r="A1" s="86" t="s">
        <v>1052</v>
      </c>
      <c r="B1" s="86"/>
      <c r="C1" s="86"/>
      <c r="D1" s="86"/>
      <c r="E1" s="86"/>
    </row>
    <row r="2" spans="1:5" s="2" customFormat="1" ht="23.45" customHeight="1" x14ac:dyDescent="0.4">
      <c r="A2" s="1"/>
      <c r="B2" s="1"/>
      <c r="C2" s="1"/>
      <c r="D2" s="1"/>
      <c r="E2" s="54" t="s">
        <v>1031</v>
      </c>
    </row>
    <row r="3" spans="1:5" s="2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SUM(C8:C45)</f>
        <v>209486</v>
      </c>
      <c r="D5" s="57">
        <f t="shared" ref="D5:E5" si="0">SUM(D8:D45)</f>
        <v>98698</v>
      </c>
      <c r="E5" s="57">
        <f t="shared" si="0"/>
        <v>110788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SUM(C8:C45)</f>
        <v>209486</v>
      </c>
      <c r="D7" s="15">
        <f t="shared" ref="D7:E7" si="1">SUM(D8:D45)</f>
        <v>98698</v>
      </c>
      <c r="E7" s="15">
        <f t="shared" si="1"/>
        <v>110788</v>
      </c>
    </row>
    <row r="8" spans="1:5" ht="23.1" customHeight="1" x14ac:dyDescent="0.25">
      <c r="A8" s="4">
        <v>1</v>
      </c>
      <c r="B8" s="4" t="s">
        <v>325</v>
      </c>
      <c r="C8" s="4">
        <v>17715</v>
      </c>
      <c r="D8" s="4">
        <v>8650</v>
      </c>
      <c r="E8" s="4">
        <v>9065</v>
      </c>
    </row>
    <row r="9" spans="1:5" ht="23.1" customHeight="1" x14ac:dyDescent="0.25">
      <c r="A9" s="4">
        <v>2</v>
      </c>
      <c r="B9" s="4" t="s">
        <v>326</v>
      </c>
      <c r="C9" s="4">
        <v>7974</v>
      </c>
      <c r="D9" s="4">
        <v>3974</v>
      </c>
      <c r="E9" s="4">
        <v>4000</v>
      </c>
    </row>
    <row r="10" spans="1:5" ht="23.1" customHeight="1" x14ac:dyDescent="0.25">
      <c r="A10" s="4">
        <v>3</v>
      </c>
      <c r="B10" s="4" t="s">
        <v>327</v>
      </c>
      <c r="C10" s="4">
        <v>6160</v>
      </c>
      <c r="D10" s="4">
        <v>2986</v>
      </c>
      <c r="E10" s="4">
        <v>3174</v>
      </c>
    </row>
    <row r="11" spans="1:5" ht="23.1" customHeight="1" x14ac:dyDescent="0.25">
      <c r="A11" s="4">
        <v>4</v>
      </c>
      <c r="B11" s="4" t="s">
        <v>328</v>
      </c>
      <c r="C11" s="4">
        <v>6792</v>
      </c>
      <c r="D11" s="4">
        <v>3247</v>
      </c>
      <c r="E11" s="4">
        <v>3545</v>
      </c>
    </row>
    <row r="12" spans="1:5" ht="23.1" customHeight="1" x14ac:dyDescent="0.25">
      <c r="A12" s="4">
        <v>5</v>
      </c>
      <c r="B12" s="4" t="s">
        <v>329</v>
      </c>
      <c r="C12" s="4">
        <v>16700</v>
      </c>
      <c r="D12" s="4">
        <v>7902</v>
      </c>
      <c r="E12" s="4">
        <v>8798</v>
      </c>
    </row>
    <row r="13" spans="1:5" ht="23.1" customHeight="1" x14ac:dyDescent="0.25">
      <c r="A13" s="4">
        <v>6</v>
      </c>
      <c r="B13" s="4" t="s">
        <v>330</v>
      </c>
      <c r="C13" s="4">
        <v>3920</v>
      </c>
      <c r="D13" s="4">
        <v>1927</v>
      </c>
      <c r="E13" s="4">
        <v>1993</v>
      </c>
    </row>
    <row r="14" spans="1:5" ht="23.1" customHeight="1" x14ac:dyDescent="0.25">
      <c r="A14" s="4">
        <v>7</v>
      </c>
      <c r="B14" s="4" t="s">
        <v>331</v>
      </c>
      <c r="C14" s="4">
        <v>2703</v>
      </c>
      <c r="D14" s="4">
        <v>1232</v>
      </c>
      <c r="E14" s="4">
        <v>1471</v>
      </c>
    </row>
    <row r="15" spans="1:5" ht="23.1" customHeight="1" x14ac:dyDescent="0.25">
      <c r="A15" s="4">
        <v>8</v>
      </c>
      <c r="B15" s="4" t="s">
        <v>332</v>
      </c>
      <c r="C15" s="4">
        <v>751</v>
      </c>
      <c r="D15" s="4">
        <v>316</v>
      </c>
      <c r="E15" s="4">
        <v>435</v>
      </c>
    </row>
    <row r="16" spans="1:5" ht="23.1" customHeight="1" x14ac:dyDescent="0.25">
      <c r="A16" s="4">
        <v>9</v>
      </c>
      <c r="B16" s="4" t="s">
        <v>333</v>
      </c>
      <c r="C16" s="4">
        <v>3852</v>
      </c>
      <c r="D16" s="4">
        <v>1812</v>
      </c>
      <c r="E16" s="4">
        <v>2040</v>
      </c>
    </row>
    <row r="17" spans="1:5" ht="23.1" customHeight="1" x14ac:dyDescent="0.25">
      <c r="A17" s="4">
        <v>10</v>
      </c>
      <c r="B17" s="4" t="s">
        <v>334</v>
      </c>
      <c r="C17" s="4">
        <v>3997</v>
      </c>
      <c r="D17" s="4">
        <v>1891</v>
      </c>
      <c r="E17" s="4">
        <v>2106</v>
      </c>
    </row>
    <row r="18" spans="1:5" ht="23.1" customHeight="1" x14ac:dyDescent="0.25">
      <c r="A18" s="4">
        <v>11</v>
      </c>
      <c r="B18" s="4" t="s">
        <v>335</v>
      </c>
      <c r="C18" s="4">
        <v>2592</v>
      </c>
      <c r="D18" s="4">
        <v>1233</v>
      </c>
      <c r="E18" s="4">
        <v>1359</v>
      </c>
    </row>
    <row r="19" spans="1:5" ht="23.1" customHeight="1" x14ac:dyDescent="0.25">
      <c r="A19" s="4">
        <v>12</v>
      </c>
      <c r="B19" s="4" t="s">
        <v>336</v>
      </c>
      <c r="C19" s="4">
        <v>2400</v>
      </c>
      <c r="D19" s="4">
        <v>1115</v>
      </c>
      <c r="E19" s="4">
        <v>1285</v>
      </c>
    </row>
    <row r="20" spans="1:5" ht="23.1" customHeight="1" x14ac:dyDescent="0.25">
      <c r="A20" s="4">
        <v>13</v>
      </c>
      <c r="B20" s="4" t="s">
        <v>337</v>
      </c>
      <c r="C20" s="4">
        <v>2272</v>
      </c>
      <c r="D20" s="4">
        <v>1050</v>
      </c>
      <c r="E20" s="4">
        <v>1222</v>
      </c>
    </row>
    <row r="21" spans="1:5" ht="23.1" customHeight="1" x14ac:dyDescent="0.25">
      <c r="A21" s="4">
        <v>14</v>
      </c>
      <c r="B21" s="4" t="s">
        <v>338</v>
      </c>
      <c r="C21" s="4">
        <v>11156</v>
      </c>
      <c r="D21" s="4">
        <v>5021</v>
      </c>
      <c r="E21" s="4">
        <v>6135</v>
      </c>
    </row>
    <row r="22" spans="1:5" ht="23.1" customHeight="1" x14ac:dyDescent="0.25">
      <c r="A22" s="4">
        <v>15</v>
      </c>
      <c r="B22" s="4" t="s">
        <v>339</v>
      </c>
      <c r="C22" s="4">
        <v>4239</v>
      </c>
      <c r="D22" s="4">
        <v>2192</v>
      </c>
      <c r="E22" s="4">
        <v>2047</v>
      </c>
    </row>
    <row r="23" spans="1:5" ht="23.1" customHeight="1" x14ac:dyDescent="0.25">
      <c r="A23" s="4">
        <v>16</v>
      </c>
      <c r="B23" s="4" t="s">
        <v>340</v>
      </c>
      <c r="C23" s="4">
        <v>4015</v>
      </c>
      <c r="D23" s="4">
        <v>1949</v>
      </c>
      <c r="E23" s="4">
        <v>2066</v>
      </c>
    </row>
    <row r="24" spans="1:5" ht="23.1" customHeight="1" x14ac:dyDescent="0.25">
      <c r="A24" s="4">
        <v>17</v>
      </c>
      <c r="B24" s="4" t="s">
        <v>341</v>
      </c>
      <c r="C24" s="4">
        <v>5044</v>
      </c>
      <c r="D24" s="4">
        <v>2477</v>
      </c>
      <c r="E24" s="4">
        <v>2567</v>
      </c>
    </row>
    <row r="25" spans="1:5" ht="23.1" customHeight="1" x14ac:dyDescent="0.25">
      <c r="A25" s="4">
        <v>18</v>
      </c>
      <c r="B25" s="4" t="s">
        <v>342</v>
      </c>
      <c r="C25" s="4">
        <v>2241</v>
      </c>
      <c r="D25" s="4">
        <v>1057</v>
      </c>
      <c r="E25" s="4">
        <v>1184</v>
      </c>
    </row>
    <row r="26" spans="1:5" ht="23.1" customHeight="1" x14ac:dyDescent="0.25">
      <c r="A26" s="4">
        <v>19</v>
      </c>
      <c r="B26" s="4" t="s">
        <v>343</v>
      </c>
      <c r="C26" s="4">
        <v>1574</v>
      </c>
      <c r="D26" s="4">
        <v>1108</v>
      </c>
      <c r="E26" s="4">
        <v>466</v>
      </c>
    </row>
    <row r="27" spans="1:5" ht="23.1" customHeight="1" x14ac:dyDescent="0.25">
      <c r="A27" s="4">
        <v>20</v>
      </c>
      <c r="B27" s="4" t="s">
        <v>344</v>
      </c>
      <c r="C27" s="4">
        <v>2552</v>
      </c>
      <c r="D27" s="4">
        <v>1123</v>
      </c>
      <c r="E27" s="4">
        <v>1429</v>
      </c>
    </row>
    <row r="28" spans="1:5" ht="23.1" customHeight="1" x14ac:dyDescent="0.25">
      <c r="A28" s="4">
        <v>21</v>
      </c>
      <c r="B28" s="4" t="s">
        <v>345</v>
      </c>
      <c r="C28" s="4">
        <v>11779</v>
      </c>
      <c r="D28" s="4">
        <v>5467</v>
      </c>
      <c r="E28" s="4">
        <v>6312</v>
      </c>
    </row>
    <row r="29" spans="1:5" ht="23.1" customHeight="1" x14ac:dyDescent="0.25">
      <c r="A29" s="4">
        <v>22</v>
      </c>
      <c r="B29" s="4" t="s">
        <v>346</v>
      </c>
      <c r="C29" s="4">
        <v>10848</v>
      </c>
      <c r="D29" s="4">
        <v>5184</v>
      </c>
      <c r="E29" s="4">
        <v>5664</v>
      </c>
    </row>
    <row r="30" spans="1:5" ht="23.1" customHeight="1" x14ac:dyDescent="0.25">
      <c r="A30" s="4">
        <v>23</v>
      </c>
      <c r="B30" s="4" t="s">
        <v>347</v>
      </c>
      <c r="C30" s="4">
        <v>12588</v>
      </c>
      <c r="D30" s="4">
        <v>5961</v>
      </c>
      <c r="E30" s="4">
        <v>6627</v>
      </c>
    </row>
    <row r="31" spans="1:5" ht="23.1" customHeight="1" x14ac:dyDescent="0.25">
      <c r="A31" s="4">
        <v>24</v>
      </c>
      <c r="B31" s="4" t="s">
        <v>348</v>
      </c>
      <c r="C31" s="4">
        <v>11213</v>
      </c>
      <c r="D31" s="4">
        <v>5060</v>
      </c>
      <c r="E31" s="4">
        <v>6153</v>
      </c>
    </row>
    <row r="32" spans="1:5" ht="23.1" customHeight="1" x14ac:dyDescent="0.25">
      <c r="A32" s="4">
        <v>25</v>
      </c>
      <c r="B32" s="4" t="s">
        <v>349</v>
      </c>
      <c r="C32" s="4">
        <v>12512</v>
      </c>
      <c r="D32" s="4">
        <v>5859</v>
      </c>
      <c r="E32" s="4">
        <v>6653</v>
      </c>
    </row>
    <row r="33" spans="1:5" ht="23.1" customHeight="1" x14ac:dyDescent="0.25">
      <c r="A33" s="4">
        <v>26</v>
      </c>
      <c r="B33" s="4" t="s">
        <v>350</v>
      </c>
      <c r="C33" s="4">
        <v>5279</v>
      </c>
      <c r="D33" s="4">
        <v>2450</v>
      </c>
      <c r="E33" s="4">
        <v>2829</v>
      </c>
    </row>
    <row r="34" spans="1:5" ht="23.1" customHeight="1" x14ac:dyDescent="0.25">
      <c r="A34" s="4">
        <v>27</v>
      </c>
      <c r="B34" s="4" t="s">
        <v>351</v>
      </c>
      <c r="C34" s="4">
        <v>3737</v>
      </c>
      <c r="D34" s="4">
        <v>1670</v>
      </c>
      <c r="E34" s="4">
        <v>2067</v>
      </c>
    </row>
    <row r="35" spans="1:5" ht="23.1" customHeight="1" x14ac:dyDescent="0.25">
      <c r="A35" s="4">
        <v>28</v>
      </c>
      <c r="B35" s="4" t="s">
        <v>352</v>
      </c>
      <c r="C35" s="4">
        <v>11532</v>
      </c>
      <c r="D35" s="4">
        <v>5212</v>
      </c>
      <c r="E35" s="4">
        <v>6320</v>
      </c>
    </row>
    <row r="36" spans="1:5" ht="23.1" customHeight="1" x14ac:dyDescent="0.25">
      <c r="A36" s="4">
        <v>29</v>
      </c>
      <c r="B36" s="4" t="s">
        <v>353</v>
      </c>
      <c r="C36" s="4">
        <v>2743</v>
      </c>
      <c r="D36" s="4">
        <v>1133</v>
      </c>
      <c r="E36" s="4">
        <v>1610</v>
      </c>
    </row>
    <row r="37" spans="1:5" ht="23.1" customHeight="1" x14ac:dyDescent="0.25">
      <c r="A37" s="4">
        <v>30</v>
      </c>
      <c r="B37" s="4" t="s">
        <v>354</v>
      </c>
      <c r="C37" s="4">
        <v>1415</v>
      </c>
      <c r="D37" s="4">
        <v>641</v>
      </c>
      <c r="E37" s="4">
        <v>774</v>
      </c>
    </row>
    <row r="38" spans="1:5" ht="23.1" customHeight="1" x14ac:dyDescent="0.25">
      <c r="A38" s="4">
        <v>31</v>
      </c>
      <c r="B38" s="4" t="s">
        <v>355</v>
      </c>
      <c r="C38" s="4">
        <v>1323</v>
      </c>
      <c r="D38" s="4">
        <v>664</v>
      </c>
      <c r="E38" s="4">
        <v>659</v>
      </c>
    </row>
    <row r="39" spans="1:5" ht="23.1" customHeight="1" x14ac:dyDescent="0.25">
      <c r="A39" s="4">
        <v>32</v>
      </c>
      <c r="B39" s="4" t="s">
        <v>356</v>
      </c>
      <c r="C39" s="4">
        <v>597</v>
      </c>
      <c r="D39" s="4">
        <v>283</v>
      </c>
      <c r="E39" s="4">
        <v>314</v>
      </c>
    </row>
    <row r="40" spans="1:5" ht="23.1" customHeight="1" x14ac:dyDescent="0.25">
      <c r="A40" s="4">
        <v>33</v>
      </c>
      <c r="B40" s="4" t="s">
        <v>357</v>
      </c>
      <c r="C40" s="4">
        <v>1264</v>
      </c>
      <c r="D40" s="4">
        <v>567</v>
      </c>
      <c r="E40" s="4">
        <v>697</v>
      </c>
    </row>
    <row r="41" spans="1:5" ht="23.1" customHeight="1" x14ac:dyDescent="0.25">
      <c r="A41" s="4">
        <v>34</v>
      </c>
      <c r="B41" s="4" t="s">
        <v>358</v>
      </c>
      <c r="C41" s="4">
        <v>3489</v>
      </c>
      <c r="D41" s="4">
        <v>1596</v>
      </c>
      <c r="E41" s="4">
        <v>1893</v>
      </c>
    </row>
    <row r="42" spans="1:5" ht="23.1" customHeight="1" x14ac:dyDescent="0.25">
      <c r="A42" s="4">
        <v>35</v>
      </c>
      <c r="B42" s="4" t="s">
        <v>359</v>
      </c>
      <c r="C42" s="4">
        <v>4537</v>
      </c>
      <c r="D42" s="4">
        <v>2004</v>
      </c>
      <c r="E42" s="4">
        <v>2533</v>
      </c>
    </row>
    <row r="43" spans="1:5" ht="23.1" customHeight="1" x14ac:dyDescent="0.25">
      <c r="A43" s="4">
        <v>36</v>
      </c>
      <c r="B43" s="4" t="s">
        <v>360</v>
      </c>
      <c r="C43" s="4">
        <v>2212</v>
      </c>
      <c r="D43" s="4">
        <v>1009</v>
      </c>
      <c r="E43" s="4">
        <v>1203</v>
      </c>
    </row>
    <row r="44" spans="1:5" ht="23.1" customHeight="1" x14ac:dyDescent="0.25">
      <c r="A44" s="4">
        <v>37</v>
      </c>
      <c r="B44" s="4" t="s">
        <v>361</v>
      </c>
      <c r="C44" s="4">
        <v>2411</v>
      </c>
      <c r="D44" s="4">
        <v>1069</v>
      </c>
      <c r="E44" s="4">
        <v>1342</v>
      </c>
    </row>
    <row r="45" spans="1:5" ht="23.1" customHeight="1" x14ac:dyDescent="0.25">
      <c r="A45" s="10">
        <v>38</v>
      </c>
      <c r="B45" s="10" t="s">
        <v>362</v>
      </c>
      <c r="C45" s="10">
        <v>1358</v>
      </c>
      <c r="D45" s="10">
        <v>607</v>
      </c>
      <c r="E45" s="10">
        <v>751</v>
      </c>
    </row>
    <row r="46" spans="1:5" ht="23.45" customHeight="1" x14ac:dyDescent="0.25"/>
    <row r="47" spans="1:5" ht="23.45" customHeight="1" x14ac:dyDescent="0.25"/>
    <row r="48" spans="1:5" ht="23.45" customHeight="1" x14ac:dyDescent="0.25"/>
    <row r="49" ht="23.45" customHeight="1" x14ac:dyDescent="0.25"/>
    <row r="50" ht="23.45" customHeight="1" x14ac:dyDescent="0.25"/>
    <row r="51" ht="23.45" customHeight="1" x14ac:dyDescent="0.25"/>
    <row r="52" ht="23.45" customHeight="1" x14ac:dyDescent="0.25"/>
    <row r="53" ht="23.45" customHeight="1" x14ac:dyDescent="0.25"/>
    <row r="54" ht="23.45" customHeight="1" x14ac:dyDescent="0.25"/>
    <row r="55" ht="23.45" customHeight="1" x14ac:dyDescent="0.25"/>
    <row r="56" ht="23.45" customHeight="1" x14ac:dyDescent="0.25"/>
    <row r="57" ht="23.45" customHeight="1" x14ac:dyDescent="0.25"/>
    <row r="58" ht="23.45" customHeight="1" x14ac:dyDescent="0.25"/>
    <row r="59" ht="23.45" customHeight="1" x14ac:dyDescent="0.25"/>
    <row r="60" ht="23.45" customHeight="1" x14ac:dyDescent="0.25"/>
    <row r="61" ht="23.45" customHeight="1" x14ac:dyDescent="0.25"/>
    <row r="62" ht="23.45" customHeight="1" x14ac:dyDescent="0.25"/>
    <row r="63" ht="23.45" customHeight="1" x14ac:dyDescent="0.25"/>
    <row r="64" ht="23.45" customHeight="1" x14ac:dyDescent="0.25"/>
    <row r="65" ht="23.45" customHeight="1" x14ac:dyDescent="0.25"/>
    <row r="66" ht="23.45" customHeight="1" x14ac:dyDescent="0.25"/>
    <row r="67" ht="23.45" customHeight="1" x14ac:dyDescent="0.25"/>
    <row r="68" ht="23.45" customHeight="1" x14ac:dyDescent="0.25"/>
    <row r="69" ht="23.45" customHeight="1" x14ac:dyDescent="0.25"/>
    <row r="70" ht="23.45" customHeight="1" x14ac:dyDescent="0.25"/>
    <row r="71" ht="23.45" customHeight="1" x14ac:dyDescent="0.25"/>
    <row r="72" ht="23.45" customHeight="1" x14ac:dyDescent="0.25"/>
    <row r="73" ht="23.45" customHeight="1" x14ac:dyDescent="0.25"/>
    <row r="74" ht="23.45" customHeight="1" x14ac:dyDescent="0.25"/>
    <row r="75" ht="23.45" customHeight="1" x14ac:dyDescent="0.25"/>
    <row r="76" ht="23.45" customHeight="1" x14ac:dyDescent="0.25"/>
    <row r="77" ht="23.45" customHeight="1" x14ac:dyDescent="0.25"/>
    <row r="78" ht="23.45" customHeight="1" x14ac:dyDescent="0.25"/>
    <row r="79" ht="23.45" customHeight="1" x14ac:dyDescent="0.25"/>
    <row r="80" ht="23.45" customHeight="1" x14ac:dyDescent="0.25"/>
    <row r="81" ht="23.45" customHeight="1" x14ac:dyDescent="0.25"/>
    <row r="82" ht="23.45" customHeight="1" x14ac:dyDescent="0.25"/>
    <row r="83" ht="23.45" customHeight="1" x14ac:dyDescent="0.25"/>
    <row r="84" ht="23.45" customHeight="1" x14ac:dyDescent="0.25"/>
    <row r="85" ht="23.45" customHeight="1" x14ac:dyDescent="0.25"/>
    <row r="86" ht="23.45" customHeight="1" x14ac:dyDescent="0.25"/>
    <row r="87" ht="23.45" customHeight="1" x14ac:dyDescent="0.25"/>
    <row r="88" ht="23.45" customHeight="1" x14ac:dyDescent="0.25"/>
    <row r="89" ht="23.45" customHeight="1" x14ac:dyDescent="0.25"/>
    <row r="90" ht="23.45" customHeight="1" x14ac:dyDescent="0.25"/>
    <row r="91" ht="23.45" customHeight="1" x14ac:dyDescent="0.25"/>
    <row r="92" ht="23.45" customHeight="1" x14ac:dyDescent="0.25"/>
    <row r="93" ht="23.45" customHeight="1" x14ac:dyDescent="0.25"/>
    <row r="94" ht="23.45" customHeight="1" x14ac:dyDescent="0.25"/>
    <row r="95" ht="23.45" customHeight="1" x14ac:dyDescent="0.25"/>
    <row r="96" ht="23.45" customHeight="1" x14ac:dyDescent="0.25"/>
    <row r="97" ht="23.45" customHeight="1" x14ac:dyDescent="0.25"/>
    <row r="98" ht="23.45" customHeight="1" x14ac:dyDescent="0.25"/>
    <row r="99" ht="23.45" customHeight="1" x14ac:dyDescent="0.25"/>
    <row r="100" ht="23.45" customHeight="1" x14ac:dyDescent="0.25"/>
    <row r="101" ht="23.45" customHeight="1" x14ac:dyDescent="0.25"/>
    <row r="102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East District, Thingangyun 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24.140625" customWidth="1"/>
    <col min="3" max="5" width="15.7109375" customWidth="1"/>
  </cols>
  <sheetData>
    <row r="1" spans="1:5" s="2" customFormat="1" ht="25.5" customHeight="1" x14ac:dyDescent="0.4">
      <c r="A1" s="86" t="s">
        <v>1053</v>
      </c>
      <c r="B1" s="86"/>
      <c r="C1" s="86"/>
      <c r="D1" s="86"/>
      <c r="E1" s="86"/>
    </row>
    <row r="2" spans="1:5" s="2" customFormat="1" ht="25.5" customHeight="1" x14ac:dyDescent="0.4">
      <c r="A2" s="1"/>
      <c r="B2" s="1"/>
      <c r="C2" s="1"/>
      <c r="D2" s="1"/>
      <c r="E2" s="54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56"/>
      <c r="B5" s="57" t="s">
        <v>0</v>
      </c>
      <c r="C5" s="57">
        <f>SUM(C8:C22)</f>
        <v>70946</v>
      </c>
      <c r="D5" s="57">
        <f t="shared" ref="D5:E5" si="0">SUM(D8:D22)</f>
        <v>32724</v>
      </c>
      <c r="E5" s="57">
        <f t="shared" si="0"/>
        <v>38222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SUM(C8:C22)</f>
        <v>70946</v>
      </c>
      <c r="D7" s="15">
        <f t="shared" ref="D7:E7" si="1">SUM(D8:D22)</f>
        <v>32724</v>
      </c>
      <c r="E7" s="15">
        <f t="shared" si="1"/>
        <v>38222</v>
      </c>
    </row>
    <row r="8" spans="1:5" ht="23.1" customHeight="1" x14ac:dyDescent="0.25">
      <c r="A8" s="4">
        <v>1</v>
      </c>
      <c r="B8" s="4" t="s">
        <v>56</v>
      </c>
      <c r="C8" s="4">
        <v>2141</v>
      </c>
      <c r="D8" s="4">
        <v>988</v>
      </c>
      <c r="E8" s="4">
        <v>1153</v>
      </c>
    </row>
    <row r="9" spans="1:5" ht="23.1" customHeight="1" x14ac:dyDescent="0.25">
      <c r="A9" s="4">
        <v>2</v>
      </c>
      <c r="B9" s="4" t="s">
        <v>57</v>
      </c>
      <c r="C9" s="4">
        <v>4642</v>
      </c>
      <c r="D9" s="4">
        <v>1893</v>
      </c>
      <c r="E9" s="4">
        <v>2749</v>
      </c>
    </row>
    <row r="10" spans="1:5" ht="23.1" customHeight="1" x14ac:dyDescent="0.25">
      <c r="A10" s="4">
        <v>3</v>
      </c>
      <c r="B10" s="4" t="s">
        <v>58</v>
      </c>
      <c r="C10" s="4">
        <v>1772</v>
      </c>
      <c r="D10" s="4">
        <v>749</v>
      </c>
      <c r="E10" s="4">
        <v>1023</v>
      </c>
    </row>
    <row r="11" spans="1:5" ht="23.1" customHeight="1" x14ac:dyDescent="0.25">
      <c r="A11" s="4">
        <v>4</v>
      </c>
      <c r="B11" s="4" t="s">
        <v>59</v>
      </c>
      <c r="C11" s="4">
        <v>2035</v>
      </c>
      <c r="D11" s="4">
        <v>833</v>
      </c>
      <c r="E11" s="4">
        <v>1202</v>
      </c>
    </row>
    <row r="12" spans="1:5" ht="23.1" customHeight="1" x14ac:dyDescent="0.25">
      <c r="A12" s="4">
        <v>5</v>
      </c>
      <c r="B12" s="4" t="s">
        <v>242</v>
      </c>
      <c r="C12" s="4">
        <v>5930</v>
      </c>
      <c r="D12" s="4">
        <v>2466</v>
      </c>
      <c r="E12" s="4">
        <v>3464</v>
      </c>
    </row>
    <row r="13" spans="1:5" ht="23.1" customHeight="1" x14ac:dyDescent="0.25">
      <c r="A13" s="4">
        <v>6</v>
      </c>
      <c r="B13" s="4" t="s">
        <v>294</v>
      </c>
      <c r="C13" s="4">
        <v>2354</v>
      </c>
      <c r="D13" s="4">
        <v>1023</v>
      </c>
      <c r="E13" s="4">
        <v>1331</v>
      </c>
    </row>
    <row r="14" spans="1:5" ht="23.1" customHeight="1" x14ac:dyDescent="0.25">
      <c r="A14" s="4">
        <v>7</v>
      </c>
      <c r="B14" s="4" t="s">
        <v>295</v>
      </c>
      <c r="C14" s="4">
        <v>2581</v>
      </c>
      <c r="D14" s="4">
        <v>1170</v>
      </c>
      <c r="E14" s="4">
        <v>1411</v>
      </c>
    </row>
    <row r="15" spans="1:5" ht="23.1" customHeight="1" x14ac:dyDescent="0.25">
      <c r="A15" s="4">
        <v>8</v>
      </c>
      <c r="B15" s="4" t="s">
        <v>296</v>
      </c>
      <c r="C15" s="4">
        <v>6475</v>
      </c>
      <c r="D15" s="4">
        <v>3003</v>
      </c>
      <c r="E15" s="4">
        <v>3472</v>
      </c>
    </row>
    <row r="16" spans="1:5" ht="23.1" customHeight="1" x14ac:dyDescent="0.25">
      <c r="A16" s="4">
        <v>9</v>
      </c>
      <c r="B16" s="4" t="s">
        <v>297</v>
      </c>
      <c r="C16" s="4">
        <v>3564</v>
      </c>
      <c r="D16" s="4">
        <v>1632</v>
      </c>
      <c r="E16" s="4">
        <v>1932</v>
      </c>
    </row>
    <row r="17" spans="1:5" ht="23.1" customHeight="1" x14ac:dyDescent="0.25">
      <c r="A17" s="4">
        <v>10</v>
      </c>
      <c r="B17" s="4" t="s">
        <v>299</v>
      </c>
      <c r="C17" s="4">
        <v>8651</v>
      </c>
      <c r="D17" s="4">
        <v>4411</v>
      </c>
      <c r="E17" s="4">
        <v>4240</v>
      </c>
    </row>
    <row r="18" spans="1:5" ht="23.1" customHeight="1" x14ac:dyDescent="0.25">
      <c r="A18" s="4">
        <v>11</v>
      </c>
      <c r="B18" s="4" t="s">
        <v>300</v>
      </c>
      <c r="C18" s="4">
        <v>10897</v>
      </c>
      <c r="D18" s="4">
        <v>5039</v>
      </c>
      <c r="E18" s="4">
        <v>5858</v>
      </c>
    </row>
    <row r="19" spans="1:5" ht="23.1" customHeight="1" x14ac:dyDescent="0.25">
      <c r="A19" s="4">
        <v>12</v>
      </c>
      <c r="B19" s="4" t="s">
        <v>301</v>
      </c>
      <c r="C19" s="4">
        <v>5707</v>
      </c>
      <c r="D19" s="4">
        <v>2718</v>
      </c>
      <c r="E19" s="4">
        <v>2989</v>
      </c>
    </row>
    <row r="20" spans="1:5" ht="23.1" customHeight="1" x14ac:dyDescent="0.25">
      <c r="A20" s="4">
        <v>13</v>
      </c>
      <c r="B20" s="4" t="s">
        <v>302</v>
      </c>
      <c r="C20" s="4">
        <v>4098</v>
      </c>
      <c r="D20" s="4">
        <v>2168</v>
      </c>
      <c r="E20" s="4">
        <v>1930</v>
      </c>
    </row>
    <row r="21" spans="1:5" ht="23.1" customHeight="1" x14ac:dyDescent="0.25">
      <c r="A21" s="4">
        <v>14</v>
      </c>
      <c r="B21" s="4" t="s">
        <v>303</v>
      </c>
      <c r="C21" s="4">
        <v>3017</v>
      </c>
      <c r="D21" s="4">
        <v>1370</v>
      </c>
      <c r="E21" s="4">
        <v>1647</v>
      </c>
    </row>
    <row r="22" spans="1:5" ht="23.1" customHeight="1" x14ac:dyDescent="0.25">
      <c r="A22" s="10">
        <v>15</v>
      </c>
      <c r="B22" s="10" t="s">
        <v>304</v>
      </c>
      <c r="C22" s="10">
        <v>7082</v>
      </c>
      <c r="D22" s="10">
        <v>3261</v>
      </c>
      <c r="E22" s="10">
        <v>3821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East District,Yankin  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19.5703125" customWidth="1"/>
    <col min="3" max="5" width="15.7109375" customWidth="1"/>
  </cols>
  <sheetData>
    <row r="1" spans="1:5" s="2" customFormat="1" ht="25.5" customHeight="1" x14ac:dyDescent="0.4">
      <c r="A1" s="86" t="s">
        <v>1054</v>
      </c>
      <c r="B1" s="86"/>
      <c r="C1" s="86"/>
      <c r="D1" s="86"/>
      <c r="E1" s="86"/>
    </row>
    <row r="2" spans="1:5" s="2" customFormat="1" ht="25.5" customHeight="1" x14ac:dyDescent="0.4">
      <c r="A2" s="1"/>
      <c r="B2" s="1"/>
      <c r="C2" s="1"/>
      <c r="D2" s="1"/>
      <c r="E2" s="54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SUM(C8:C20)</f>
        <v>161126</v>
      </c>
      <c r="D5" s="57">
        <f t="shared" ref="D5:E5" si="0">SUM(D8:D20)</f>
        <v>75547</v>
      </c>
      <c r="E5" s="57">
        <f t="shared" si="0"/>
        <v>85579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SUM(C8:C20)</f>
        <v>161126</v>
      </c>
      <c r="D7" s="15">
        <f t="shared" ref="D7:E7" si="1">SUM(D8:D20)</f>
        <v>75547</v>
      </c>
      <c r="E7" s="15">
        <f t="shared" si="1"/>
        <v>85579</v>
      </c>
    </row>
    <row r="8" spans="1:5" ht="23.1" customHeight="1" x14ac:dyDescent="0.25">
      <c r="A8" s="4">
        <v>1</v>
      </c>
      <c r="B8" s="4" t="s">
        <v>58</v>
      </c>
      <c r="C8" s="4">
        <v>3588</v>
      </c>
      <c r="D8" s="4">
        <v>1597</v>
      </c>
      <c r="E8" s="4">
        <v>1991</v>
      </c>
    </row>
    <row r="9" spans="1:5" ht="23.1" customHeight="1" x14ac:dyDescent="0.25">
      <c r="A9" s="4">
        <v>2</v>
      </c>
      <c r="B9" s="4" t="s">
        <v>59</v>
      </c>
      <c r="C9" s="4">
        <v>17010</v>
      </c>
      <c r="D9" s="4">
        <v>8064</v>
      </c>
      <c r="E9" s="4">
        <v>8946</v>
      </c>
    </row>
    <row r="10" spans="1:5" ht="23.1" customHeight="1" x14ac:dyDescent="0.25">
      <c r="A10" s="4">
        <v>3</v>
      </c>
      <c r="B10" s="4" t="s">
        <v>242</v>
      </c>
      <c r="C10" s="4">
        <v>16883</v>
      </c>
      <c r="D10" s="4">
        <v>8470</v>
      </c>
      <c r="E10" s="4">
        <v>8413</v>
      </c>
    </row>
    <row r="11" spans="1:5" ht="23.1" customHeight="1" x14ac:dyDescent="0.25">
      <c r="A11" s="4">
        <v>4</v>
      </c>
      <c r="B11" s="4" t="s">
        <v>294</v>
      </c>
      <c r="C11" s="4">
        <v>10131</v>
      </c>
      <c r="D11" s="4">
        <v>4550</v>
      </c>
      <c r="E11" s="4">
        <v>5581</v>
      </c>
    </row>
    <row r="12" spans="1:5" ht="23.1" customHeight="1" x14ac:dyDescent="0.25">
      <c r="A12" s="4">
        <v>5</v>
      </c>
      <c r="B12" s="4" t="s">
        <v>295</v>
      </c>
      <c r="C12" s="4">
        <v>17599</v>
      </c>
      <c r="D12" s="4">
        <v>8133</v>
      </c>
      <c r="E12" s="4">
        <v>9466</v>
      </c>
    </row>
    <row r="13" spans="1:5" ht="23.1" customHeight="1" x14ac:dyDescent="0.25">
      <c r="A13" s="4">
        <v>6</v>
      </c>
      <c r="B13" s="4" t="s">
        <v>296</v>
      </c>
      <c r="C13" s="4">
        <v>2255</v>
      </c>
      <c r="D13" s="4">
        <v>1232</v>
      </c>
      <c r="E13" s="4">
        <v>1023</v>
      </c>
    </row>
    <row r="14" spans="1:5" ht="23.1" customHeight="1" x14ac:dyDescent="0.25">
      <c r="A14" s="4">
        <v>7</v>
      </c>
      <c r="B14" s="4" t="s">
        <v>297</v>
      </c>
      <c r="C14" s="4">
        <v>9919</v>
      </c>
      <c r="D14" s="4">
        <v>4382</v>
      </c>
      <c r="E14" s="4">
        <v>5537</v>
      </c>
    </row>
    <row r="15" spans="1:5" ht="23.1" customHeight="1" x14ac:dyDescent="0.25">
      <c r="A15" s="4">
        <v>8</v>
      </c>
      <c r="B15" s="4" t="s">
        <v>298</v>
      </c>
      <c r="C15" s="4">
        <v>13147</v>
      </c>
      <c r="D15" s="4">
        <v>6006</v>
      </c>
      <c r="E15" s="4">
        <v>7141</v>
      </c>
    </row>
    <row r="16" spans="1:5" ht="23.1" customHeight="1" x14ac:dyDescent="0.25">
      <c r="A16" s="4">
        <v>9</v>
      </c>
      <c r="B16" s="4" t="s">
        <v>299</v>
      </c>
      <c r="C16" s="4">
        <v>7242</v>
      </c>
      <c r="D16" s="4">
        <v>3320</v>
      </c>
      <c r="E16" s="4">
        <v>3922</v>
      </c>
    </row>
    <row r="17" spans="1:5" ht="23.1" customHeight="1" x14ac:dyDescent="0.25">
      <c r="A17" s="4">
        <v>10</v>
      </c>
      <c r="B17" s="4" t="s">
        <v>300</v>
      </c>
      <c r="C17" s="4">
        <v>13459</v>
      </c>
      <c r="D17" s="4">
        <v>6289</v>
      </c>
      <c r="E17" s="4">
        <v>7170</v>
      </c>
    </row>
    <row r="18" spans="1:5" ht="23.1" customHeight="1" x14ac:dyDescent="0.25">
      <c r="A18" s="4">
        <v>11</v>
      </c>
      <c r="B18" s="4" t="s">
        <v>301</v>
      </c>
      <c r="C18" s="4">
        <v>17901</v>
      </c>
      <c r="D18" s="4">
        <v>8178</v>
      </c>
      <c r="E18" s="4">
        <v>9723</v>
      </c>
    </row>
    <row r="19" spans="1:5" ht="23.1" customHeight="1" x14ac:dyDescent="0.25">
      <c r="A19" s="4">
        <v>12</v>
      </c>
      <c r="B19" s="4" t="s">
        <v>302</v>
      </c>
      <c r="C19" s="4">
        <v>23516</v>
      </c>
      <c r="D19" s="4">
        <v>10889</v>
      </c>
      <c r="E19" s="4">
        <v>12627</v>
      </c>
    </row>
    <row r="20" spans="1:5" ht="23.1" customHeight="1" x14ac:dyDescent="0.25">
      <c r="A20" s="10">
        <v>13</v>
      </c>
      <c r="B20" s="10" t="s">
        <v>303</v>
      </c>
      <c r="C20" s="10">
        <v>8476</v>
      </c>
      <c r="D20" s="10">
        <v>4437</v>
      </c>
      <c r="E20" s="10">
        <v>4039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East District,South Okkalapa  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31.85546875" customWidth="1"/>
    <col min="3" max="5" width="15.7109375" customWidth="1"/>
  </cols>
  <sheetData>
    <row r="1" spans="1:5" s="2" customFormat="1" ht="25.5" customHeight="1" x14ac:dyDescent="0.4">
      <c r="A1" s="86" t="s">
        <v>1055</v>
      </c>
      <c r="B1" s="86"/>
      <c r="C1" s="86"/>
      <c r="D1" s="86"/>
      <c r="E1" s="86"/>
    </row>
    <row r="2" spans="1:5" s="2" customFormat="1" ht="25.5" customHeight="1" x14ac:dyDescent="0.4">
      <c r="A2" s="1"/>
      <c r="B2" s="1"/>
      <c r="C2" s="1"/>
      <c r="D2" s="1"/>
      <c r="E2" s="54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SUM(C8:C26)</f>
        <v>333293</v>
      </c>
      <c r="D5" s="57">
        <f t="shared" ref="D5:E5" si="0">SUM(D8:D26)</f>
        <v>156340</v>
      </c>
      <c r="E5" s="57">
        <f t="shared" si="0"/>
        <v>176953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SUM(C8:C26)</f>
        <v>333293</v>
      </c>
      <c r="D7" s="15">
        <f t="shared" ref="D7:E7" si="1">SUM(D8:D26)</f>
        <v>156340</v>
      </c>
      <c r="E7" s="15">
        <f t="shared" si="1"/>
        <v>176953</v>
      </c>
    </row>
    <row r="8" spans="1:5" ht="23.1" customHeight="1" x14ac:dyDescent="0.25">
      <c r="A8" s="4">
        <v>1</v>
      </c>
      <c r="B8" s="4" t="s">
        <v>56</v>
      </c>
      <c r="C8" s="4">
        <v>11465</v>
      </c>
      <c r="D8" s="4">
        <v>5337</v>
      </c>
      <c r="E8" s="4">
        <v>6128</v>
      </c>
    </row>
    <row r="9" spans="1:5" ht="23.1" customHeight="1" x14ac:dyDescent="0.25">
      <c r="A9" s="4">
        <v>2</v>
      </c>
      <c r="B9" s="4" t="s">
        <v>57</v>
      </c>
      <c r="C9" s="4">
        <v>28571</v>
      </c>
      <c r="D9" s="4">
        <v>13758</v>
      </c>
      <c r="E9" s="4">
        <v>14813</v>
      </c>
    </row>
    <row r="10" spans="1:5" ht="23.1" customHeight="1" x14ac:dyDescent="0.25">
      <c r="A10" s="4">
        <v>3</v>
      </c>
      <c r="B10" s="4" t="s">
        <v>363</v>
      </c>
      <c r="C10" s="4">
        <v>11248</v>
      </c>
      <c r="D10" s="4">
        <v>5272</v>
      </c>
      <c r="E10" s="4">
        <v>5976</v>
      </c>
    </row>
    <row r="11" spans="1:5" ht="23.1" customHeight="1" x14ac:dyDescent="0.25">
      <c r="A11" s="4">
        <v>4</v>
      </c>
      <c r="B11" s="4" t="s">
        <v>364</v>
      </c>
      <c r="C11" s="4">
        <v>8329</v>
      </c>
      <c r="D11" s="4">
        <v>3865</v>
      </c>
      <c r="E11" s="4">
        <v>4464</v>
      </c>
    </row>
    <row r="12" spans="1:5" ht="23.1" customHeight="1" x14ac:dyDescent="0.25">
      <c r="A12" s="4">
        <v>5</v>
      </c>
      <c r="B12" s="4" t="s">
        <v>365</v>
      </c>
      <c r="C12" s="4">
        <v>7139</v>
      </c>
      <c r="D12" s="4">
        <v>3267</v>
      </c>
      <c r="E12" s="4">
        <v>3872</v>
      </c>
    </row>
    <row r="13" spans="1:5" ht="23.1" customHeight="1" x14ac:dyDescent="0.25">
      <c r="A13" s="4">
        <v>6</v>
      </c>
      <c r="B13" s="4" t="s">
        <v>366</v>
      </c>
      <c r="C13" s="4">
        <v>9211</v>
      </c>
      <c r="D13" s="4">
        <v>4279</v>
      </c>
      <c r="E13" s="4">
        <v>4932</v>
      </c>
    </row>
    <row r="14" spans="1:5" ht="23.1" customHeight="1" x14ac:dyDescent="0.25">
      <c r="A14" s="4">
        <v>7</v>
      </c>
      <c r="B14" s="4" t="s">
        <v>367</v>
      </c>
      <c r="C14" s="4">
        <v>20767</v>
      </c>
      <c r="D14" s="4">
        <v>9931</v>
      </c>
      <c r="E14" s="4">
        <v>10836</v>
      </c>
    </row>
    <row r="15" spans="1:5" ht="23.1" customHeight="1" x14ac:dyDescent="0.25">
      <c r="A15" s="4">
        <v>8</v>
      </c>
      <c r="B15" s="4" t="s">
        <v>368</v>
      </c>
      <c r="C15" s="4">
        <v>9346</v>
      </c>
      <c r="D15" s="4">
        <v>4446</v>
      </c>
      <c r="E15" s="4">
        <v>4900</v>
      </c>
    </row>
    <row r="16" spans="1:5" ht="23.1" customHeight="1" x14ac:dyDescent="0.25">
      <c r="A16" s="4">
        <v>9</v>
      </c>
      <c r="B16" s="4" t="s">
        <v>369</v>
      </c>
      <c r="C16" s="4">
        <v>13213</v>
      </c>
      <c r="D16" s="4">
        <v>6080</v>
      </c>
      <c r="E16" s="4">
        <v>7133</v>
      </c>
    </row>
    <row r="17" spans="1:5" ht="23.1" customHeight="1" x14ac:dyDescent="0.25">
      <c r="A17" s="4">
        <v>10</v>
      </c>
      <c r="B17" s="4" t="s">
        <v>370</v>
      </c>
      <c r="C17" s="4">
        <v>9650</v>
      </c>
      <c r="D17" s="4">
        <v>4445</v>
      </c>
      <c r="E17" s="4">
        <v>5205</v>
      </c>
    </row>
    <row r="18" spans="1:5" ht="23.1" customHeight="1" x14ac:dyDescent="0.25">
      <c r="A18" s="4">
        <v>11</v>
      </c>
      <c r="B18" s="4" t="s">
        <v>371</v>
      </c>
      <c r="C18" s="4">
        <v>15039</v>
      </c>
      <c r="D18" s="4">
        <v>7465</v>
      </c>
      <c r="E18" s="4">
        <v>7574</v>
      </c>
    </row>
    <row r="19" spans="1:5" ht="23.1" customHeight="1" x14ac:dyDescent="0.25">
      <c r="A19" s="4">
        <v>12</v>
      </c>
      <c r="B19" s="4" t="s">
        <v>372</v>
      </c>
      <c r="C19" s="4">
        <v>22347</v>
      </c>
      <c r="D19" s="4">
        <v>10615</v>
      </c>
      <c r="E19" s="4">
        <v>11732</v>
      </c>
    </row>
    <row r="20" spans="1:5" ht="23.1" customHeight="1" x14ac:dyDescent="0.25">
      <c r="A20" s="4">
        <v>13</v>
      </c>
      <c r="B20" s="4" t="s">
        <v>373</v>
      </c>
      <c r="C20" s="4">
        <v>17746</v>
      </c>
      <c r="D20" s="4">
        <v>8425</v>
      </c>
      <c r="E20" s="4">
        <v>9321</v>
      </c>
    </row>
    <row r="21" spans="1:5" ht="23.1" customHeight="1" x14ac:dyDescent="0.25">
      <c r="A21" s="4">
        <v>14</v>
      </c>
      <c r="B21" s="4" t="s">
        <v>374</v>
      </c>
      <c r="C21" s="4">
        <v>48446</v>
      </c>
      <c r="D21" s="4">
        <v>23005</v>
      </c>
      <c r="E21" s="4">
        <v>25441</v>
      </c>
    </row>
    <row r="22" spans="1:5" ht="23.1" customHeight="1" x14ac:dyDescent="0.25">
      <c r="A22" s="4">
        <v>15</v>
      </c>
      <c r="B22" s="4" t="s">
        <v>375</v>
      </c>
      <c r="C22" s="4">
        <v>5413</v>
      </c>
      <c r="D22" s="4">
        <v>2598</v>
      </c>
      <c r="E22" s="4">
        <v>2815</v>
      </c>
    </row>
    <row r="23" spans="1:5" ht="23.1" customHeight="1" x14ac:dyDescent="0.25">
      <c r="A23" s="4">
        <v>16</v>
      </c>
      <c r="B23" s="4" t="s">
        <v>376</v>
      </c>
      <c r="C23" s="4">
        <v>9154</v>
      </c>
      <c r="D23" s="4">
        <v>4445</v>
      </c>
      <c r="E23" s="4">
        <v>4709</v>
      </c>
    </row>
    <row r="24" spans="1:5" ht="23.1" customHeight="1" x14ac:dyDescent="0.25">
      <c r="A24" s="4">
        <v>17</v>
      </c>
      <c r="B24" s="4" t="s">
        <v>377</v>
      </c>
      <c r="C24" s="4">
        <v>3592</v>
      </c>
      <c r="D24" s="4">
        <v>1867</v>
      </c>
      <c r="E24" s="4">
        <v>1725</v>
      </c>
    </row>
    <row r="25" spans="1:5" ht="23.1" customHeight="1" x14ac:dyDescent="0.25">
      <c r="A25" s="4">
        <v>18</v>
      </c>
      <c r="B25" s="4" t="s">
        <v>378</v>
      </c>
      <c r="C25" s="4">
        <v>16086</v>
      </c>
      <c r="D25" s="4">
        <v>7491</v>
      </c>
      <c r="E25" s="4">
        <v>8595</v>
      </c>
    </row>
    <row r="26" spans="1:5" ht="23.1" customHeight="1" x14ac:dyDescent="0.25">
      <c r="A26" s="10">
        <v>19</v>
      </c>
      <c r="B26" s="10" t="s">
        <v>379</v>
      </c>
      <c r="C26" s="10">
        <v>66531</v>
      </c>
      <c r="D26" s="10">
        <v>29749</v>
      </c>
      <c r="E26" s="10">
        <v>36782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North Okkalapa  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26.140625" customWidth="1"/>
    <col min="3" max="5" width="15.7109375" customWidth="1"/>
  </cols>
  <sheetData>
    <row r="1" spans="1:5" s="2" customFormat="1" ht="25.5" customHeight="1" x14ac:dyDescent="0.4">
      <c r="A1" s="86" t="s">
        <v>1056</v>
      </c>
      <c r="B1" s="86"/>
      <c r="C1" s="86"/>
      <c r="D1" s="86"/>
      <c r="E1" s="86"/>
    </row>
    <row r="2" spans="1:5" s="2" customFormat="1" ht="25.5" customHeight="1" x14ac:dyDescent="0.4">
      <c r="A2" s="1"/>
      <c r="B2" s="1"/>
      <c r="C2" s="1"/>
      <c r="D2" s="1"/>
      <c r="E2" s="54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SUM(C8:C26)</f>
        <v>220556</v>
      </c>
      <c r="D5" s="57">
        <f t="shared" ref="D5:E5" si="0">SUM(D8:D26)</f>
        <v>107290</v>
      </c>
      <c r="E5" s="57">
        <f t="shared" si="0"/>
        <v>113266</v>
      </c>
    </row>
    <row r="6" spans="1:5" s="3" customFormat="1" ht="23.1" customHeight="1" x14ac:dyDescent="0.4">
      <c r="A6" s="5"/>
      <c r="B6" s="9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SUM(C8:C26)</f>
        <v>220556</v>
      </c>
      <c r="D7" s="15">
        <f t="shared" ref="D7:E7" si="1">SUM(D8:D26)</f>
        <v>107290</v>
      </c>
      <c r="E7" s="15">
        <f t="shared" si="1"/>
        <v>113266</v>
      </c>
    </row>
    <row r="8" spans="1:5" ht="23.1" customHeight="1" x14ac:dyDescent="0.25">
      <c r="A8" s="4">
        <v>1</v>
      </c>
      <c r="B8" s="4" t="s">
        <v>380</v>
      </c>
      <c r="C8" s="4">
        <v>5751</v>
      </c>
      <c r="D8" s="4">
        <v>3225</v>
      </c>
      <c r="E8" s="4">
        <v>2526</v>
      </c>
    </row>
    <row r="9" spans="1:5" ht="23.1" customHeight="1" x14ac:dyDescent="0.25">
      <c r="A9" s="4">
        <v>2</v>
      </c>
      <c r="B9" s="4" t="s">
        <v>381</v>
      </c>
      <c r="C9" s="4">
        <v>18176</v>
      </c>
      <c r="D9" s="4">
        <v>8505</v>
      </c>
      <c r="E9" s="4">
        <v>9671</v>
      </c>
    </row>
    <row r="10" spans="1:5" ht="23.1" customHeight="1" x14ac:dyDescent="0.25">
      <c r="A10" s="4">
        <v>3</v>
      </c>
      <c r="B10" s="4" t="s">
        <v>382</v>
      </c>
      <c r="C10" s="4">
        <v>11887</v>
      </c>
      <c r="D10" s="4">
        <v>5461</v>
      </c>
      <c r="E10" s="4">
        <v>6426</v>
      </c>
    </row>
    <row r="11" spans="1:5" ht="23.1" customHeight="1" x14ac:dyDescent="0.25">
      <c r="A11" s="4">
        <v>4</v>
      </c>
      <c r="B11" s="4" t="s">
        <v>383</v>
      </c>
      <c r="C11" s="4">
        <v>7947</v>
      </c>
      <c r="D11" s="4">
        <v>3741</v>
      </c>
      <c r="E11" s="4">
        <v>4206</v>
      </c>
    </row>
    <row r="12" spans="1:5" ht="23.1" customHeight="1" x14ac:dyDescent="0.25">
      <c r="A12" s="4">
        <v>5</v>
      </c>
      <c r="B12" s="4" t="s">
        <v>384</v>
      </c>
      <c r="C12" s="4">
        <v>13399</v>
      </c>
      <c r="D12" s="4">
        <v>6449</v>
      </c>
      <c r="E12" s="4">
        <v>6950</v>
      </c>
    </row>
    <row r="13" spans="1:5" ht="23.1" customHeight="1" x14ac:dyDescent="0.25">
      <c r="A13" s="4">
        <v>6</v>
      </c>
      <c r="B13" s="4" t="s">
        <v>385</v>
      </c>
      <c r="C13" s="4">
        <v>14194</v>
      </c>
      <c r="D13" s="4">
        <v>6695</v>
      </c>
      <c r="E13" s="4">
        <v>7499</v>
      </c>
    </row>
    <row r="14" spans="1:5" ht="23.1" customHeight="1" x14ac:dyDescent="0.25">
      <c r="A14" s="4">
        <v>7</v>
      </c>
      <c r="B14" s="4" t="s">
        <v>386</v>
      </c>
      <c r="C14" s="4">
        <v>10247</v>
      </c>
      <c r="D14" s="4">
        <v>4692</v>
      </c>
      <c r="E14" s="4">
        <v>5555</v>
      </c>
    </row>
    <row r="15" spans="1:5" ht="23.1" customHeight="1" x14ac:dyDescent="0.25">
      <c r="A15" s="4">
        <v>8</v>
      </c>
      <c r="B15" s="4" t="s">
        <v>387</v>
      </c>
      <c r="C15" s="4">
        <v>8056</v>
      </c>
      <c r="D15" s="4">
        <v>3801</v>
      </c>
      <c r="E15" s="4">
        <v>4255</v>
      </c>
    </row>
    <row r="16" spans="1:5" ht="23.1" customHeight="1" x14ac:dyDescent="0.25">
      <c r="A16" s="4">
        <v>9</v>
      </c>
      <c r="B16" s="4" t="s">
        <v>388</v>
      </c>
      <c r="C16" s="4">
        <v>6446</v>
      </c>
      <c r="D16" s="4">
        <v>3001</v>
      </c>
      <c r="E16" s="4">
        <v>3445</v>
      </c>
    </row>
    <row r="17" spans="1:5" ht="23.1" customHeight="1" x14ac:dyDescent="0.25">
      <c r="A17" s="4">
        <v>10</v>
      </c>
      <c r="B17" s="4" t="s">
        <v>242</v>
      </c>
      <c r="C17" s="4">
        <v>7183</v>
      </c>
      <c r="D17" s="4">
        <v>3462</v>
      </c>
      <c r="E17" s="4">
        <v>3721</v>
      </c>
    </row>
    <row r="18" spans="1:5" ht="23.1" customHeight="1" x14ac:dyDescent="0.25">
      <c r="A18" s="4">
        <v>11</v>
      </c>
      <c r="B18" s="4" t="s">
        <v>389</v>
      </c>
      <c r="C18" s="4">
        <v>8020</v>
      </c>
      <c r="D18" s="4">
        <v>3822</v>
      </c>
      <c r="E18" s="4">
        <v>4198</v>
      </c>
    </row>
    <row r="19" spans="1:5" ht="23.1" customHeight="1" x14ac:dyDescent="0.25">
      <c r="A19" s="4">
        <v>12</v>
      </c>
      <c r="B19" s="4" t="s">
        <v>390</v>
      </c>
      <c r="C19" s="4">
        <v>9859</v>
      </c>
      <c r="D19" s="4">
        <v>4758</v>
      </c>
      <c r="E19" s="4">
        <v>5101</v>
      </c>
    </row>
    <row r="20" spans="1:5" ht="23.1" customHeight="1" x14ac:dyDescent="0.25">
      <c r="A20" s="4">
        <v>13</v>
      </c>
      <c r="B20" s="4" t="s">
        <v>391</v>
      </c>
      <c r="C20" s="4">
        <v>13039</v>
      </c>
      <c r="D20" s="4">
        <v>6143</v>
      </c>
      <c r="E20" s="4">
        <v>6896</v>
      </c>
    </row>
    <row r="21" spans="1:5" ht="23.1" customHeight="1" x14ac:dyDescent="0.25">
      <c r="A21" s="4">
        <v>14</v>
      </c>
      <c r="B21" s="4" t="s">
        <v>392</v>
      </c>
      <c r="C21" s="4">
        <v>7056</v>
      </c>
      <c r="D21" s="4">
        <v>3813</v>
      </c>
      <c r="E21" s="4">
        <v>3243</v>
      </c>
    </row>
    <row r="22" spans="1:5" ht="23.1" customHeight="1" x14ac:dyDescent="0.25">
      <c r="A22" s="4">
        <v>15</v>
      </c>
      <c r="B22" s="4" t="s">
        <v>296</v>
      </c>
      <c r="C22" s="4">
        <v>14026</v>
      </c>
      <c r="D22" s="4">
        <v>6681</v>
      </c>
      <c r="E22" s="4">
        <v>7345</v>
      </c>
    </row>
    <row r="23" spans="1:5" ht="23.1" customHeight="1" x14ac:dyDescent="0.25">
      <c r="A23" s="4">
        <v>16</v>
      </c>
      <c r="B23" s="4" t="s">
        <v>297</v>
      </c>
      <c r="C23" s="4">
        <v>10293</v>
      </c>
      <c r="D23" s="4">
        <v>5167</v>
      </c>
      <c r="E23" s="4">
        <v>5126</v>
      </c>
    </row>
    <row r="24" spans="1:5" ht="23.1" customHeight="1" x14ac:dyDescent="0.25">
      <c r="A24" s="4">
        <v>17</v>
      </c>
      <c r="B24" s="4" t="s">
        <v>393</v>
      </c>
      <c r="C24" s="4">
        <v>36384</v>
      </c>
      <c r="D24" s="4">
        <v>18173</v>
      </c>
      <c r="E24" s="4">
        <v>18211</v>
      </c>
    </row>
    <row r="25" spans="1:5" ht="23.1" customHeight="1" x14ac:dyDescent="0.25">
      <c r="A25" s="4">
        <v>18</v>
      </c>
      <c r="B25" s="4" t="s">
        <v>394</v>
      </c>
      <c r="C25" s="4">
        <v>10481</v>
      </c>
      <c r="D25" s="4">
        <v>5144</v>
      </c>
      <c r="E25" s="4">
        <v>5337</v>
      </c>
    </row>
    <row r="26" spans="1:5" ht="23.1" customHeight="1" x14ac:dyDescent="0.25">
      <c r="A26" s="10">
        <v>19</v>
      </c>
      <c r="B26" s="10" t="s">
        <v>395</v>
      </c>
      <c r="C26" s="10">
        <v>8112</v>
      </c>
      <c r="D26" s="10">
        <v>4557</v>
      </c>
      <c r="E26" s="10">
        <v>3555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East District,Thakayta  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25.140625" customWidth="1"/>
    <col min="3" max="5" width="15.7109375" customWidth="1"/>
  </cols>
  <sheetData>
    <row r="1" spans="1:5" s="2" customFormat="1" ht="23.45" customHeight="1" x14ac:dyDescent="0.4">
      <c r="A1" s="86" t="s">
        <v>1057</v>
      </c>
      <c r="B1" s="86"/>
      <c r="C1" s="86"/>
      <c r="D1" s="86"/>
      <c r="E1" s="86"/>
    </row>
    <row r="2" spans="1:5" s="2" customFormat="1" ht="23.45" customHeight="1" x14ac:dyDescent="0.4">
      <c r="A2" s="1"/>
      <c r="B2" s="1"/>
      <c r="C2" s="1"/>
      <c r="D2" s="1"/>
      <c r="E2" s="54" t="s">
        <v>1031</v>
      </c>
    </row>
    <row r="3" spans="1:5" s="2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SUM(C8:C21)</f>
        <v>75325</v>
      </c>
      <c r="D5" s="57">
        <f t="shared" ref="D5:E5" si="0">SUM(D8:D21)</f>
        <v>36745</v>
      </c>
      <c r="E5" s="57">
        <f t="shared" si="0"/>
        <v>38580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SUM(C8:C21)</f>
        <v>75325</v>
      </c>
      <c r="D7" s="15">
        <f t="shared" ref="D7:E7" si="1">SUM(D8:D21)</f>
        <v>36745</v>
      </c>
      <c r="E7" s="15">
        <f t="shared" si="1"/>
        <v>38580</v>
      </c>
    </row>
    <row r="8" spans="1:5" ht="23.1" customHeight="1" x14ac:dyDescent="0.25">
      <c r="A8" s="4">
        <v>1</v>
      </c>
      <c r="B8" s="4" t="s">
        <v>396</v>
      </c>
      <c r="C8" s="4">
        <v>18257</v>
      </c>
      <c r="D8" s="4">
        <v>9153</v>
      </c>
      <c r="E8" s="4">
        <v>9104</v>
      </c>
    </row>
    <row r="9" spans="1:5" ht="23.1" customHeight="1" x14ac:dyDescent="0.25">
      <c r="A9" s="4">
        <v>2</v>
      </c>
      <c r="B9" s="4" t="s">
        <v>397</v>
      </c>
      <c r="C9" s="4">
        <v>5420</v>
      </c>
      <c r="D9" s="4">
        <v>2591</v>
      </c>
      <c r="E9" s="4">
        <v>2829</v>
      </c>
    </row>
    <row r="10" spans="1:5" ht="23.1" customHeight="1" x14ac:dyDescent="0.25">
      <c r="A10" s="4">
        <v>3</v>
      </c>
      <c r="B10" s="4" t="s">
        <v>398</v>
      </c>
      <c r="C10" s="4">
        <v>8621</v>
      </c>
      <c r="D10" s="4">
        <v>4328</v>
      </c>
      <c r="E10" s="4">
        <v>4293</v>
      </c>
    </row>
    <row r="11" spans="1:5" ht="23.1" customHeight="1" x14ac:dyDescent="0.25">
      <c r="A11" s="4">
        <v>4</v>
      </c>
      <c r="B11" s="4" t="s">
        <v>399</v>
      </c>
      <c r="C11" s="4">
        <v>5703</v>
      </c>
      <c r="D11" s="4">
        <v>2761</v>
      </c>
      <c r="E11" s="4">
        <v>2942</v>
      </c>
    </row>
    <row r="12" spans="1:5" ht="23.1" customHeight="1" x14ac:dyDescent="0.25">
      <c r="A12" s="4">
        <v>5</v>
      </c>
      <c r="B12" s="4" t="s">
        <v>400</v>
      </c>
      <c r="C12" s="4">
        <v>3022</v>
      </c>
      <c r="D12" s="4">
        <v>1488</v>
      </c>
      <c r="E12" s="4">
        <v>1534</v>
      </c>
    </row>
    <row r="13" spans="1:5" ht="23.1" customHeight="1" x14ac:dyDescent="0.25">
      <c r="A13" s="4">
        <v>6</v>
      </c>
      <c r="B13" s="4" t="s">
        <v>401</v>
      </c>
      <c r="C13" s="4">
        <v>2660</v>
      </c>
      <c r="D13" s="4">
        <v>1276</v>
      </c>
      <c r="E13" s="4">
        <v>1384</v>
      </c>
    </row>
    <row r="14" spans="1:5" ht="23.1" customHeight="1" x14ac:dyDescent="0.25">
      <c r="A14" s="4">
        <v>7</v>
      </c>
      <c r="B14" s="4" t="s">
        <v>402</v>
      </c>
      <c r="C14" s="4">
        <v>2099</v>
      </c>
      <c r="D14" s="4">
        <v>979</v>
      </c>
      <c r="E14" s="4">
        <v>1120</v>
      </c>
    </row>
    <row r="15" spans="1:5" ht="23.1" customHeight="1" x14ac:dyDescent="0.25">
      <c r="A15" s="4">
        <v>8</v>
      </c>
      <c r="B15" s="4" t="s">
        <v>403</v>
      </c>
      <c r="C15" s="4">
        <v>2913</v>
      </c>
      <c r="D15" s="4">
        <v>1437</v>
      </c>
      <c r="E15" s="4">
        <v>1476</v>
      </c>
    </row>
    <row r="16" spans="1:5" ht="23.1" customHeight="1" x14ac:dyDescent="0.25">
      <c r="A16" s="4">
        <v>9</v>
      </c>
      <c r="B16" s="4" t="s">
        <v>404</v>
      </c>
      <c r="C16" s="4">
        <v>1548</v>
      </c>
      <c r="D16" s="4">
        <v>727</v>
      </c>
      <c r="E16" s="4">
        <v>821</v>
      </c>
    </row>
    <row r="17" spans="1:5" ht="23.1" customHeight="1" x14ac:dyDescent="0.25">
      <c r="A17" s="4">
        <v>10</v>
      </c>
      <c r="B17" s="4" t="s">
        <v>405</v>
      </c>
      <c r="C17" s="4">
        <v>1609</v>
      </c>
      <c r="D17" s="4">
        <v>786</v>
      </c>
      <c r="E17" s="4">
        <v>823</v>
      </c>
    </row>
    <row r="18" spans="1:5" ht="23.1" customHeight="1" x14ac:dyDescent="0.25">
      <c r="A18" s="4">
        <v>11</v>
      </c>
      <c r="B18" s="4" t="s">
        <v>406</v>
      </c>
      <c r="C18" s="4">
        <v>7689</v>
      </c>
      <c r="D18" s="4">
        <v>3634</v>
      </c>
      <c r="E18" s="4">
        <v>4055</v>
      </c>
    </row>
    <row r="19" spans="1:5" ht="23.1" customHeight="1" x14ac:dyDescent="0.25">
      <c r="A19" s="4">
        <v>12</v>
      </c>
      <c r="B19" s="4" t="s">
        <v>407</v>
      </c>
      <c r="C19" s="4">
        <v>5186</v>
      </c>
      <c r="D19" s="4">
        <v>2474</v>
      </c>
      <c r="E19" s="4">
        <v>2712</v>
      </c>
    </row>
    <row r="20" spans="1:5" ht="23.1" customHeight="1" x14ac:dyDescent="0.25">
      <c r="A20" s="4">
        <v>13</v>
      </c>
      <c r="B20" s="4" t="s">
        <v>408</v>
      </c>
      <c r="C20" s="4">
        <v>3693</v>
      </c>
      <c r="D20" s="4">
        <v>1728</v>
      </c>
      <c r="E20" s="4">
        <v>1965</v>
      </c>
    </row>
    <row r="21" spans="1:5" ht="23.1" customHeight="1" x14ac:dyDescent="0.25">
      <c r="A21" s="10">
        <v>14</v>
      </c>
      <c r="B21" s="10" t="s">
        <v>409</v>
      </c>
      <c r="C21" s="10">
        <v>6905</v>
      </c>
      <c r="D21" s="10">
        <v>3383</v>
      </c>
      <c r="E21" s="10">
        <v>3522</v>
      </c>
    </row>
    <row r="22" spans="1:5" ht="23.45" customHeight="1" x14ac:dyDescent="0.25"/>
    <row r="23" spans="1:5" ht="23.45" customHeight="1" x14ac:dyDescent="0.25"/>
    <row r="24" spans="1:5" ht="23.45" customHeight="1" x14ac:dyDescent="0.25"/>
    <row r="25" spans="1:5" ht="23.45" customHeight="1" x14ac:dyDescent="0.25"/>
    <row r="26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East District,Dawbon  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115" zoomScaleNormal="115" workbookViewId="0">
      <selection sqref="A1:E1"/>
    </sheetView>
  </sheetViews>
  <sheetFormatPr defaultColWidth="9.140625" defaultRowHeight="21" x14ac:dyDescent="0.35"/>
  <cols>
    <col min="1" max="1" width="6.28515625" style="7" customWidth="1"/>
    <col min="2" max="2" width="36.5703125" style="7" customWidth="1"/>
    <col min="3" max="5" width="13.7109375" style="7" customWidth="1"/>
    <col min="6" max="16384" width="9.140625" style="7"/>
  </cols>
  <sheetData>
    <row r="1" spans="1:5" s="6" customFormat="1" ht="25.5" customHeight="1" x14ac:dyDescent="0.4">
      <c r="A1" s="86" t="s">
        <v>1058</v>
      </c>
      <c r="B1" s="86"/>
      <c r="C1" s="86"/>
      <c r="D1" s="86"/>
      <c r="E1" s="86"/>
    </row>
    <row r="2" spans="1:5" s="6" customFormat="1" ht="25.5" customHeight="1" x14ac:dyDescent="0.4">
      <c r="A2" s="1"/>
      <c r="B2" s="1"/>
      <c r="D2" s="22"/>
      <c r="E2" s="47" t="s">
        <v>1031</v>
      </c>
    </row>
    <row r="3" spans="1:5" s="6" customFormat="1" ht="21.75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SUM(C8:C27)</f>
        <v>165313</v>
      </c>
      <c r="D5" s="57">
        <f t="shared" ref="D5:E5" si="0">SUM(D8:D27)</f>
        <v>74662</v>
      </c>
      <c r="E5" s="57">
        <f t="shared" si="0"/>
        <v>90651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35">
      <c r="A7" s="8"/>
      <c r="B7" s="15" t="s">
        <v>1028</v>
      </c>
      <c r="C7" s="15">
        <f>SUM(C8:C27)</f>
        <v>165313</v>
      </c>
      <c r="D7" s="15">
        <f t="shared" ref="D7:E7" si="1">SUM(D8:D27)</f>
        <v>74662</v>
      </c>
      <c r="E7" s="15">
        <f t="shared" si="1"/>
        <v>90651</v>
      </c>
    </row>
    <row r="8" spans="1:5" ht="23.1" customHeight="1" x14ac:dyDescent="0.35">
      <c r="A8" s="4">
        <v>1</v>
      </c>
      <c r="B8" s="4" t="s">
        <v>410</v>
      </c>
      <c r="C8" s="4">
        <v>12977</v>
      </c>
      <c r="D8" s="4">
        <v>5949</v>
      </c>
      <c r="E8" s="4">
        <v>7028</v>
      </c>
    </row>
    <row r="9" spans="1:5" ht="23.1" customHeight="1" x14ac:dyDescent="0.35">
      <c r="A9" s="4">
        <v>2</v>
      </c>
      <c r="B9" s="4" t="s">
        <v>411</v>
      </c>
      <c r="C9" s="4">
        <v>4164</v>
      </c>
      <c r="D9" s="4">
        <v>2004</v>
      </c>
      <c r="E9" s="4">
        <v>2160</v>
      </c>
    </row>
    <row r="10" spans="1:5" ht="23.1" customHeight="1" x14ac:dyDescent="0.35">
      <c r="A10" s="4">
        <v>3</v>
      </c>
      <c r="B10" s="4" t="s">
        <v>412</v>
      </c>
      <c r="C10" s="4">
        <v>8504</v>
      </c>
      <c r="D10" s="4">
        <v>3831</v>
      </c>
      <c r="E10" s="4">
        <v>4673</v>
      </c>
    </row>
    <row r="11" spans="1:5" ht="23.1" customHeight="1" x14ac:dyDescent="0.35">
      <c r="A11" s="4">
        <v>4</v>
      </c>
      <c r="B11" s="4" t="s">
        <v>413</v>
      </c>
      <c r="C11" s="4">
        <v>2861</v>
      </c>
      <c r="D11" s="4">
        <v>1238</v>
      </c>
      <c r="E11" s="4">
        <v>1623</v>
      </c>
    </row>
    <row r="12" spans="1:5" ht="23.1" customHeight="1" x14ac:dyDescent="0.35">
      <c r="A12" s="4">
        <v>5</v>
      </c>
      <c r="B12" s="4" t="s">
        <v>414</v>
      </c>
      <c r="C12" s="4">
        <v>3818</v>
      </c>
      <c r="D12" s="4">
        <v>1946</v>
      </c>
      <c r="E12" s="4">
        <v>1872</v>
      </c>
    </row>
    <row r="13" spans="1:5" ht="23.1" customHeight="1" x14ac:dyDescent="0.35">
      <c r="A13" s="4">
        <v>6</v>
      </c>
      <c r="B13" s="4" t="s">
        <v>415</v>
      </c>
      <c r="C13" s="4">
        <v>4970</v>
      </c>
      <c r="D13" s="4">
        <v>2345</v>
      </c>
      <c r="E13" s="4">
        <v>2625</v>
      </c>
    </row>
    <row r="14" spans="1:5" ht="23.1" customHeight="1" x14ac:dyDescent="0.35">
      <c r="A14" s="4">
        <v>7</v>
      </c>
      <c r="B14" s="4" t="s">
        <v>416</v>
      </c>
      <c r="C14" s="4">
        <v>13051</v>
      </c>
      <c r="D14" s="4">
        <v>5545</v>
      </c>
      <c r="E14" s="4">
        <v>7506</v>
      </c>
    </row>
    <row r="15" spans="1:5" ht="23.1" customHeight="1" x14ac:dyDescent="0.35">
      <c r="A15" s="4">
        <v>8</v>
      </c>
      <c r="B15" s="4" t="s">
        <v>417</v>
      </c>
      <c r="C15" s="4">
        <v>4239</v>
      </c>
      <c r="D15" s="4">
        <v>1775</v>
      </c>
      <c r="E15" s="4">
        <v>2464</v>
      </c>
    </row>
    <row r="16" spans="1:5" ht="23.1" customHeight="1" x14ac:dyDescent="0.35">
      <c r="A16" s="4">
        <v>9</v>
      </c>
      <c r="B16" s="4" t="s">
        <v>418</v>
      </c>
      <c r="C16" s="4">
        <v>6350</v>
      </c>
      <c r="D16" s="4">
        <v>2700</v>
      </c>
      <c r="E16" s="4">
        <v>3650</v>
      </c>
    </row>
    <row r="17" spans="1:5" ht="23.1" customHeight="1" x14ac:dyDescent="0.35">
      <c r="A17" s="4">
        <v>10</v>
      </c>
      <c r="B17" s="4" t="s">
        <v>419</v>
      </c>
      <c r="C17" s="4">
        <v>9264</v>
      </c>
      <c r="D17" s="4">
        <v>3993</v>
      </c>
      <c r="E17" s="4">
        <v>5271</v>
      </c>
    </row>
    <row r="18" spans="1:5" ht="23.1" customHeight="1" x14ac:dyDescent="0.35">
      <c r="A18" s="4">
        <v>11</v>
      </c>
      <c r="B18" s="4" t="s">
        <v>420</v>
      </c>
      <c r="C18" s="4">
        <v>10016</v>
      </c>
      <c r="D18" s="4">
        <v>4285</v>
      </c>
      <c r="E18" s="4">
        <v>5731</v>
      </c>
    </row>
    <row r="19" spans="1:5" ht="23.1" customHeight="1" x14ac:dyDescent="0.35">
      <c r="A19" s="4">
        <v>12</v>
      </c>
      <c r="B19" s="4" t="s">
        <v>421</v>
      </c>
      <c r="C19" s="4">
        <v>4552</v>
      </c>
      <c r="D19" s="4">
        <v>2030</v>
      </c>
      <c r="E19" s="4">
        <v>2522</v>
      </c>
    </row>
    <row r="20" spans="1:5" ht="23.1" customHeight="1" x14ac:dyDescent="0.35">
      <c r="A20" s="4">
        <v>13</v>
      </c>
      <c r="B20" s="4" t="s">
        <v>422</v>
      </c>
      <c r="C20" s="4">
        <v>6866</v>
      </c>
      <c r="D20" s="4">
        <v>2868</v>
      </c>
      <c r="E20" s="4">
        <v>3998</v>
      </c>
    </row>
    <row r="21" spans="1:5" ht="23.1" customHeight="1" x14ac:dyDescent="0.35">
      <c r="A21" s="4">
        <v>14</v>
      </c>
      <c r="B21" s="4" t="s">
        <v>423</v>
      </c>
      <c r="C21" s="4">
        <v>10018</v>
      </c>
      <c r="D21" s="4">
        <v>4512</v>
      </c>
      <c r="E21" s="4">
        <v>5506</v>
      </c>
    </row>
    <row r="22" spans="1:5" ht="23.1" customHeight="1" x14ac:dyDescent="0.35">
      <c r="A22" s="4">
        <v>15</v>
      </c>
      <c r="B22" s="4" t="s">
        <v>424</v>
      </c>
      <c r="C22" s="4">
        <v>5166</v>
      </c>
      <c r="D22" s="4">
        <v>2527</v>
      </c>
      <c r="E22" s="4">
        <v>2639</v>
      </c>
    </row>
    <row r="23" spans="1:5" ht="23.1" customHeight="1" x14ac:dyDescent="0.35">
      <c r="A23" s="4">
        <v>16</v>
      </c>
      <c r="B23" s="4" t="s">
        <v>425</v>
      </c>
      <c r="C23" s="4">
        <v>14123</v>
      </c>
      <c r="D23" s="4">
        <v>6331</v>
      </c>
      <c r="E23" s="4">
        <v>7792</v>
      </c>
    </row>
    <row r="24" spans="1:5" ht="23.1" customHeight="1" x14ac:dyDescent="0.35">
      <c r="A24" s="4">
        <v>17</v>
      </c>
      <c r="B24" s="4" t="s">
        <v>426</v>
      </c>
      <c r="C24" s="4">
        <v>15941</v>
      </c>
      <c r="D24" s="4">
        <v>7323</v>
      </c>
      <c r="E24" s="4">
        <v>8618</v>
      </c>
    </row>
    <row r="25" spans="1:5" ht="23.1" customHeight="1" x14ac:dyDescent="0.35">
      <c r="A25" s="4">
        <v>18</v>
      </c>
      <c r="B25" s="4" t="s">
        <v>427</v>
      </c>
      <c r="C25" s="4">
        <v>21508</v>
      </c>
      <c r="D25" s="4">
        <v>9992</v>
      </c>
      <c r="E25" s="4">
        <v>11516</v>
      </c>
    </row>
    <row r="26" spans="1:5" ht="23.1" customHeight="1" x14ac:dyDescent="0.35">
      <c r="A26" s="4">
        <v>19</v>
      </c>
      <c r="B26" s="4" t="s">
        <v>428</v>
      </c>
      <c r="C26" s="4">
        <v>4612</v>
      </c>
      <c r="D26" s="4">
        <v>2398</v>
      </c>
      <c r="E26" s="4">
        <v>2214</v>
      </c>
    </row>
    <row r="27" spans="1:5" ht="23.1" customHeight="1" x14ac:dyDescent="0.35">
      <c r="A27" s="10">
        <v>20</v>
      </c>
      <c r="B27" s="10" t="s">
        <v>429</v>
      </c>
      <c r="C27" s="10">
        <v>2313</v>
      </c>
      <c r="D27" s="10">
        <v>1070</v>
      </c>
      <c r="E27" s="10">
        <v>1243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Tamwe  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A2" sqref="A2"/>
    </sheetView>
  </sheetViews>
  <sheetFormatPr defaultRowHeight="15" x14ac:dyDescent="0.25"/>
  <cols>
    <col min="1" max="1" width="6.42578125" customWidth="1"/>
    <col min="2" max="2" width="24.140625" customWidth="1"/>
    <col min="3" max="5" width="15.7109375" customWidth="1"/>
  </cols>
  <sheetData>
    <row r="1" spans="1:5" s="2" customFormat="1" ht="25.5" customHeight="1" x14ac:dyDescent="0.4">
      <c r="A1" s="86" t="s">
        <v>1059</v>
      </c>
      <c r="B1" s="86"/>
      <c r="C1" s="86"/>
      <c r="D1" s="86"/>
      <c r="E1" s="86"/>
    </row>
    <row r="2" spans="1:5" s="2" customFormat="1" ht="25.5" customHeight="1" x14ac:dyDescent="0.4">
      <c r="E2" s="47" t="s">
        <v>1031</v>
      </c>
    </row>
    <row r="3" spans="1:5" s="2" customFormat="1" ht="21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f>SUM(C8:C17)</f>
        <v>48455</v>
      </c>
      <c r="D5" s="57">
        <f t="shared" ref="D5:E5" si="0">SUM(D8:D17)</f>
        <v>22131</v>
      </c>
      <c r="E5" s="57">
        <f t="shared" si="0"/>
        <v>26324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SUM(C8:C17)</f>
        <v>48455</v>
      </c>
      <c r="D7" s="15">
        <f t="shared" ref="D7:E7" si="1">SUM(D8:D17)</f>
        <v>22131</v>
      </c>
      <c r="E7" s="15">
        <f t="shared" si="1"/>
        <v>26324</v>
      </c>
    </row>
    <row r="8" spans="1:5" ht="23.1" customHeight="1" x14ac:dyDescent="0.25">
      <c r="A8" s="4">
        <v>1</v>
      </c>
      <c r="B8" s="4" t="s">
        <v>56</v>
      </c>
      <c r="C8" s="4">
        <v>5986</v>
      </c>
      <c r="D8" s="4">
        <v>2597</v>
      </c>
      <c r="E8" s="4">
        <v>3389</v>
      </c>
    </row>
    <row r="9" spans="1:5" ht="23.1" customHeight="1" x14ac:dyDescent="0.25">
      <c r="A9" s="4">
        <v>2</v>
      </c>
      <c r="B9" s="4" t="s">
        <v>57</v>
      </c>
      <c r="C9" s="4">
        <v>13172</v>
      </c>
      <c r="D9" s="4">
        <v>6305</v>
      </c>
      <c r="E9" s="4">
        <v>6867</v>
      </c>
    </row>
    <row r="10" spans="1:5" ht="23.1" customHeight="1" x14ac:dyDescent="0.25">
      <c r="A10" s="4">
        <v>3</v>
      </c>
      <c r="B10" s="4" t="s">
        <v>430</v>
      </c>
      <c r="C10" s="4">
        <v>3738</v>
      </c>
      <c r="D10" s="4">
        <v>1728</v>
      </c>
      <c r="E10" s="4">
        <v>2010</v>
      </c>
    </row>
    <row r="11" spans="1:5" ht="23.1" customHeight="1" x14ac:dyDescent="0.25">
      <c r="A11" s="4">
        <v>4</v>
      </c>
      <c r="B11" s="4" t="s">
        <v>59</v>
      </c>
      <c r="C11" s="4">
        <v>1140</v>
      </c>
      <c r="D11" s="4">
        <v>675</v>
      </c>
      <c r="E11" s="4">
        <v>465</v>
      </c>
    </row>
    <row r="12" spans="1:5" ht="23.1" customHeight="1" x14ac:dyDescent="0.25">
      <c r="A12" s="4">
        <v>5</v>
      </c>
      <c r="B12" s="4" t="s">
        <v>242</v>
      </c>
      <c r="C12" s="4">
        <v>2989</v>
      </c>
      <c r="D12" s="4">
        <v>1411</v>
      </c>
      <c r="E12" s="4">
        <v>1578</v>
      </c>
    </row>
    <row r="13" spans="1:5" ht="23.1" customHeight="1" x14ac:dyDescent="0.25">
      <c r="A13" s="4">
        <v>6</v>
      </c>
      <c r="B13" s="4" t="s">
        <v>294</v>
      </c>
      <c r="C13" s="4">
        <v>1492</v>
      </c>
      <c r="D13" s="4">
        <v>674</v>
      </c>
      <c r="E13" s="4">
        <v>818</v>
      </c>
    </row>
    <row r="14" spans="1:5" ht="23.1" customHeight="1" x14ac:dyDescent="0.25">
      <c r="A14" s="4">
        <v>7</v>
      </c>
      <c r="B14" s="4" t="s">
        <v>295</v>
      </c>
      <c r="C14" s="4">
        <v>7277</v>
      </c>
      <c r="D14" s="4">
        <v>3201</v>
      </c>
      <c r="E14" s="4">
        <v>4076</v>
      </c>
    </row>
    <row r="15" spans="1:5" ht="23.1" customHeight="1" x14ac:dyDescent="0.25">
      <c r="A15" s="4">
        <v>8</v>
      </c>
      <c r="B15" s="4" t="s">
        <v>296</v>
      </c>
      <c r="C15" s="4">
        <v>3568</v>
      </c>
      <c r="D15" s="4">
        <v>1460</v>
      </c>
      <c r="E15" s="4">
        <v>2108</v>
      </c>
    </row>
    <row r="16" spans="1:5" ht="23.1" customHeight="1" x14ac:dyDescent="0.25">
      <c r="A16" s="4">
        <v>9</v>
      </c>
      <c r="B16" s="4" t="s">
        <v>297</v>
      </c>
      <c r="C16" s="4">
        <v>4800</v>
      </c>
      <c r="D16" s="4">
        <v>2022</v>
      </c>
      <c r="E16" s="4">
        <v>2778</v>
      </c>
    </row>
    <row r="17" spans="1:5" ht="23.1" customHeight="1" x14ac:dyDescent="0.25">
      <c r="A17" s="10">
        <v>10</v>
      </c>
      <c r="B17" s="10" t="s">
        <v>298</v>
      </c>
      <c r="C17" s="10">
        <v>4293</v>
      </c>
      <c r="D17" s="10">
        <v>2058</v>
      </c>
      <c r="E17" s="10">
        <v>2235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Pazuntaung  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20.140625" customWidth="1"/>
    <col min="3" max="5" width="15.7109375" customWidth="1"/>
  </cols>
  <sheetData>
    <row r="1" spans="1:5" s="2" customFormat="1" ht="25.5" customHeight="1" x14ac:dyDescent="0.4">
      <c r="A1" s="86" t="s">
        <v>1060</v>
      </c>
      <c r="B1" s="86"/>
      <c r="C1" s="86"/>
      <c r="D1" s="86"/>
      <c r="E1" s="86"/>
    </row>
    <row r="2" spans="1:5" s="2" customFormat="1" ht="25.5" customHeight="1" x14ac:dyDescent="0.4">
      <c r="E2" s="47" t="s">
        <v>1031</v>
      </c>
    </row>
    <row r="3" spans="1:5" s="2" customFormat="1" ht="21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63" t="s">
        <v>0</v>
      </c>
      <c r="C5" s="62">
        <f>SUM(C8:C17)</f>
        <v>40995</v>
      </c>
      <c r="D5" s="62">
        <f t="shared" ref="D5:E5" si="0">SUM(D8:D17)</f>
        <v>19416</v>
      </c>
      <c r="E5" s="62">
        <f t="shared" si="0"/>
        <v>21579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24" t="s">
        <v>1028</v>
      </c>
      <c r="C7" s="39">
        <f>SUM(C8:C17)</f>
        <v>40995</v>
      </c>
      <c r="D7" s="39">
        <f t="shared" ref="D7:E7" si="1">SUM(D8:D17)</f>
        <v>19416</v>
      </c>
      <c r="E7" s="39">
        <f t="shared" si="1"/>
        <v>21579</v>
      </c>
    </row>
    <row r="8" spans="1:5" ht="23.1" customHeight="1" x14ac:dyDescent="0.25">
      <c r="A8" s="4">
        <v>1</v>
      </c>
      <c r="B8" s="4" t="s">
        <v>56</v>
      </c>
      <c r="C8" s="4">
        <v>1393</v>
      </c>
      <c r="D8" s="4">
        <v>644</v>
      </c>
      <c r="E8" s="4">
        <v>749</v>
      </c>
    </row>
    <row r="9" spans="1:5" ht="23.1" customHeight="1" x14ac:dyDescent="0.25">
      <c r="A9" s="4">
        <v>2</v>
      </c>
      <c r="B9" s="4" t="s">
        <v>57</v>
      </c>
      <c r="C9" s="4">
        <v>6727</v>
      </c>
      <c r="D9" s="4">
        <v>3591</v>
      </c>
      <c r="E9" s="4">
        <v>3136</v>
      </c>
    </row>
    <row r="10" spans="1:5" ht="23.1" customHeight="1" x14ac:dyDescent="0.25">
      <c r="A10" s="4">
        <v>3</v>
      </c>
      <c r="B10" s="4" t="s">
        <v>58</v>
      </c>
      <c r="C10" s="4">
        <v>3481</v>
      </c>
      <c r="D10" s="4">
        <v>1666</v>
      </c>
      <c r="E10" s="4">
        <v>1815</v>
      </c>
    </row>
    <row r="11" spans="1:5" ht="23.1" customHeight="1" x14ac:dyDescent="0.25">
      <c r="A11" s="4">
        <v>4</v>
      </c>
      <c r="B11" s="4" t="s">
        <v>59</v>
      </c>
      <c r="C11" s="4">
        <v>4593</v>
      </c>
      <c r="D11" s="4">
        <v>2090</v>
      </c>
      <c r="E11" s="4">
        <v>2503</v>
      </c>
    </row>
    <row r="12" spans="1:5" ht="23.1" customHeight="1" x14ac:dyDescent="0.25">
      <c r="A12" s="4">
        <v>5</v>
      </c>
      <c r="B12" s="4" t="s">
        <v>242</v>
      </c>
      <c r="C12" s="4">
        <v>3066</v>
      </c>
      <c r="D12" s="4">
        <v>1350</v>
      </c>
      <c r="E12" s="4">
        <v>1716</v>
      </c>
    </row>
    <row r="13" spans="1:5" ht="23.1" customHeight="1" x14ac:dyDescent="0.25">
      <c r="A13" s="4">
        <v>6</v>
      </c>
      <c r="B13" s="4" t="s">
        <v>294</v>
      </c>
      <c r="C13" s="4">
        <v>4127</v>
      </c>
      <c r="D13" s="4">
        <v>1910</v>
      </c>
      <c r="E13" s="4">
        <v>2217</v>
      </c>
    </row>
    <row r="14" spans="1:5" ht="23.1" customHeight="1" x14ac:dyDescent="0.25">
      <c r="A14" s="4">
        <v>7</v>
      </c>
      <c r="B14" s="4" t="s">
        <v>295</v>
      </c>
      <c r="C14" s="4">
        <v>3431</v>
      </c>
      <c r="D14" s="4">
        <v>1634</v>
      </c>
      <c r="E14" s="4">
        <v>1797</v>
      </c>
    </row>
    <row r="15" spans="1:5" ht="23.1" customHeight="1" x14ac:dyDescent="0.25">
      <c r="A15" s="4">
        <v>8</v>
      </c>
      <c r="B15" s="4" t="s">
        <v>296</v>
      </c>
      <c r="C15" s="4">
        <v>3949</v>
      </c>
      <c r="D15" s="4">
        <v>1701</v>
      </c>
      <c r="E15" s="4">
        <v>2248</v>
      </c>
    </row>
    <row r="16" spans="1:5" ht="23.1" customHeight="1" x14ac:dyDescent="0.25">
      <c r="A16" s="4">
        <v>9</v>
      </c>
      <c r="B16" s="4" t="s">
        <v>297</v>
      </c>
      <c r="C16" s="4">
        <v>2866</v>
      </c>
      <c r="D16" s="4">
        <v>1327</v>
      </c>
      <c r="E16" s="4">
        <v>1539</v>
      </c>
    </row>
    <row r="17" spans="1:5" ht="23.1" customHeight="1" x14ac:dyDescent="0.25">
      <c r="A17" s="10">
        <v>10</v>
      </c>
      <c r="B17" s="10" t="s">
        <v>298</v>
      </c>
      <c r="C17" s="10">
        <v>7362</v>
      </c>
      <c r="D17" s="10">
        <v>3503</v>
      </c>
      <c r="E17" s="10">
        <v>3859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Botahtaung  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sqref="A1:E1"/>
    </sheetView>
  </sheetViews>
  <sheetFormatPr defaultRowHeight="15" x14ac:dyDescent="0.25"/>
  <cols>
    <col min="1" max="1" width="5.28515625" customWidth="1"/>
    <col min="2" max="2" width="41.7109375" customWidth="1"/>
    <col min="3" max="5" width="13.7109375" customWidth="1"/>
  </cols>
  <sheetData>
    <row r="1" spans="1:5" s="2" customFormat="1" ht="25.5" customHeight="1" x14ac:dyDescent="0.4">
      <c r="A1" s="86" t="s">
        <v>1061</v>
      </c>
      <c r="B1" s="86"/>
      <c r="C1" s="86"/>
      <c r="D1" s="86"/>
      <c r="E1" s="86"/>
    </row>
    <row r="2" spans="1:5" s="2" customFormat="1" ht="25.5" customHeight="1" x14ac:dyDescent="0.4">
      <c r="E2" s="47" t="s">
        <v>1031</v>
      </c>
    </row>
    <row r="3" spans="1:5" s="2" customFormat="1" ht="2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15.75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63" t="s">
        <v>0</v>
      </c>
      <c r="C5" s="63">
        <f>SUM(C8:C39)</f>
        <v>371646</v>
      </c>
      <c r="D5" s="63">
        <f t="shared" ref="D5:E5" si="0">SUM(D8:D39)</f>
        <v>181140</v>
      </c>
      <c r="E5" s="63">
        <f t="shared" si="0"/>
        <v>190506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25" t="s">
        <v>1028</v>
      </c>
      <c r="C7" s="25">
        <f>SUM(C8:C39)</f>
        <v>371646</v>
      </c>
      <c r="D7" s="25">
        <f t="shared" ref="D7:E7" si="1">SUM(D8:D39)</f>
        <v>181140</v>
      </c>
      <c r="E7" s="25">
        <f t="shared" si="1"/>
        <v>190506</v>
      </c>
    </row>
    <row r="8" spans="1:5" ht="23.1" customHeight="1" x14ac:dyDescent="0.25">
      <c r="A8" s="4">
        <v>1</v>
      </c>
      <c r="B8" s="4" t="s">
        <v>431</v>
      </c>
      <c r="C8" s="4">
        <v>13668</v>
      </c>
      <c r="D8" s="4">
        <v>6890</v>
      </c>
      <c r="E8" s="4">
        <v>6778</v>
      </c>
    </row>
    <row r="9" spans="1:5" ht="23.1" customHeight="1" x14ac:dyDescent="0.25">
      <c r="A9" s="4">
        <v>2</v>
      </c>
      <c r="B9" s="4" t="s">
        <v>306</v>
      </c>
      <c r="C9" s="4">
        <v>18440</v>
      </c>
      <c r="D9" s="4">
        <v>8722</v>
      </c>
      <c r="E9" s="4">
        <v>9718</v>
      </c>
    </row>
    <row r="10" spans="1:5" ht="23.1" customHeight="1" x14ac:dyDescent="0.25">
      <c r="A10" s="4">
        <v>3</v>
      </c>
      <c r="B10" s="4" t="s">
        <v>307</v>
      </c>
      <c r="C10" s="4">
        <v>16777</v>
      </c>
      <c r="D10" s="4">
        <v>7820</v>
      </c>
      <c r="E10" s="4">
        <v>8957</v>
      </c>
    </row>
    <row r="11" spans="1:5" ht="23.1" customHeight="1" x14ac:dyDescent="0.25">
      <c r="A11" s="4">
        <v>4</v>
      </c>
      <c r="B11" s="4" t="s">
        <v>308</v>
      </c>
      <c r="C11" s="4">
        <v>17026</v>
      </c>
      <c r="D11" s="4">
        <v>8323</v>
      </c>
      <c r="E11" s="4">
        <v>8703</v>
      </c>
    </row>
    <row r="12" spans="1:5" ht="23.1" customHeight="1" x14ac:dyDescent="0.25">
      <c r="A12" s="4">
        <v>5</v>
      </c>
      <c r="B12" s="4" t="s">
        <v>309</v>
      </c>
      <c r="C12" s="4">
        <v>15872</v>
      </c>
      <c r="D12" s="4">
        <v>7775</v>
      </c>
      <c r="E12" s="4">
        <v>8097</v>
      </c>
    </row>
    <row r="13" spans="1:5" ht="23.1" customHeight="1" x14ac:dyDescent="0.25">
      <c r="A13" s="4">
        <v>6</v>
      </c>
      <c r="B13" s="4" t="s">
        <v>310</v>
      </c>
      <c r="C13" s="4">
        <v>17968</v>
      </c>
      <c r="D13" s="4">
        <v>8809</v>
      </c>
      <c r="E13" s="4">
        <v>9159</v>
      </c>
    </row>
    <row r="14" spans="1:5" ht="23.1" customHeight="1" x14ac:dyDescent="0.25">
      <c r="A14" s="4">
        <v>7</v>
      </c>
      <c r="B14" s="4" t="s">
        <v>311</v>
      </c>
      <c r="C14" s="4">
        <v>10882</v>
      </c>
      <c r="D14" s="4">
        <v>5733</v>
      </c>
      <c r="E14" s="4">
        <v>5149</v>
      </c>
    </row>
    <row r="15" spans="1:5" ht="23.1" customHeight="1" x14ac:dyDescent="0.25">
      <c r="A15" s="4">
        <v>8</v>
      </c>
      <c r="B15" s="4" t="s">
        <v>432</v>
      </c>
      <c r="C15" s="4">
        <v>9211</v>
      </c>
      <c r="D15" s="4">
        <v>4379</v>
      </c>
      <c r="E15" s="4">
        <v>4832</v>
      </c>
    </row>
    <row r="16" spans="1:5" ht="23.1" customHeight="1" x14ac:dyDescent="0.25">
      <c r="A16" s="4">
        <v>9</v>
      </c>
      <c r="B16" s="4" t="s">
        <v>433</v>
      </c>
      <c r="C16" s="4">
        <v>7765</v>
      </c>
      <c r="D16" s="4">
        <v>3643</v>
      </c>
      <c r="E16" s="4">
        <v>4122</v>
      </c>
    </row>
    <row r="17" spans="1:5" ht="23.1" customHeight="1" x14ac:dyDescent="0.25">
      <c r="A17" s="4">
        <v>10</v>
      </c>
      <c r="B17" s="4" t="s">
        <v>434</v>
      </c>
      <c r="C17" s="4">
        <v>13058</v>
      </c>
      <c r="D17" s="4">
        <v>6443</v>
      </c>
      <c r="E17" s="4">
        <v>6615</v>
      </c>
    </row>
    <row r="18" spans="1:5" ht="23.1" customHeight="1" x14ac:dyDescent="0.25">
      <c r="A18" s="4">
        <v>11</v>
      </c>
      <c r="B18" s="4" t="s">
        <v>435</v>
      </c>
      <c r="C18" s="4">
        <v>12281</v>
      </c>
      <c r="D18" s="4">
        <v>5765</v>
      </c>
      <c r="E18" s="4">
        <v>6516</v>
      </c>
    </row>
    <row r="19" spans="1:5" ht="23.1" customHeight="1" x14ac:dyDescent="0.25">
      <c r="A19" s="4">
        <v>12</v>
      </c>
      <c r="B19" s="4" t="s">
        <v>436</v>
      </c>
      <c r="C19" s="4">
        <v>16240</v>
      </c>
      <c r="D19" s="4">
        <v>7919</v>
      </c>
      <c r="E19" s="4">
        <v>8321</v>
      </c>
    </row>
    <row r="20" spans="1:5" ht="23.1" customHeight="1" x14ac:dyDescent="0.25">
      <c r="A20" s="4">
        <v>13</v>
      </c>
      <c r="B20" s="4" t="s">
        <v>437</v>
      </c>
      <c r="C20" s="4">
        <v>16314</v>
      </c>
      <c r="D20" s="4">
        <v>7866</v>
      </c>
      <c r="E20" s="4">
        <v>8448</v>
      </c>
    </row>
    <row r="21" spans="1:5" ht="23.1" customHeight="1" x14ac:dyDescent="0.25">
      <c r="A21" s="4">
        <v>14</v>
      </c>
      <c r="B21" s="4" t="s">
        <v>438</v>
      </c>
      <c r="C21" s="4">
        <v>15868</v>
      </c>
      <c r="D21" s="4">
        <v>7606</v>
      </c>
      <c r="E21" s="4">
        <v>8262</v>
      </c>
    </row>
    <row r="22" spans="1:5" ht="23.1" customHeight="1" x14ac:dyDescent="0.25">
      <c r="A22" s="4">
        <v>15</v>
      </c>
      <c r="B22" s="4" t="s">
        <v>439</v>
      </c>
      <c r="C22" s="4">
        <v>5844</v>
      </c>
      <c r="D22" s="4">
        <v>2790</v>
      </c>
      <c r="E22" s="4">
        <v>3054</v>
      </c>
    </row>
    <row r="23" spans="1:5" ht="23.1" customHeight="1" x14ac:dyDescent="0.25">
      <c r="A23" s="4">
        <v>16</v>
      </c>
      <c r="B23" s="4" t="s">
        <v>440</v>
      </c>
      <c r="C23" s="4">
        <v>4319</v>
      </c>
      <c r="D23" s="4">
        <v>2587</v>
      </c>
      <c r="E23" s="4">
        <v>1732</v>
      </c>
    </row>
    <row r="24" spans="1:5" ht="23.1" customHeight="1" x14ac:dyDescent="0.25">
      <c r="A24" s="4">
        <v>17</v>
      </c>
      <c r="B24" s="4" t="s">
        <v>441</v>
      </c>
      <c r="C24" s="4">
        <v>4655</v>
      </c>
      <c r="D24" s="4">
        <v>2507</v>
      </c>
      <c r="E24" s="4">
        <v>2148</v>
      </c>
    </row>
    <row r="25" spans="1:5" ht="23.1" customHeight="1" x14ac:dyDescent="0.25">
      <c r="A25" s="4">
        <v>18</v>
      </c>
      <c r="B25" s="4" t="s">
        <v>442</v>
      </c>
      <c r="C25" s="4">
        <v>18549</v>
      </c>
      <c r="D25" s="4">
        <v>9020</v>
      </c>
      <c r="E25" s="4">
        <v>9529</v>
      </c>
    </row>
    <row r="26" spans="1:5" ht="23.1" customHeight="1" x14ac:dyDescent="0.25">
      <c r="A26" s="4">
        <v>19</v>
      </c>
      <c r="B26" s="4" t="s">
        <v>443</v>
      </c>
      <c r="C26" s="4">
        <v>18275</v>
      </c>
      <c r="D26" s="4">
        <v>8728</v>
      </c>
      <c r="E26" s="4">
        <v>9547</v>
      </c>
    </row>
    <row r="27" spans="1:5" ht="23.1" customHeight="1" x14ac:dyDescent="0.25">
      <c r="A27" s="4">
        <v>20</v>
      </c>
      <c r="B27" s="4" t="s">
        <v>444</v>
      </c>
      <c r="C27" s="4">
        <v>15481</v>
      </c>
      <c r="D27" s="4">
        <v>7326</v>
      </c>
      <c r="E27" s="4">
        <v>8155</v>
      </c>
    </row>
    <row r="28" spans="1:5" ht="23.1" customHeight="1" x14ac:dyDescent="0.25">
      <c r="A28" s="4">
        <v>21</v>
      </c>
      <c r="B28" s="4" t="s">
        <v>445</v>
      </c>
      <c r="C28" s="4">
        <v>11057</v>
      </c>
      <c r="D28" s="4">
        <v>5331</v>
      </c>
      <c r="E28" s="4">
        <v>5726</v>
      </c>
    </row>
    <row r="29" spans="1:5" ht="23.1" customHeight="1" x14ac:dyDescent="0.25">
      <c r="A29" s="4">
        <v>22</v>
      </c>
      <c r="B29" s="4" t="s">
        <v>446</v>
      </c>
      <c r="C29" s="4">
        <v>14936</v>
      </c>
      <c r="D29" s="4">
        <v>7260</v>
      </c>
      <c r="E29" s="4">
        <v>7676</v>
      </c>
    </row>
    <row r="30" spans="1:5" ht="23.1" customHeight="1" x14ac:dyDescent="0.25">
      <c r="A30" s="4">
        <v>23</v>
      </c>
      <c r="B30" s="4" t="s">
        <v>447</v>
      </c>
      <c r="C30" s="4">
        <v>8393</v>
      </c>
      <c r="D30" s="4">
        <v>4110</v>
      </c>
      <c r="E30" s="4">
        <v>4283</v>
      </c>
    </row>
    <row r="31" spans="1:5" ht="23.1" customHeight="1" x14ac:dyDescent="0.25">
      <c r="A31" s="4">
        <v>24</v>
      </c>
      <c r="B31" s="4" t="s">
        <v>448</v>
      </c>
      <c r="C31" s="4">
        <v>11374</v>
      </c>
      <c r="D31" s="4">
        <v>5579</v>
      </c>
      <c r="E31" s="4">
        <v>5795</v>
      </c>
    </row>
    <row r="32" spans="1:5" ht="23.1" customHeight="1" x14ac:dyDescent="0.25">
      <c r="A32" s="4">
        <v>25</v>
      </c>
      <c r="B32" s="4" t="s">
        <v>449</v>
      </c>
      <c r="C32" s="4">
        <v>17361</v>
      </c>
      <c r="D32" s="4">
        <v>8548</v>
      </c>
      <c r="E32" s="4">
        <v>8813</v>
      </c>
    </row>
    <row r="33" spans="1:5" ht="23.1" customHeight="1" x14ac:dyDescent="0.25">
      <c r="A33" s="4">
        <v>26</v>
      </c>
      <c r="B33" s="4" t="s">
        <v>450</v>
      </c>
      <c r="C33" s="4">
        <v>9057</v>
      </c>
      <c r="D33" s="4">
        <v>4515</v>
      </c>
      <c r="E33" s="4">
        <v>4542</v>
      </c>
    </row>
    <row r="34" spans="1:5" ht="23.1" customHeight="1" x14ac:dyDescent="0.25">
      <c r="A34" s="4">
        <v>27</v>
      </c>
      <c r="B34" s="4" t="s">
        <v>451</v>
      </c>
      <c r="C34" s="4">
        <v>3150</v>
      </c>
      <c r="D34" s="4">
        <v>1559</v>
      </c>
      <c r="E34" s="4">
        <v>1591</v>
      </c>
    </row>
    <row r="35" spans="1:5" ht="23.1" customHeight="1" x14ac:dyDescent="0.25">
      <c r="A35" s="4">
        <v>28</v>
      </c>
      <c r="B35" s="4" t="s">
        <v>452</v>
      </c>
      <c r="C35" s="4">
        <v>7388</v>
      </c>
      <c r="D35" s="4">
        <v>3529</v>
      </c>
      <c r="E35" s="4">
        <v>3859</v>
      </c>
    </row>
    <row r="36" spans="1:5" ht="23.1" customHeight="1" x14ac:dyDescent="0.25">
      <c r="A36" s="4">
        <v>29</v>
      </c>
      <c r="B36" s="4" t="s">
        <v>453</v>
      </c>
      <c r="C36" s="4">
        <v>3662</v>
      </c>
      <c r="D36" s="4">
        <v>1979</v>
      </c>
      <c r="E36" s="4">
        <v>1683</v>
      </c>
    </row>
    <row r="37" spans="1:5" ht="23.1" customHeight="1" x14ac:dyDescent="0.25">
      <c r="A37" s="4">
        <v>30</v>
      </c>
      <c r="B37" s="4" t="s">
        <v>454</v>
      </c>
      <c r="C37" s="4">
        <v>8716</v>
      </c>
      <c r="D37" s="4">
        <v>4211</v>
      </c>
      <c r="E37" s="4">
        <v>4505</v>
      </c>
    </row>
    <row r="38" spans="1:5" ht="23.1" customHeight="1" x14ac:dyDescent="0.25">
      <c r="A38" s="4">
        <v>31</v>
      </c>
      <c r="B38" s="4" t="s">
        <v>455</v>
      </c>
      <c r="C38" s="4">
        <v>5371</v>
      </c>
      <c r="D38" s="4">
        <v>2554</v>
      </c>
      <c r="E38" s="4">
        <v>2817</v>
      </c>
    </row>
    <row r="39" spans="1:5" ht="23.1" customHeight="1" x14ac:dyDescent="0.25">
      <c r="A39" s="10">
        <v>32</v>
      </c>
      <c r="B39" s="10" t="s">
        <v>456</v>
      </c>
      <c r="C39" s="10">
        <v>2688</v>
      </c>
      <c r="D39" s="10">
        <v>1314</v>
      </c>
      <c r="E39" s="10">
        <v>1374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  Dagon Myothit(South)  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F1"/>
    </sheetView>
  </sheetViews>
  <sheetFormatPr defaultColWidth="9.140625" defaultRowHeight="21" x14ac:dyDescent="0.35"/>
  <cols>
    <col min="1" max="1" width="5.5703125" style="7" customWidth="1"/>
    <col min="2" max="2" width="26.42578125" style="7" customWidth="1"/>
    <col min="3" max="5" width="15.7109375" style="7" customWidth="1"/>
    <col min="6" max="16384" width="9.140625" style="7"/>
  </cols>
  <sheetData>
    <row r="1" spans="1:6" s="6" customFormat="1" ht="25.5" customHeight="1" x14ac:dyDescent="0.4">
      <c r="A1" s="86" t="s">
        <v>1062</v>
      </c>
      <c r="B1" s="86"/>
      <c r="C1" s="86"/>
      <c r="D1" s="86"/>
      <c r="E1" s="86"/>
      <c r="F1" s="86"/>
    </row>
    <row r="2" spans="1:6" s="6" customFormat="1" ht="21.75" customHeight="1" x14ac:dyDescent="0.4">
      <c r="A2" s="2"/>
      <c r="B2" s="2"/>
      <c r="C2" s="2"/>
      <c r="D2" s="2"/>
      <c r="E2" s="47" t="s">
        <v>1031</v>
      </c>
    </row>
    <row r="3" spans="1:6" s="6" customFormat="1" ht="21.75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6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6" s="3" customFormat="1" ht="23.1" customHeight="1" x14ac:dyDescent="0.4">
      <c r="A5" s="61"/>
      <c r="B5" s="63" t="s">
        <v>0</v>
      </c>
      <c r="C5" s="63">
        <f>SUM(C8:C34)</f>
        <v>203948</v>
      </c>
      <c r="D5" s="63">
        <v>96388</v>
      </c>
      <c r="E5" s="63">
        <f t="shared" ref="E5" si="0">SUM(E8:E34)</f>
        <v>107560</v>
      </c>
    </row>
    <row r="6" spans="1:6" s="3" customFormat="1" ht="23.1" customHeight="1" x14ac:dyDescent="0.4">
      <c r="A6" s="5"/>
      <c r="B6" s="5"/>
      <c r="C6" s="5"/>
      <c r="D6" s="5"/>
      <c r="E6" s="5"/>
    </row>
    <row r="7" spans="1:6" ht="23.1" customHeight="1" x14ac:dyDescent="0.35">
      <c r="A7" s="8"/>
      <c r="B7" s="15" t="s">
        <v>1028</v>
      </c>
      <c r="C7" s="15">
        <f>SUM(C8:C34)</f>
        <v>203948</v>
      </c>
      <c r="D7" s="15">
        <f t="shared" ref="D7:E7" si="1">SUM(D8:D34)</f>
        <v>96388</v>
      </c>
      <c r="E7" s="15">
        <f t="shared" si="1"/>
        <v>107560</v>
      </c>
    </row>
    <row r="8" spans="1:6" ht="23.1" customHeight="1" x14ac:dyDescent="0.35">
      <c r="A8" s="4">
        <v>1</v>
      </c>
      <c r="B8" s="4" t="s">
        <v>304</v>
      </c>
      <c r="C8" s="4">
        <v>3387</v>
      </c>
      <c r="D8" s="4">
        <v>1650</v>
      </c>
      <c r="E8" s="4">
        <v>1737</v>
      </c>
    </row>
    <row r="9" spans="1:6" ht="23.1" customHeight="1" x14ac:dyDescent="0.35">
      <c r="A9" s="4">
        <v>2</v>
      </c>
      <c r="B9" s="4" t="s">
        <v>457</v>
      </c>
      <c r="C9" s="4">
        <v>4082</v>
      </c>
      <c r="D9" s="4">
        <v>1875</v>
      </c>
      <c r="E9" s="4">
        <v>2207</v>
      </c>
    </row>
    <row r="10" spans="1:6" ht="23.1" customHeight="1" x14ac:dyDescent="0.35">
      <c r="A10" s="4">
        <v>3</v>
      </c>
      <c r="B10" s="4" t="s">
        <v>458</v>
      </c>
      <c r="C10" s="4">
        <v>4786</v>
      </c>
      <c r="D10" s="4">
        <v>2162</v>
      </c>
      <c r="E10" s="4">
        <v>2624</v>
      </c>
    </row>
    <row r="11" spans="1:6" ht="23.1" customHeight="1" x14ac:dyDescent="0.35">
      <c r="A11" s="4">
        <v>4</v>
      </c>
      <c r="B11" s="4" t="s">
        <v>459</v>
      </c>
      <c r="C11" s="4">
        <v>7068</v>
      </c>
      <c r="D11" s="4">
        <v>3290</v>
      </c>
      <c r="E11" s="4">
        <v>3778</v>
      </c>
    </row>
    <row r="12" spans="1:6" ht="23.1" customHeight="1" x14ac:dyDescent="0.35">
      <c r="A12" s="4">
        <v>5</v>
      </c>
      <c r="B12" s="4" t="s">
        <v>460</v>
      </c>
      <c r="C12" s="4">
        <v>5859</v>
      </c>
      <c r="D12" s="4">
        <v>2628</v>
      </c>
      <c r="E12" s="4">
        <v>3231</v>
      </c>
    </row>
    <row r="13" spans="1:6" ht="23.1" customHeight="1" x14ac:dyDescent="0.35">
      <c r="A13" s="4">
        <v>6</v>
      </c>
      <c r="B13" s="4" t="s">
        <v>461</v>
      </c>
      <c r="C13" s="4">
        <v>6294</v>
      </c>
      <c r="D13" s="4">
        <v>2934</v>
      </c>
      <c r="E13" s="4">
        <v>3360</v>
      </c>
    </row>
    <row r="14" spans="1:6" ht="23.1" customHeight="1" x14ac:dyDescent="0.35">
      <c r="A14" s="4">
        <v>7</v>
      </c>
      <c r="B14" s="4" t="s">
        <v>462</v>
      </c>
      <c r="C14" s="4">
        <v>10634</v>
      </c>
      <c r="D14" s="4">
        <v>4994</v>
      </c>
      <c r="E14" s="4">
        <v>5640</v>
      </c>
    </row>
    <row r="15" spans="1:6" ht="23.1" customHeight="1" x14ac:dyDescent="0.35">
      <c r="A15" s="4">
        <v>8</v>
      </c>
      <c r="B15" s="4" t="s">
        <v>463</v>
      </c>
      <c r="C15" s="4">
        <v>12108</v>
      </c>
      <c r="D15" s="4">
        <v>6067</v>
      </c>
      <c r="E15" s="4">
        <v>6041</v>
      </c>
    </row>
    <row r="16" spans="1:6" ht="23.1" customHeight="1" x14ac:dyDescent="0.35">
      <c r="A16" s="4">
        <v>9</v>
      </c>
      <c r="B16" s="4" t="s">
        <v>464</v>
      </c>
      <c r="C16" s="4">
        <v>6790</v>
      </c>
      <c r="D16" s="4">
        <v>3295</v>
      </c>
      <c r="E16" s="4">
        <v>3495</v>
      </c>
    </row>
    <row r="17" spans="1:5" ht="23.1" customHeight="1" x14ac:dyDescent="0.35">
      <c r="A17" s="4">
        <v>10</v>
      </c>
      <c r="B17" s="4" t="s">
        <v>465</v>
      </c>
      <c r="C17" s="4">
        <v>6855</v>
      </c>
      <c r="D17" s="4">
        <v>3082</v>
      </c>
      <c r="E17" s="4">
        <v>3773</v>
      </c>
    </row>
    <row r="18" spans="1:5" ht="23.1" customHeight="1" x14ac:dyDescent="0.35">
      <c r="A18" s="4">
        <v>11</v>
      </c>
      <c r="B18" s="4" t="s">
        <v>466</v>
      </c>
      <c r="C18" s="4">
        <v>4936</v>
      </c>
      <c r="D18" s="4">
        <v>2287</v>
      </c>
      <c r="E18" s="4">
        <v>2649</v>
      </c>
    </row>
    <row r="19" spans="1:5" ht="23.1" customHeight="1" x14ac:dyDescent="0.35">
      <c r="A19" s="4">
        <v>12</v>
      </c>
      <c r="B19" s="4" t="s">
        <v>467</v>
      </c>
      <c r="C19" s="4">
        <v>6776</v>
      </c>
      <c r="D19" s="4">
        <v>3109</v>
      </c>
      <c r="E19" s="4">
        <v>3667</v>
      </c>
    </row>
    <row r="20" spans="1:5" ht="23.1" customHeight="1" x14ac:dyDescent="0.35">
      <c r="A20" s="4">
        <v>13</v>
      </c>
      <c r="B20" s="4" t="s">
        <v>468</v>
      </c>
      <c r="C20" s="4">
        <v>7677</v>
      </c>
      <c r="D20" s="4">
        <v>3591</v>
      </c>
      <c r="E20" s="4">
        <v>4086</v>
      </c>
    </row>
    <row r="21" spans="1:5" ht="23.1" customHeight="1" x14ac:dyDescent="0.35">
      <c r="A21" s="4">
        <v>14</v>
      </c>
      <c r="B21" s="4" t="s">
        <v>469</v>
      </c>
      <c r="C21" s="4">
        <v>7093</v>
      </c>
      <c r="D21" s="4">
        <v>3301</v>
      </c>
      <c r="E21" s="4">
        <v>3792</v>
      </c>
    </row>
    <row r="22" spans="1:5" ht="23.1" customHeight="1" x14ac:dyDescent="0.35">
      <c r="A22" s="4">
        <v>15</v>
      </c>
      <c r="B22" s="4" t="s">
        <v>470</v>
      </c>
      <c r="C22" s="4">
        <v>8487</v>
      </c>
      <c r="D22" s="4">
        <v>4036</v>
      </c>
      <c r="E22" s="4">
        <v>4451</v>
      </c>
    </row>
    <row r="23" spans="1:5" ht="23.1" customHeight="1" x14ac:dyDescent="0.35">
      <c r="A23" s="4">
        <v>16</v>
      </c>
      <c r="B23" s="4" t="s">
        <v>471</v>
      </c>
      <c r="C23" s="4">
        <v>7690</v>
      </c>
      <c r="D23" s="4">
        <v>3558</v>
      </c>
      <c r="E23" s="4">
        <v>4132</v>
      </c>
    </row>
    <row r="24" spans="1:5" ht="23.1" customHeight="1" x14ac:dyDescent="0.35">
      <c r="A24" s="4">
        <v>17</v>
      </c>
      <c r="B24" s="4" t="s">
        <v>472</v>
      </c>
      <c r="C24" s="4">
        <v>10458</v>
      </c>
      <c r="D24" s="4">
        <v>4876</v>
      </c>
      <c r="E24" s="4">
        <v>5582</v>
      </c>
    </row>
    <row r="25" spans="1:5" ht="23.1" customHeight="1" x14ac:dyDescent="0.35">
      <c r="A25" s="4">
        <v>18</v>
      </c>
      <c r="B25" s="4" t="s">
        <v>473</v>
      </c>
      <c r="C25" s="4">
        <v>11838</v>
      </c>
      <c r="D25" s="4">
        <v>5782</v>
      </c>
      <c r="E25" s="4">
        <v>6056</v>
      </c>
    </row>
    <row r="26" spans="1:5" ht="23.1" customHeight="1" x14ac:dyDescent="0.35">
      <c r="A26" s="4">
        <v>19</v>
      </c>
      <c r="B26" s="4" t="s">
        <v>474</v>
      </c>
      <c r="C26" s="4">
        <v>7903</v>
      </c>
      <c r="D26" s="4">
        <v>3612</v>
      </c>
      <c r="E26" s="4">
        <v>4291</v>
      </c>
    </row>
    <row r="27" spans="1:5" ht="23.1" customHeight="1" x14ac:dyDescent="0.35">
      <c r="A27" s="4">
        <v>20</v>
      </c>
      <c r="B27" s="4" t="s">
        <v>475</v>
      </c>
      <c r="C27" s="4">
        <v>6111</v>
      </c>
      <c r="D27" s="4">
        <v>2843</v>
      </c>
      <c r="E27" s="4">
        <v>3268</v>
      </c>
    </row>
    <row r="28" spans="1:5" ht="23.1" customHeight="1" x14ac:dyDescent="0.35">
      <c r="A28" s="4">
        <v>21</v>
      </c>
      <c r="B28" s="4" t="s">
        <v>476</v>
      </c>
      <c r="C28" s="4">
        <v>6146</v>
      </c>
      <c r="D28" s="4">
        <v>2804</v>
      </c>
      <c r="E28" s="4">
        <v>3342</v>
      </c>
    </row>
    <row r="29" spans="1:5" ht="23.1" customHeight="1" x14ac:dyDescent="0.35">
      <c r="A29" s="4">
        <v>22</v>
      </c>
      <c r="B29" s="4" t="s">
        <v>477</v>
      </c>
      <c r="C29" s="4">
        <v>8965</v>
      </c>
      <c r="D29" s="4">
        <v>4269</v>
      </c>
      <c r="E29" s="4">
        <v>4696</v>
      </c>
    </row>
    <row r="30" spans="1:5" ht="23.1" customHeight="1" x14ac:dyDescent="0.35">
      <c r="A30" s="4">
        <v>23</v>
      </c>
      <c r="B30" s="4" t="s">
        <v>478</v>
      </c>
      <c r="C30" s="4">
        <v>4728</v>
      </c>
      <c r="D30" s="4">
        <v>2201</v>
      </c>
      <c r="E30" s="4">
        <v>2527</v>
      </c>
    </row>
    <row r="31" spans="1:5" ht="23.1" customHeight="1" x14ac:dyDescent="0.35">
      <c r="A31" s="4">
        <v>24</v>
      </c>
      <c r="B31" s="4" t="s">
        <v>479</v>
      </c>
      <c r="C31" s="4">
        <v>7620</v>
      </c>
      <c r="D31" s="4">
        <v>3861</v>
      </c>
      <c r="E31" s="4">
        <v>3759</v>
      </c>
    </row>
    <row r="32" spans="1:5" ht="23.1" customHeight="1" x14ac:dyDescent="0.35">
      <c r="A32" s="4">
        <v>25</v>
      </c>
      <c r="B32" s="4" t="s">
        <v>480</v>
      </c>
      <c r="C32" s="4">
        <v>10738</v>
      </c>
      <c r="D32" s="4">
        <v>5058</v>
      </c>
      <c r="E32" s="4">
        <v>5680</v>
      </c>
    </row>
    <row r="33" spans="1:5" ht="23.1" customHeight="1" x14ac:dyDescent="0.35">
      <c r="A33" s="4">
        <v>26</v>
      </c>
      <c r="B33" s="4" t="s">
        <v>481</v>
      </c>
      <c r="C33" s="4">
        <v>7809</v>
      </c>
      <c r="D33" s="4">
        <v>3757</v>
      </c>
      <c r="E33" s="4">
        <v>4052</v>
      </c>
    </row>
    <row r="34" spans="1:5" ht="23.1" customHeight="1" x14ac:dyDescent="0.35">
      <c r="A34" s="10">
        <v>27</v>
      </c>
      <c r="B34" s="10" t="s">
        <v>482</v>
      </c>
      <c r="C34" s="10">
        <v>11110</v>
      </c>
      <c r="D34" s="10">
        <v>5466</v>
      </c>
      <c r="E34" s="10">
        <v>5644</v>
      </c>
    </row>
  </sheetData>
  <mergeCells count="4">
    <mergeCell ref="A1:F1"/>
    <mergeCell ref="A3:A4"/>
    <mergeCell ref="B3:B4"/>
    <mergeCell ref="C3:E3"/>
  </mergeCells>
  <hyperlinks>
    <hyperlink ref="A1:F1" location="'List of Township'!A1" display="Yangon Region,East District,  Dagon Myothit(Norht)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34.85546875" customWidth="1"/>
    <col min="3" max="5" width="15.7109375" customWidth="1"/>
  </cols>
  <sheetData>
    <row r="1" spans="1:5" s="6" customFormat="1" ht="25.5" customHeight="1" x14ac:dyDescent="0.4">
      <c r="A1" s="86" t="s">
        <v>1063</v>
      </c>
      <c r="B1" s="86"/>
      <c r="C1" s="86"/>
      <c r="D1" s="86"/>
      <c r="E1" s="86"/>
    </row>
    <row r="2" spans="1:5" s="6" customFormat="1" ht="25.5" customHeight="1" x14ac:dyDescent="0.4">
      <c r="A2" s="2"/>
      <c r="B2" s="2"/>
      <c r="C2" s="2"/>
      <c r="D2" s="2"/>
      <c r="E2" s="47" t="s">
        <v>1031</v>
      </c>
    </row>
    <row r="3" spans="1:5" s="6" customFormat="1" ht="21.75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63" t="s">
        <v>0</v>
      </c>
      <c r="C5" s="63">
        <f>C7+C37</f>
        <v>165628</v>
      </c>
      <c r="D5" s="63">
        <f t="shared" ref="D5:E5" si="0">D7+D37</f>
        <v>80861</v>
      </c>
      <c r="E5" s="63">
        <f t="shared" si="0"/>
        <v>84767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25">
      <c r="A7" s="4"/>
      <c r="B7" s="15" t="s">
        <v>1028</v>
      </c>
      <c r="C7" s="15">
        <f>SUM(C8:C35)</f>
        <v>156244</v>
      </c>
      <c r="D7" s="15">
        <f t="shared" ref="D7:E7" si="1">SUM(D8:D35)</f>
        <v>76015</v>
      </c>
      <c r="E7" s="15">
        <f t="shared" si="1"/>
        <v>80229</v>
      </c>
    </row>
    <row r="8" spans="1:5" ht="23.1" customHeight="1" x14ac:dyDescent="0.25">
      <c r="A8" s="4">
        <v>1</v>
      </c>
      <c r="B8" s="4" t="s">
        <v>56</v>
      </c>
      <c r="C8" s="4">
        <v>9352</v>
      </c>
      <c r="D8" s="4">
        <v>4678</v>
      </c>
      <c r="E8" s="4">
        <v>4674</v>
      </c>
    </row>
    <row r="9" spans="1:5" ht="23.1" customHeight="1" x14ac:dyDescent="0.25">
      <c r="A9" s="4">
        <v>2</v>
      </c>
      <c r="B9" s="4" t="s">
        <v>57</v>
      </c>
      <c r="C9" s="4">
        <v>3374</v>
      </c>
      <c r="D9" s="4">
        <v>1620</v>
      </c>
      <c r="E9" s="4">
        <v>1754</v>
      </c>
    </row>
    <row r="10" spans="1:5" ht="23.1" customHeight="1" x14ac:dyDescent="0.25">
      <c r="A10" s="4">
        <v>3</v>
      </c>
      <c r="B10" s="4" t="s">
        <v>58</v>
      </c>
      <c r="C10" s="4">
        <v>3910</v>
      </c>
      <c r="D10" s="4">
        <v>1839</v>
      </c>
      <c r="E10" s="4">
        <v>2071</v>
      </c>
    </row>
    <row r="11" spans="1:5" ht="23.1" customHeight="1" x14ac:dyDescent="0.25">
      <c r="A11" s="4">
        <v>4</v>
      </c>
      <c r="B11" s="4" t="s">
        <v>59</v>
      </c>
      <c r="C11" s="4">
        <v>3721</v>
      </c>
      <c r="D11" s="4">
        <v>1752</v>
      </c>
      <c r="E11" s="4">
        <v>1969</v>
      </c>
    </row>
    <row r="12" spans="1:5" ht="23.1" customHeight="1" x14ac:dyDescent="0.25">
      <c r="A12" s="4">
        <v>5</v>
      </c>
      <c r="B12" s="4" t="s">
        <v>242</v>
      </c>
      <c r="C12" s="4">
        <v>8168</v>
      </c>
      <c r="D12" s="4">
        <v>3826</v>
      </c>
      <c r="E12" s="4">
        <v>4342</v>
      </c>
    </row>
    <row r="13" spans="1:5" ht="23.1" customHeight="1" x14ac:dyDescent="0.25">
      <c r="A13" s="4">
        <v>6</v>
      </c>
      <c r="B13" s="4" t="s">
        <v>294</v>
      </c>
      <c r="C13" s="4">
        <v>7942</v>
      </c>
      <c r="D13" s="4">
        <v>3941</v>
      </c>
      <c r="E13" s="4">
        <v>4001</v>
      </c>
    </row>
    <row r="14" spans="1:5" ht="23.1" customHeight="1" x14ac:dyDescent="0.25">
      <c r="A14" s="4">
        <v>7</v>
      </c>
      <c r="B14" s="4" t="s">
        <v>295</v>
      </c>
      <c r="C14" s="4">
        <v>12810</v>
      </c>
      <c r="D14" s="4">
        <v>6141</v>
      </c>
      <c r="E14" s="4">
        <v>6669</v>
      </c>
    </row>
    <row r="15" spans="1:5" ht="23.1" customHeight="1" x14ac:dyDescent="0.25">
      <c r="A15" s="4">
        <v>8</v>
      </c>
      <c r="B15" s="4" t="s">
        <v>296</v>
      </c>
      <c r="C15" s="4">
        <v>10920</v>
      </c>
      <c r="D15" s="4">
        <v>5138</v>
      </c>
      <c r="E15" s="4">
        <v>5782</v>
      </c>
    </row>
    <row r="16" spans="1:5" ht="23.1" customHeight="1" x14ac:dyDescent="0.25">
      <c r="A16" s="4">
        <v>9</v>
      </c>
      <c r="B16" s="4" t="s">
        <v>297</v>
      </c>
      <c r="C16" s="4">
        <v>3659</v>
      </c>
      <c r="D16" s="4">
        <v>1639</v>
      </c>
      <c r="E16" s="4">
        <v>2020</v>
      </c>
    </row>
    <row r="17" spans="1:5" ht="23.1" customHeight="1" x14ac:dyDescent="0.25">
      <c r="A17" s="4">
        <v>10</v>
      </c>
      <c r="B17" s="4" t="s">
        <v>298</v>
      </c>
      <c r="C17" s="4">
        <v>1287</v>
      </c>
      <c r="D17" s="4">
        <v>623</v>
      </c>
      <c r="E17" s="4">
        <v>664</v>
      </c>
    </row>
    <row r="18" spans="1:5" ht="23.1" customHeight="1" x14ac:dyDescent="0.25">
      <c r="A18" s="4">
        <v>11</v>
      </c>
      <c r="B18" s="4" t="s">
        <v>299</v>
      </c>
      <c r="C18" s="4">
        <v>5299</v>
      </c>
      <c r="D18" s="4">
        <v>2538</v>
      </c>
      <c r="E18" s="4">
        <v>2761</v>
      </c>
    </row>
    <row r="19" spans="1:5" ht="23.1" customHeight="1" x14ac:dyDescent="0.25">
      <c r="A19" s="4">
        <v>12</v>
      </c>
      <c r="B19" s="4" t="s">
        <v>300</v>
      </c>
      <c r="C19" s="4">
        <v>9379</v>
      </c>
      <c r="D19" s="4">
        <v>4633</v>
      </c>
      <c r="E19" s="4">
        <v>4746</v>
      </c>
    </row>
    <row r="20" spans="1:5" ht="23.1" customHeight="1" x14ac:dyDescent="0.25">
      <c r="A20" s="4">
        <v>13</v>
      </c>
      <c r="B20" s="4" t="s">
        <v>301</v>
      </c>
      <c r="C20" s="4">
        <v>8227</v>
      </c>
      <c r="D20" s="4">
        <v>4086</v>
      </c>
      <c r="E20" s="4">
        <v>4141</v>
      </c>
    </row>
    <row r="21" spans="1:5" ht="23.1" customHeight="1" x14ac:dyDescent="0.25">
      <c r="A21" s="4">
        <v>14</v>
      </c>
      <c r="B21" s="4" t="s">
        <v>302</v>
      </c>
      <c r="C21" s="4">
        <v>3222</v>
      </c>
      <c r="D21" s="4">
        <v>1706</v>
      </c>
      <c r="E21" s="4">
        <v>1516</v>
      </c>
    </row>
    <row r="22" spans="1:5" ht="23.1" customHeight="1" x14ac:dyDescent="0.25">
      <c r="A22" s="4">
        <v>15</v>
      </c>
      <c r="B22" s="4" t="s">
        <v>303</v>
      </c>
      <c r="C22" s="4">
        <v>4216</v>
      </c>
      <c r="D22" s="4">
        <v>2096</v>
      </c>
      <c r="E22" s="4">
        <v>2120</v>
      </c>
    </row>
    <row r="23" spans="1:5" ht="23.1" customHeight="1" x14ac:dyDescent="0.25">
      <c r="A23" s="4">
        <v>16</v>
      </c>
      <c r="B23" s="4" t="s">
        <v>483</v>
      </c>
      <c r="C23" s="4">
        <v>3435</v>
      </c>
      <c r="D23" s="4">
        <v>1696</v>
      </c>
      <c r="E23" s="4">
        <v>1739</v>
      </c>
    </row>
    <row r="24" spans="1:5" ht="23.1" customHeight="1" x14ac:dyDescent="0.25">
      <c r="A24" s="4">
        <v>17</v>
      </c>
      <c r="B24" s="4" t="s">
        <v>484</v>
      </c>
      <c r="C24" s="4">
        <v>4272</v>
      </c>
      <c r="D24" s="4">
        <v>2152</v>
      </c>
      <c r="E24" s="4">
        <v>2120</v>
      </c>
    </row>
    <row r="25" spans="1:5" ht="23.1" customHeight="1" x14ac:dyDescent="0.25">
      <c r="A25" s="4">
        <v>18</v>
      </c>
      <c r="B25" s="4" t="s">
        <v>485</v>
      </c>
      <c r="C25" s="4">
        <v>1942</v>
      </c>
      <c r="D25" s="4">
        <v>623</v>
      </c>
      <c r="E25" s="4">
        <v>1319</v>
      </c>
    </row>
    <row r="26" spans="1:5" ht="23.1" customHeight="1" x14ac:dyDescent="0.25">
      <c r="A26" s="4">
        <v>19</v>
      </c>
      <c r="B26" s="4" t="s">
        <v>486</v>
      </c>
      <c r="C26" s="4">
        <v>6158</v>
      </c>
      <c r="D26" s="4">
        <v>2873</v>
      </c>
      <c r="E26" s="4">
        <v>3285</v>
      </c>
    </row>
    <row r="27" spans="1:5" ht="23.1" customHeight="1" x14ac:dyDescent="0.25">
      <c r="A27" s="4">
        <v>20</v>
      </c>
      <c r="B27" s="4" t="s">
        <v>487</v>
      </c>
      <c r="C27" s="4">
        <v>2371</v>
      </c>
      <c r="D27" s="4">
        <v>1161</v>
      </c>
      <c r="E27" s="4">
        <v>1210</v>
      </c>
    </row>
    <row r="28" spans="1:5" ht="23.1" customHeight="1" x14ac:dyDescent="0.25">
      <c r="A28" s="4">
        <v>21</v>
      </c>
      <c r="B28" s="4" t="s">
        <v>488</v>
      </c>
      <c r="C28" s="4">
        <v>8544</v>
      </c>
      <c r="D28" s="4">
        <v>4310</v>
      </c>
      <c r="E28" s="4">
        <v>4234</v>
      </c>
    </row>
    <row r="29" spans="1:5" ht="23.1" customHeight="1" x14ac:dyDescent="0.25">
      <c r="A29" s="4">
        <v>22</v>
      </c>
      <c r="B29" s="4" t="s">
        <v>489</v>
      </c>
      <c r="C29" s="4">
        <v>2267</v>
      </c>
      <c r="D29" s="4">
        <v>1154</v>
      </c>
      <c r="E29" s="4">
        <v>1113</v>
      </c>
    </row>
    <row r="30" spans="1:5" ht="23.1" customHeight="1" x14ac:dyDescent="0.25">
      <c r="A30" s="4">
        <v>23</v>
      </c>
      <c r="B30" s="4" t="s">
        <v>490</v>
      </c>
      <c r="C30" s="4">
        <v>2699</v>
      </c>
      <c r="D30" s="4">
        <v>1502</v>
      </c>
      <c r="E30" s="4">
        <v>1197</v>
      </c>
    </row>
    <row r="31" spans="1:5" ht="23.1" customHeight="1" x14ac:dyDescent="0.25">
      <c r="A31" s="4">
        <v>24</v>
      </c>
      <c r="B31" s="4" t="s">
        <v>491</v>
      </c>
      <c r="C31" s="4">
        <v>6726</v>
      </c>
      <c r="D31" s="4">
        <v>3345</v>
      </c>
      <c r="E31" s="4">
        <v>3381</v>
      </c>
    </row>
    <row r="32" spans="1:5" ht="23.1" customHeight="1" x14ac:dyDescent="0.25">
      <c r="A32" s="4">
        <v>25</v>
      </c>
      <c r="B32" s="4" t="s">
        <v>492</v>
      </c>
      <c r="C32" s="4">
        <v>2248</v>
      </c>
      <c r="D32" s="4">
        <v>1136</v>
      </c>
      <c r="E32" s="4">
        <v>1112</v>
      </c>
    </row>
    <row r="33" spans="1:5" ht="23.1" customHeight="1" x14ac:dyDescent="0.25">
      <c r="A33" s="4">
        <v>26</v>
      </c>
      <c r="B33" s="4" t="s">
        <v>493</v>
      </c>
      <c r="C33" s="4">
        <v>11549</v>
      </c>
      <c r="D33" s="4">
        <v>5623</v>
      </c>
      <c r="E33" s="4">
        <v>5926</v>
      </c>
    </row>
    <row r="34" spans="1:5" ht="23.1" customHeight="1" x14ac:dyDescent="0.25">
      <c r="A34" s="4">
        <v>27</v>
      </c>
      <c r="B34" s="4" t="s">
        <v>494</v>
      </c>
      <c r="C34" s="4">
        <v>3415</v>
      </c>
      <c r="D34" s="4">
        <v>1662</v>
      </c>
      <c r="E34" s="4">
        <v>1753</v>
      </c>
    </row>
    <row r="35" spans="1:5" ht="23.1" customHeight="1" x14ac:dyDescent="0.25">
      <c r="A35" s="4">
        <v>28</v>
      </c>
      <c r="B35" s="4" t="s">
        <v>495</v>
      </c>
      <c r="C35" s="4">
        <v>5132</v>
      </c>
      <c r="D35" s="4">
        <v>2522</v>
      </c>
      <c r="E35" s="4">
        <v>2610</v>
      </c>
    </row>
    <row r="36" spans="1:5" ht="23.1" customHeight="1" x14ac:dyDescent="0.25">
      <c r="A36" s="4"/>
      <c r="B36" s="4"/>
      <c r="C36" s="4"/>
      <c r="D36" s="4"/>
      <c r="E36" s="4"/>
    </row>
    <row r="37" spans="1:5" ht="23.1" customHeight="1" x14ac:dyDescent="0.25">
      <c r="A37" s="4"/>
      <c r="B37" s="15" t="s">
        <v>1032</v>
      </c>
      <c r="C37" s="15">
        <f>SUM(C38:C40)</f>
        <v>9384</v>
      </c>
      <c r="D37" s="15">
        <f t="shared" ref="D37:E37" si="2">SUM(D38:D40)</f>
        <v>4846</v>
      </c>
      <c r="E37" s="15">
        <f t="shared" si="2"/>
        <v>4538</v>
      </c>
    </row>
    <row r="38" spans="1:5" ht="23.1" customHeight="1" x14ac:dyDescent="0.25">
      <c r="A38" s="4">
        <v>1</v>
      </c>
      <c r="B38" s="4" t="s">
        <v>496</v>
      </c>
      <c r="C38" s="4">
        <v>1990</v>
      </c>
      <c r="D38" s="4">
        <v>1010</v>
      </c>
      <c r="E38" s="4">
        <v>980</v>
      </c>
    </row>
    <row r="39" spans="1:5" ht="23.1" customHeight="1" x14ac:dyDescent="0.25">
      <c r="A39" s="4">
        <v>2</v>
      </c>
      <c r="B39" s="4" t="s">
        <v>497</v>
      </c>
      <c r="C39" s="4">
        <v>5193</v>
      </c>
      <c r="D39" s="4">
        <v>2716</v>
      </c>
      <c r="E39" s="4">
        <v>2477</v>
      </c>
    </row>
    <row r="40" spans="1:5" ht="23.1" customHeight="1" x14ac:dyDescent="0.25">
      <c r="A40" s="10">
        <v>3</v>
      </c>
      <c r="B40" s="10" t="s">
        <v>498</v>
      </c>
      <c r="C40" s="10">
        <v>2201</v>
      </c>
      <c r="D40" s="10">
        <v>1120</v>
      </c>
      <c r="E40" s="10">
        <v>1081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Yangon Region,East District,  Dagon Myothit(East)  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Normal="100" workbookViewId="0">
      <selection sqref="A1:E1"/>
    </sheetView>
  </sheetViews>
  <sheetFormatPr defaultColWidth="9.140625" defaultRowHeight="21" x14ac:dyDescent="0.35"/>
  <cols>
    <col min="1" max="1" width="8.42578125" style="7" customWidth="1"/>
    <col min="2" max="2" width="26.7109375" style="7" customWidth="1"/>
    <col min="3" max="5" width="15.7109375" style="7" customWidth="1"/>
    <col min="6" max="16384" width="9.140625" style="7"/>
  </cols>
  <sheetData>
    <row r="1" spans="1:5" s="6" customFormat="1" ht="25.5" customHeight="1" x14ac:dyDescent="0.4">
      <c r="A1" s="80" t="s">
        <v>1064</v>
      </c>
      <c r="B1" s="80"/>
      <c r="C1" s="80"/>
      <c r="D1" s="80"/>
      <c r="E1" s="80"/>
    </row>
    <row r="2" spans="1:5" s="6" customFormat="1" ht="25.5" customHeight="1" x14ac:dyDescent="0.4">
      <c r="B2" s="1"/>
      <c r="C2" s="1"/>
      <c r="D2" s="1"/>
      <c r="E2" s="48" t="s">
        <v>1031</v>
      </c>
    </row>
    <row r="3" spans="1:5" s="6" customFormat="1" ht="21.75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64" t="s">
        <v>0</v>
      </c>
      <c r="C5" s="57">
        <f>C7+C39</f>
        <v>167448</v>
      </c>
      <c r="D5" s="57">
        <f t="shared" ref="D5:E5" si="0">D7+D39</f>
        <v>82697</v>
      </c>
      <c r="E5" s="57">
        <f t="shared" si="0"/>
        <v>84751</v>
      </c>
    </row>
    <row r="6" spans="1:5" s="3" customFormat="1" ht="23.1" customHeight="1" x14ac:dyDescent="0.4">
      <c r="A6" s="5"/>
      <c r="B6" s="5"/>
      <c r="C6" s="5"/>
      <c r="D6" s="5"/>
      <c r="E6" s="5"/>
    </row>
    <row r="7" spans="1:5" ht="23.1" customHeight="1" x14ac:dyDescent="0.35">
      <c r="A7" s="8"/>
      <c r="B7" s="15" t="s">
        <v>1028</v>
      </c>
      <c r="C7" s="15">
        <f>SUM(C8:C37)</f>
        <v>150076</v>
      </c>
      <c r="D7" s="15">
        <f t="shared" ref="D7:E7" si="1">SUM(D8:D37)</f>
        <v>73906</v>
      </c>
      <c r="E7" s="15">
        <f t="shared" si="1"/>
        <v>76170</v>
      </c>
    </row>
    <row r="8" spans="1:5" ht="23.1" customHeight="1" x14ac:dyDescent="0.35">
      <c r="A8" s="4">
        <v>1</v>
      </c>
      <c r="B8" s="4" t="s">
        <v>499</v>
      </c>
      <c r="C8" s="4">
        <v>2735</v>
      </c>
      <c r="D8" s="4">
        <v>1427</v>
      </c>
      <c r="E8" s="4">
        <v>1308</v>
      </c>
    </row>
    <row r="9" spans="1:5" ht="23.1" customHeight="1" x14ac:dyDescent="0.35">
      <c r="A9" s="4">
        <v>2</v>
      </c>
      <c r="B9" s="4" t="s">
        <v>500</v>
      </c>
      <c r="C9" s="4">
        <v>277</v>
      </c>
      <c r="D9" s="4">
        <v>146</v>
      </c>
      <c r="E9" s="4">
        <v>131</v>
      </c>
    </row>
    <row r="10" spans="1:5" ht="23.1" customHeight="1" x14ac:dyDescent="0.35">
      <c r="A10" s="4">
        <v>3</v>
      </c>
      <c r="B10" s="4" t="s">
        <v>501</v>
      </c>
      <c r="C10" s="4">
        <v>5187</v>
      </c>
      <c r="D10" s="4">
        <v>2597</v>
      </c>
      <c r="E10" s="4">
        <v>2590</v>
      </c>
    </row>
    <row r="11" spans="1:5" ht="23.1" customHeight="1" x14ac:dyDescent="0.35">
      <c r="A11" s="4">
        <v>4</v>
      </c>
      <c r="B11" s="4" t="s">
        <v>502</v>
      </c>
      <c r="C11" s="4">
        <v>1295</v>
      </c>
      <c r="D11" s="4">
        <v>941</v>
      </c>
      <c r="E11" s="4">
        <v>354</v>
      </c>
    </row>
    <row r="12" spans="1:5" ht="23.1" customHeight="1" x14ac:dyDescent="0.35">
      <c r="A12" s="4">
        <v>5</v>
      </c>
      <c r="B12" s="4" t="s">
        <v>503</v>
      </c>
      <c r="C12" s="4">
        <v>11834</v>
      </c>
      <c r="D12" s="4">
        <v>6266</v>
      </c>
      <c r="E12" s="4">
        <v>5568</v>
      </c>
    </row>
    <row r="13" spans="1:5" ht="23.1" customHeight="1" x14ac:dyDescent="0.35">
      <c r="A13" s="4">
        <v>6</v>
      </c>
      <c r="B13" s="4" t="s">
        <v>504</v>
      </c>
      <c r="C13" s="4">
        <v>3650</v>
      </c>
      <c r="D13" s="4">
        <v>1813</v>
      </c>
      <c r="E13" s="4">
        <v>1837</v>
      </c>
    </row>
    <row r="14" spans="1:5" ht="23.1" customHeight="1" x14ac:dyDescent="0.35">
      <c r="A14" s="4">
        <v>7</v>
      </c>
      <c r="B14" s="4" t="s">
        <v>505</v>
      </c>
      <c r="C14" s="4">
        <v>9689</v>
      </c>
      <c r="D14" s="4">
        <v>4787</v>
      </c>
      <c r="E14" s="4">
        <v>4902</v>
      </c>
    </row>
    <row r="15" spans="1:5" ht="23.1" customHeight="1" x14ac:dyDescent="0.35">
      <c r="A15" s="4">
        <v>8</v>
      </c>
      <c r="B15" s="4" t="s">
        <v>506</v>
      </c>
      <c r="C15" s="4">
        <v>672</v>
      </c>
      <c r="D15" s="4">
        <v>317</v>
      </c>
      <c r="E15" s="4">
        <v>355</v>
      </c>
    </row>
    <row r="16" spans="1:5" ht="23.1" customHeight="1" x14ac:dyDescent="0.35">
      <c r="A16" s="4">
        <v>9</v>
      </c>
      <c r="B16" s="4" t="s">
        <v>507</v>
      </c>
      <c r="C16" s="4">
        <v>498</v>
      </c>
      <c r="D16" s="4">
        <v>244</v>
      </c>
      <c r="E16" s="4">
        <v>254</v>
      </c>
    </row>
    <row r="17" spans="1:5" ht="23.1" customHeight="1" x14ac:dyDescent="0.35">
      <c r="A17" s="4">
        <v>10</v>
      </c>
      <c r="B17" s="4" t="s">
        <v>508</v>
      </c>
      <c r="C17" s="4">
        <v>51</v>
      </c>
      <c r="D17" s="4">
        <v>25</v>
      </c>
      <c r="E17" s="4">
        <v>26</v>
      </c>
    </row>
    <row r="18" spans="1:5" ht="23.1" customHeight="1" x14ac:dyDescent="0.35">
      <c r="A18" s="4">
        <v>11</v>
      </c>
      <c r="B18" s="4" t="s">
        <v>509</v>
      </c>
      <c r="C18" s="4">
        <v>584</v>
      </c>
      <c r="D18" s="4">
        <v>311</v>
      </c>
      <c r="E18" s="4">
        <v>273</v>
      </c>
    </row>
    <row r="19" spans="1:5" ht="23.1" customHeight="1" x14ac:dyDescent="0.35">
      <c r="A19" s="4">
        <v>12</v>
      </c>
      <c r="B19" s="4" t="s">
        <v>510</v>
      </c>
      <c r="C19" s="4">
        <v>1527</v>
      </c>
      <c r="D19" s="4">
        <v>856</v>
      </c>
      <c r="E19" s="4">
        <v>671</v>
      </c>
    </row>
    <row r="20" spans="1:5" ht="23.1" customHeight="1" x14ac:dyDescent="0.35">
      <c r="A20" s="4">
        <v>13</v>
      </c>
      <c r="B20" s="4" t="s">
        <v>511</v>
      </c>
      <c r="C20" s="4">
        <v>2089</v>
      </c>
      <c r="D20" s="4">
        <v>1037</v>
      </c>
      <c r="E20" s="4">
        <v>1052</v>
      </c>
    </row>
    <row r="21" spans="1:5" ht="23.1" customHeight="1" x14ac:dyDescent="0.35">
      <c r="A21" s="4">
        <v>14</v>
      </c>
      <c r="B21" s="4" t="s">
        <v>512</v>
      </c>
      <c r="C21" s="4">
        <v>906</v>
      </c>
      <c r="D21" s="4">
        <v>441</v>
      </c>
      <c r="E21" s="4">
        <v>465</v>
      </c>
    </row>
    <row r="22" spans="1:5" ht="23.1" customHeight="1" x14ac:dyDescent="0.35">
      <c r="A22" s="4">
        <v>15</v>
      </c>
      <c r="B22" s="4" t="s">
        <v>513</v>
      </c>
      <c r="C22" s="4">
        <v>1538</v>
      </c>
      <c r="D22" s="4">
        <v>749</v>
      </c>
      <c r="E22" s="4">
        <v>789</v>
      </c>
    </row>
    <row r="23" spans="1:5" ht="23.1" customHeight="1" x14ac:dyDescent="0.35">
      <c r="A23" s="4">
        <v>16</v>
      </c>
      <c r="B23" s="4" t="s">
        <v>514</v>
      </c>
      <c r="C23" s="4">
        <v>872</v>
      </c>
      <c r="D23" s="4">
        <v>447</v>
      </c>
      <c r="E23" s="4">
        <v>425</v>
      </c>
    </row>
    <row r="24" spans="1:5" ht="23.1" customHeight="1" x14ac:dyDescent="0.35">
      <c r="A24" s="4">
        <v>17</v>
      </c>
      <c r="B24" s="4" t="s">
        <v>515</v>
      </c>
      <c r="C24" s="4">
        <v>279</v>
      </c>
      <c r="D24" s="4">
        <v>148</v>
      </c>
      <c r="E24" s="4">
        <v>131</v>
      </c>
    </row>
    <row r="25" spans="1:5" ht="23.1" customHeight="1" x14ac:dyDescent="0.35">
      <c r="A25" s="4">
        <v>18</v>
      </c>
      <c r="B25" s="4" t="s">
        <v>516</v>
      </c>
      <c r="C25" s="4">
        <v>283</v>
      </c>
      <c r="D25" s="4">
        <v>138</v>
      </c>
      <c r="E25" s="4">
        <v>145</v>
      </c>
    </row>
    <row r="26" spans="1:5" ht="23.1" customHeight="1" x14ac:dyDescent="0.35">
      <c r="A26" s="4">
        <v>19</v>
      </c>
      <c r="B26" s="4" t="s">
        <v>517</v>
      </c>
      <c r="C26" s="4">
        <v>561</v>
      </c>
      <c r="D26" s="4">
        <v>299</v>
      </c>
      <c r="E26" s="4">
        <v>262</v>
      </c>
    </row>
    <row r="27" spans="1:5" ht="23.1" customHeight="1" x14ac:dyDescent="0.35">
      <c r="A27" s="4">
        <v>20</v>
      </c>
      <c r="B27" s="4" t="s">
        <v>518</v>
      </c>
      <c r="C27" s="4">
        <v>633</v>
      </c>
      <c r="D27" s="4">
        <v>333</v>
      </c>
      <c r="E27" s="4">
        <v>300</v>
      </c>
    </row>
    <row r="28" spans="1:5" ht="23.1" customHeight="1" x14ac:dyDescent="0.35">
      <c r="A28" s="4">
        <v>21</v>
      </c>
      <c r="B28" s="4" t="s">
        <v>519</v>
      </c>
      <c r="C28" s="4">
        <v>7641</v>
      </c>
      <c r="D28" s="4">
        <v>3710</v>
      </c>
      <c r="E28" s="4">
        <v>3931</v>
      </c>
    </row>
    <row r="29" spans="1:5" ht="23.1" customHeight="1" x14ac:dyDescent="0.35">
      <c r="A29" s="4">
        <v>22</v>
      </c>
      <c r="B29" s="4" t="s">
        <v>520</v>
      </c>
      <c r="C29" s="4">
        <v>15382</v>
      </c>
      <c r="D29" s="4">
        <v>7316</v>
      </c>
      <c r="E29" s="4">
        <v>8066</v>
      </c>
    </row>
    <row r="30" spans="1:5" ht="23.1" customHeight="1" x14ac:dyDescent="0.35">
      <c r="A30" s="4">
        <v>23</v>
      </c>
      <c r="B30" s="4" t="s">
        <v>521</v>
      </c>
      <c r="C30" s="4">
        <v>8926</v>
      </c>
      <c r="D30" s="4">
        <v>4281</v>
      </c>
      <c r="E30" s="4">
        <v>4645</v>
      </c>
    </row>
    <row r="31" spans="1:5" ht="23.1" customHeight="1" x14ac:dyDescent="0.35">
      <c r="A31" s="4">
        <v>24</v>
      </c>
      <c r="B31" s="4" t="s">
        <v>522</v>
      </c>
      <c r="C31" s="4">
        <v>5301</v>
      </c>
      <c r="D31" s="4">
        <v>2632</v>
      </c>
      <c r="E31" s="4">
        <v>2669</v>
      </c>
    </row>
    <row r="32" spans="1:5" ht="23.1" customHeight="1" x14ac:dyDescent="0.35">
      <c r="A32" s="4">
        <v>25</v>
      </c>
      <c r="B32" s="4" t="s">
        <v>523</v>
      </c>
      <c r="C32" s="4">
        <v>2407</v>
      </c>
      <c r="D32" s="4">
        <v>1212</v>
      </c>
      <c r="E32" s="4">
        <v>1195</v>
      </c>
    </row>
    <row r="33" spans="1:5" ht="23.1" customHeight="1" x14ac:dyDescent="0.35">
      <c r="A33" s="4">
        <v>26</v>
      </c>
      <c r="B33" s="4" t="s">
        <v>524</v>
      </c>
      <c r="C33" s="4">
        <v>5989</v>
      </c>
      <c r="D33" s="4">
        <v>2419</v>
      </c>
      <c r="E33" s="4">
        <v>3570</v>
      </c>
    </row>
    <row r="34" spans="1:5" ht="23.1" customHeight="1" x14ac:dyDescent="0.35">
      <c r="A34" s="4">
        <v>27</v>
      </c>
      <c r="B34" s="4" t="s">
        <v>525</v>
      </c>
      <c r="C34" s="4">
        <v>11774</v>
      </c>
      <c r="D34" s="4">
        <v>6004</v>
      </c>
      <c r="E34" s="4">
        <v>5770</v>
      </c>
    </row>
    <row r="35" spans="1:5" ht="23.1" customHeight="1" x14ac:dyDescent="0.35">
      <c r="A35" s="4">
        <v>28</v>
      </c>
      <c r="B35" s="4" t="s">
        <v>526</v>
      </c>
      <c r="C35" s="4">
        <v>32157</v>
      </c>
      <c r="D35" s="4">
        <v>15170</v>
      </c>
      <c r="E35" s="4">
        <v>16987</v>
      </c>
    </row>
    <row r="36" spans="1:5" ht="23.1" customHeight="1" x14ac:dyDescent="0.35">
      <c r="A36" s="4">
        <v>29</v>
      </c>
      <c r="B36" s="4" t="s">
        <v>527</v>
      </c>
      <c r="C36" s="4">
        <v>5470</v>
      </c>
      <c r="D36" s="4">
        <v>3031</v>
      </c>
      <c r="E36" s="4">
        <v>2439</v>
      </c>
    </row>
    <row r="37" spans="1:5" ht="23.1" customHeight="1" x14ac:dyDescent="0.35">
      <c r="A37" s="4">
        <v>30</v>
      </c>
      <c r="B37" s="4" t="s">
        <v>528</v>
      </c>
      <c r="C37" s="4">
        <v>9869</v>
      </c>
      <c r="D37" s="4">
        <v>4809</v>
      </c>
      <c r="E37" s="4">
        <v>5060</v>
      </c>
    </row>
    <row r="38" spans="1:5" ht="23.1" customHeight="1" x14ac:dyDescent="0.35">
      <c r="A38" s="8"/>
      <c r="B38" s="8"/>
      <c r="C38" s="8"/>
      <c r="D38" s="8"/>
      <c r="E38" s="8"/>
    </row>
    <row r="39" spans="1:5" ht="23.1" customHeight="1" x14ac:dyDescent="0.35">
      <c r="A39" s="8"/>
      <c r="B39" s="15" t="s">
        <v>1032</v>
      </c>
      <c r="C39" s="15">
        <f>SUM(C40:C43)</f>
        <v>17372</v>
      </c>
      <c r="D39" s="15">
        <f t="shared" ref="D39:E39" si="2">SUM(D40:D43)</f>
        <v>8791</v>
      </c>
      <c r="E39" s="15">
        <f t="shared" si="2"/>
        <v>8581</v>
      </c>
    </row>
    <row r="40" spans="1:5" ht="23.1" customHeight="1" x14ac:dyDescent="0.35">
      <c r="A40" s="4">
        <v>1</v>
      </c>
      <c r="B40" s="4" t="s">
        <v>529</v>
      </c>
      <c r="C40" s="4">
        <v>2986</v>
      </c>
      <c r="D40" s="4">
        <v>1487</v>
      </c>
      <c r="E40" s="4">
        <v>1499</v>
      </c>
    </row>
    <row r="41" spans="1:5" ht="23.1" customHeight="1" x14ac:dyDescent="0.35">
      <c r="A41" s="4">
        <v>2</v>
      </c>
      <c r="B41" s="4" t="s">
        <v>530</v>
      </c>
      <c r="C41" s="4">
        <v>10465</v>
      </c>
      <c r="D41" s="4">
        <v>5238</v>
      </c>
      <c r="E41" s="4">
        <v>5227</v>
      </c>
    </row>
    <row r="42" spans="1:5" ht="23.1" customHeight="1" x14ac:dyDescent="0.35">
      <c r="A42" s="4">
        <v>3</v>
      </c>
      <c r="B42" s="4" t="s">
        <v>531</v>
      </c>
      <c r="C42" s="4">
        <v>2871</v>
      </c>
      <c r="D42" s="4">
        <v>1520</v>
      </c>
      <c r="E42" s="4">
        <v>1351</v>
      </c>
    </row>
    <row r="43" spans="1:5" ht="23.1" customHeight="1" x14ac:dyDescent="0.35">
      <c r="A43" s="10">
        <v>4</v>
      </c>
      <c r="B43" s="10" t="s">
        <v>532</v>
      </c>
      <c r="C43" s="10">
        <v>1050</v>
      </c>
      <c r="D43" s="10">
        <v>546</v>
      </c>
      <c r="E43" s="10">
        <v>504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 East  District,   Dagon Myothit(Seikkan)Township"/>
  </hyperlinks>
  <pageMargins left="0.75" right="0.5" top="0.2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zoomScaleNormal="100" workbookViewId="0">
      <selection sqref="A1:E1"/>
    </sheetView>
  </sheetViews>
  <sheetFormatPr defaultRowHeight="15" x14ac:dyDescent="0.25"/>
  <cols>
    <col min="1" max="1" width="6.5703125" style="23" customWidth="1"/>
    <col min="2" max="2" width="31" style="23" customWidth="1"/>
    <col min="3" max="5" width="15.7109375" style="23" customWidth="1"/>
    <col min="6" max="16384" width="9.140625" style="23"/>
  </cols>
  <sheetData>
    <row r="1" spans="1:5" s="12" customFormat="1" ht="23.25" customHeight="1" x14ac:dyDescent="0.4">
      <c r="A1" s="80" t="s">
        <v>1065</v>
      </c>
      <c r="B1" s="80"/>
      <c r="C1" s="80"/>
      <c r="D1" s="80"/>
      <c r="E1" s="80"/>
    </row>
    <row r="2" spans="1:5" s="12" customFormat="1" ht="23.25" customHeight="1" x14ac:dyDescent="0.4">
      <c r="B2" s="40"/>
      <c r="C2" s="40"/>
      <c r="D2" s="40"/>
      <c r="E2" s="17" t="s">
        <v>1031</v>
      </c>
    </row>
    <row r="3" spans="1:5" s="12" customFormat="1" ht="23.2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41" customFormat="1" ht="23.2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42" customFormat="1" ht="23.1" customHeight="1" x14ac:dyDescent="0.4">
      <c r="A5" s="65"/>
      <c r="B5" s="57" t="s">
        <v>0</v>
      </c>
      <c r="C5" s="57">
        <v>132494</v>
      </c>
      <c r="D5" s="57">
        <v>62530</v>
      </c>
      <c r="E5" s="57">
        <v>69964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SUM(C8:C27)</f>
        <v>132494</v>
      </c>
      <c r="D7" s="15">
        <f>SUM(D8:D27)</f>
        <v>62530</v>
      </c>
      <c r="E7" s="15">
        <f t="shared" ref="E7" si="0">SUM(E8:E27)</f>
        <v>69964</v>
      </c>
    </row>
    <row r="8" spans="1:5" ht="23.1" customHeight="1" x14ac:dyDescent="0.25">
      <c r="A8" s="4">
        <v>1</v>
      </c>
      <c r="B8" s="4" t="s">
        <v>533</v>
      </c>
      <c r="C8" s="4">
        <v>1216</v>
      </c>
      <c r="D8" s="4">
        <v>626</v>
      </c>
      <c r="E8" s="4">
        <v>590</v>
      </c>
    </row>
    <row r="9" spans="1:5" ht="23.1" customHeight="1" x14ac:dyDescent="0.25">
      <c r="A9" s="4">
        <v>2</v>
      </c>
      <c r="B9" s="4" t="s">
        <v>534</v>
      </c>
      <c r="C9" s="4">
        <v>7666</v>
      </c>
      <c r="D9" s="4">
        <v>3527</v>
      </c>
      <c r="E9" s="4">
        <v>4139</v>
      </c>
    </row>
    <row r="10" spans="1:5" ht="23.1" customHeight="1" x14ac:dyDescent="0.25">
      <c r="A10" s="4">
        <v>3</v>
      </c>
      <c r="B10" s="4" t="s">
        <v>535</v>
      </c>
      <c r="C10" s="4">
        <v>5392</v>
      </c>
      <c r="D10" s="4">
        <v>2681</v>
      </c>
      <c r="E10" s="4">
        <v>2711</v>
      </c>
    </row>
    <row r="11" spans="1:5" ht="23.1" customHeight="1" x14ac:dyDescent="0.25">
      <c r="A11" s="4">
        <v>4</v>
      </c>
      <c r="B11" s="4" t="s">
        <v>536</v>
      </c>
      <c r="C11" s="4">
        <v>8610</v>
      </c>
      <c r="D11" s="4">
        <v>3890</v>
      </c>
      <c r="E11" s="4">
        <v>4720</v>
      </c>
    </row>
    <row r="12" spans="1:5" ht="23.1" customHeight="1" x14ac:dyDescent="0.25">
      <c r="A12" s="4">
        <v>5</v>
      </c>
      <c r="B12" s="4" t="s">
        <v>537</v>
      </c>
      <c r="C12" s="4">
        <v>7677</v>
      </c>
      <c r="D12" s="4">
        <v>3300</v>
      </c>
      <c r="E12" s="4">
        <v>4377</v>
      </c>
    </row>
    <row r="13" spans="1:5" ht="23.1" customHeight="1" x14ac:dyDescent="0.25">
      <c r="A13" s="4">
        <v>6</v>
      </c>
      <c r="B13" s="4" t="s">
        <v>538</v>
      </c>
      <c r="C13" s="4">
        <v>10684</v>
      </c>
      <c r="D13" s="4">
        <v>4908</v>
      </c>
      <c r="E13" s="4">
        <v>5776</v>
      </c>
    </row>
    <row r="14" spans="1:5" ht="23.1" customHeight="1" x14ac:dyDescent="0.25">
      <c r="A14" s="4">
        <v>7</v>
      </c>
      <c r="B14" s="4" t="s">
        <v>539</v>
      </c>
      <c r="C14" s="4">
        <v>5544</v>
      </c>
      <c r="D14" s="4">
        <v>2868</v>
      </c>
      <c r="E14" s="4">
        <v>2676</v>
      </c>
    </row>
    <row r="15" spans="1:5" ht="23.1" customHeight="1" x14ac:dyDescent="0.25">
      <c r="A15" s="4">
        <v>8</v>
      </c>
      <c r="B15" s="4" t="s">
        <v>540</v>
      </c>
      <c r="C15" s="4">
        <v>4038</v>
      </c>
      <c r="D15" s="4">
        <v>1911</v>
      </c>
      <c r="E15" s="4">
        <v>2127</v>
      </c>
    </row>
    <row r="16" spans="1:5" ht="23.1" customHeight="1" x14ac:dyDescent="0.25">
      <c r="A16" s="4">
        <v>9</v>
      </c>
      <c r="B16" s="4" t="s">
        <v>541</v>
      </c>
      <c r="C16" s="4">
        <v>6886</v>
      </c>
      <c r="D16" s="4">
        <v>3161</v>
      </c>
      <c r="E16" s="4">
        <v>3725</v>
      </c>
    </row>
    <row r="17" spans="1:5" ht="23.1" customHeight="1" x14ac:dyDescent="0.25">
      <c r="A17" s="4">
        <v>10</v>
      </c>
      <c r="B17" s="4" t="s">
        <v>542</v>
      </c>
      <c r="C17" s="4">
        <v>3251</v>
      </c>
      <c r="D17" s="4">
        <v>1578</v>
      </c>
      <c r="E17" s="4">
        <v>1673</v>
      </c>
    </row>
    <row r="18" spans="1:5" ht="23.1" customHeight="1" x14ac:dyDescent="0.25">
      <c r="A18" s="4">
        <v>11</v>
      </c>
      <c r="B18" s="4" t="s">
        <v>543</v>
      </c>
      <c r="C18" s="4">
        <v>10095</v>
      </c>
      <c r="D18" s="4">
        <v>4831</v>
      </c>
      <c r="E18" s="4">
        <v>5264</v>
      </c>
    </row>
    <row r="19" spans="1:5" ht="23.1" customHeight="1" x14ac:dyDescent="0.25">
      <c r="A19" s="4">
        <v>12</v>
      </c>
      <c r="B19" s="4" t="s">
        <v>544</v>
      </c>
      <c r="C19" s="4">
        <v>4869</v>
      </c>
      <c r="D19" s="4">
        <v>2204</v>
      </c>
      <c r="E19" s="4">
        <v>2665</v>
      </c>
    </row>
    <row r="20" spans="1:5" ht="23.1" customHeight="1" x14ac:dyDescent="0.25">
      <c r="A20" s="4">
        <v>13</v>
      </c>
      <c r="B20" s="4" t="s">
        <v>545</v>
      </c>
      <c r="C20" s="4">
        <v>3663</v>
      </c>
      <c r="D20" s="4">
        <v>1643</v>
      </c>
      <c r="E20" s="4">
        <v>2020</v>
      </c>
    </row>
    <row r="21" spans="1:5" ht="23.1" customHeight="1" x14ac:dyDescent="0.25">
      <c r="A21" s="4">
        <v>14</v>
      </c>
      <c r="B21" s="4" t="s">
        <v>546</v>
      </c>
      <c r="C21" s="4">
        <v>12102</v>
      </c>
      <c r="D21" s="4">
        <v>5612</v>
      </c>
      <c r="E21" s="4">
        <v>6490</v>
      </c>
    </row>
    <row r="22" spans="1:5" ht="23.1" customHeight="1" x14ac:dyDescent="0.25">
      <c r="A22" s="4">
        <v>15</v>
      </c>
      <c r="B22" s="4" t="s">
        <v>547</v>
      </c>
      <c r="C22" s="4">
        <v>15708</v>
      </c>
      <c r="D22" s="4">
        <v>7453</v>
      </c>
      <c r="E22" s="4">
        <v>8255</v>
      </c>
    </row>
    <row r="23" spans="1:5" ht="23.1" customHeight="1" x14ac:dyDescent="0.25">
      <c r="A23" s="4">
        <v>16</v>
      </c>
      <c r="B23" s="4" t="s">
        <v>548</v>
      </c>
      <c r="C23" s="4">
        <v>6538</v>
      </c>
      <c r="D23" s="4">
        <v>3015</v>
      </c>
      <c r="E23" s="4">
        <v>3523</v>
      </c>
    </row>
    <row r="24" spans="1:5" ht="23.1" customHeight="1" x14ac:dyDescent="0.25">
      <c r="A24" s="4">
        <v>17</v>
      </c>
      <c r="B24" s="4" t="s">
        <v>419</v>
      </c>
      <c r="C24" s="4">
        <v>5035</v>
      </c>
      <c r="D24" s="4">
        <v>2453</v>
      </c>
      <c r="E24" s="4">
        <v>2582</v>
      </c>
    </row>
    <row r="25" spans="1:5" ht="23.1" customHeight="1" x14ac:dyDescent="0.25">
      <c r="A25" s="4">
        <v>18</v>
      </c>
      <c r="B25" s="4" t="s">
        <v>549</v>
      </c>
      <c r="C25" s="4">
        <v>4321</v>
      </c>
      <c r="D25" s="4">
        <v>2095</v>
      </c>
      <c r="E25" s="4">
        <v>2226</v>
      </c>
    </row>
    <row r="26" spans="1:5" ht="23.1" customHeight="1" x14ac:dyDescent="0.25">
      <c r="A26" s="4">
        <v>19</v>
      </c>
      <c r="B26" s="4" t="s">
        <v>550</v>
      </c>
      <c r="C26" s="4">
        <v>5033</v>
      </c>
      <c r="D26" s="4">
        <v>2579</v>
      </c>
      <c r="E26" s="4">
        <v>2454</v>
      </c>
    </row>
    <row r="27" spans="1:5" ht="23.1" customHeight="1" x14ac:dyDescent="0.25">
      <c r="A27" s="10">
        <v>20</v>
      </c>
      <c r="B27" s="10" t="s">
        <v>551</v>
      </c>
      <c r="C27" s="10">
        <v>4166</v>
      </c>
      <c r="D27" s="10">
        <v>2195</v>
      </c>
      <c r="E27" s="10">
        <v>1971</v>
      </c>
    </row>
    <row r="28" spans="1:5" ht="23.1" customHeight="1" x14ac:dyDescent="0.25"/>
    <row r="29" spans="1:5" ht="23.1" customHeight="1" x14ac:dyDescent="0.25"/>
    <row r="30" spans="1:5" ht="23.1" customHeight="1" x14ac:dyDescent="0.25"/>
    <row r="31" spans="1:5" ht="23.1" customHeight="1" x14ac:dyDescent="0.25"/>
    <row r="32" spans="1:5" ht="23.1" customHeight="1" x14ac:dyDescent="0.25"/>
    <row r="33" ht="23.1" customHeight="1" x14ac:dyDescent="0.25"/>
    <row r="34" ht="23.1" customHeight="1" x14ac:dyDescent="0.25"/>
    <row r="35" ht="23.1" customHeight="1" x14ac:dyDescent="0.25"/>
    <row r="36" ht="23.1" customHeight="1" x14ac:dyDescent="0.25"/>
    <row r="37" ht="23.1" customHeight="1" x14ac:dyDescent="0.25"/>
    <row r="38" ht="23.1" customHeight="1" x14ac:dyDescent="0.25"/>
    <row r="39" ht="23.1" customHeight="1" x14ac:dyDescent="0.25"/>
    <row r="40" ht="23.1" customHeight="1" x14ac:dyDescent="0.25"/>
    <row r="41" ht="23.1" customHeight="1" x14ac:dyDescent="0.25"/>
    <row r="42" ht="23.1" customHeight="1" x14ac:dyDescent="0.25"/>
    <row r="43" ht="23.1" customHeight="1" x14ac:dyDescent="0.25"/>
    <row r="44" ht="23.1" customHeight="1" x14ac:dyDescent="0.25"/>
    <row r="45" ht="23.1" customHeight="1" x14ac:dyDescent="0.25"/>
    <row r="46" ht="23.1" customHeight="1" x14ac:dyDescent="0.25"/>
    <row r="47" ht="23.1" customHeight="1" x14ac:dyDescent="0.25"/>
    <row r="48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East  District, Mingala Taungnyunt Township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4.7109375" customWidth="1"/>
    <col min="3" max="5" width="15.7109375" customWidth="1"/>
  </cols>
  <sheetData>
    <row r="1" spans="1:5" s="2" customFormat="1" ht="23.45" customHeight="1" x14ac:dyDescent="0.4">
      <c r="A1" s="80" t="s">
        <v>1066</v>
      </c>
      <c r="B1" s="80"/>
      <c r="C1" s="80"/>
      <c r="D1" s="80"/>
      <c r="E1" s="80"/>
    </row>
    <row r="2" spans="1:5" s="2" customFormat="1" ht="23.45" customHeight="1" x14ac:dyDescent="0.4">
      <c r="C2" s="1"/>
      <c r="D2" s="1"/>
      <c r="E2" s="48" t="s">
        <v>1031</v>
      </c>
    </row>
    <row r="3" spans="1:5" s="2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6"/>
      <c r="B5" s="57" t="s">
        <v>0</v>
      </c>
      <c r="C5" s="57">
        <f>C7+C26</f>
        <v>268063</v>
      </c>
      <c r="D5" s="57">
        <f t="shared" ref="D5:E5" si="0">D7+D26</f>
        <v>130537</v>
      </c>
      <c r="E5" s="57">
        <f t="shared" si="0"/>
        <v>137526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SUM(C8:C24)</f>
        <v>86065</v>
      </c>
      <c r="D7" s="15">
        <f>SUM(D8:D24)</f>
        <v>41110</v>
      </c>
      <c r="E7" s="15">
        <f t="shared" ref="E7" si="1">SUM(E8:E24)</f>
        <v>44955</v>
      </c>
    </row>
    <row r="8" spans="1:5" ht="23.1" customHeight="1" x14ac:dyDescent="0.25">
      <c r="A8" s="4">
        <v>1</v>
      </c>
      <c r="B8" s="4" t="s">
        <v>552</v>
      </c>
      <c r="C8" s="4">
        <v>6082</v>
      </c>
      <c r="D8" s="4">
        <v>3340</v>
      </c>
      <c r="E8" s="4">
        <v>2742</v>
      </c>
    </row>
    <row r="9" spans="1:5" ht="23.1" customHeight="1" x14ac:dyDescent="0.25">
      <c r="A9" s="4">
        <v>2</v>
      </c>
      <c r="B9" s="4" t="s">
        <v>553</v>
      </c>
      <c r="C9" s="4">
        <v>4098</v>
      </c>
      <c r="D9" s="4">
        <v>2119</v>
      </c>
      <c r="E9" s="4">
        <v>1979</v>
      </c>
    </row>
    <row r="10" spans="1:5" ht="23.1" customHeight="1" x14ac:dyDescent="0.25">
      <c r="A10" s="4">
        <v>3</v>
      </c>
      <c r="B10" s="4" t="s">
        <v>554</v>
      </c>
      <c r="C10" s="4">
        <v>12914</v>
      </c>
      <c r="D10" s="4">
        <v>6112</v>
      </c>
      <c r="E10" s="4">
        <v>6802</v>
      </c>
    </row>
    <row r="11" spans="1:5" ht="23.1" customHeight="1" x14ac:dyDescent="0.25">
      <c r="A11" s="4">
        <v>4</v>
      </c>
      <c r="B11" s="4" t="s">
        <v>555</v>
      </c>
      <c r="C11" s="4">
        <v>5449</v>
      </c>
      <c r="D11" s="4">
        <v>2575</v>
      </c>
      <c r="E11" s="4">
        <v>2874</v>
      </c>
    </row>
    <row r="12" spans="1:5" ht="23.1" customHeight="1" x14ac:dyDescent="0.25">
      <c r="A12" s="4">
        <v>5</v>
      </c>
      <c r="B12" s="4" t="s">
        <v>556</v>
      </c>
      <c r="C12" s="4">
        <v>5657</v>
      </c>
      <c r="D12" s="4">
        <v>2683</v>
      </c>
      <c r="E12" s="4">
        <v>2974</v>
      </c>
    </row>
    <row r="13" spans="1:5" ht="23.1" customHeight="1" x14ac:dyDescent="0.25">
      <c r="A13" s="4">
        <v>6</v>
      </c>
      <c r="B13" s="4" t="s">
        <v>557</v>
      </c>
      <c r="C13" s="4">
        <v>12009</v>
      </c>
      <c r="D13" s="4">
        <v>5701</v>
      </c>
      <c r="E13" s="4">
        <v>6308</v>
      </c>
    </row>
    <row r="14" spans="1:5" ht="23.1" customHeight="1" x14ac:dyDescent="0.25">
      <c r="A14" s="4">
        <v>7</v>
      </c>
      <c r="B14" s="4" t="s">
        <v>558</v>
      </c>
      <c r="C14" s="4">
        <v>5315</v>
      </c>
      <c r="D14" s="4">
        <v>2460</v>
      </c>
      <c r="E14" s="4">
        <v>2855</v>
      </c>
    </row>
    <row r="15" spans="1:5" ht="23.1" customHeight="1" x14ac:dyDescent="0.25">
      <c r="A15" s="4">
        <v>8</v>
      </c>
      <c r="B15" s="4" t="s">
        <v>559</v>
      </c>
      <c r="C15" s="4">
        <v>3318</v>
      </c>
      <c r="D15" s="4">
        <v>1479</v>
      </c>
      <c r="E15" s="4">
        <v>1839</v>
      </c>
    </row>
    <row r="16" spans="1:5" ht="23.1" customHeight="1" x14ac:dyDescent="0.25">
      <c r="A16" s="4">
        <v>9</v>
      </c>
      <c r="B16" s="4" t="s">
        <v>560</v>
      </c>
      <c r="C16" s="4">
        <v>1381</v>
      </c>
      <c r="D16" s="4">
        <v>691</v>
      </c>
      <c r="E16" s="4">
        <v>690</v>
      </c>
    </row>
    <row r="17" spans="1:5" ht="23.1" customHeight="1" x14ac:dyDescent="0.25">
      <c r="A17" s="4">
        <v>10</v>
      </c>
      <c r="B17" s="4" t="s">
        <v>561</v>
      </c>
      <c r="C17" s="4">
        <v>860</v>
      </c>
      <c r="D17" s="4">
        <v>480</v>
      </c>
      <c r="E17" s="4">
        <v>380</v>
      </c>
    </row>
    <row r="18" spans="1:5" ht="23.1" customHeight="1" x14ac:dyDescent="0.25">
      <c r="A18" s="4">
        <v>11</v>
      </c>
      <c r="B18" s="4" t="s">
        <v>562</v>
      </c>
      <c r="C18" s="4">
        <v>579</v>
      </c>
      <c r="D18" s="4">
        <v>283</v>
      </c>
      <c r="E18" s="4">
        <v>296</v>
      </c>
    </row>
    <row r="19" spans="1:5" ht="23.1" customHeight="1" x14ac:dyDescent="0.25">
      <c r="A19" s="4">
        <v>12</v>
      </c>
      <c r="B19" s="4" t="s">
        <v>563</v>
      </c>
      <c r="C19" s="4">
        <v>5244</v>
      </c>
      <c r="D19" s="4">
        <v>2333</v>
      </c>
      <c r="E19" s="4">
        <v>2911</v>
      </c>
    </row>
    <row r="20" spans="1:5" ht="23.1" customHeight="1" x14ac:dyDescent="0.25">
      <c r="A20" s="4">
        <v>13</v>
      </c>
      <c r="B20" s="4" t="s">
        <v>564</v>
      </c>
      <c r="C20" s="4">
        <v>1287</v>
      </c>
      <c r="D20" s="4">
        <v>586</v>
      </c>
      <c r="E20" s="4">
        <v>701</v>
      </c>
    </row>
    <row r="21" spans="1:5" ht="23.1" customHeight="1" x14ac:dyDescent="0.25">
      <c r="A21" s="4">
        <v>14</v>
      </c>
      <c r="B21" s="4" t="s">
        <v>99</v>
      </c>
      <c r="C21" s="4">
        <v>2299</v>
      </c>
      <c r="D21" s="4">
        <v>1030</v>
      </c>
      <c r="E21" s="4">
        <v>1269</v>
      </c>
    </row>
    <row r="22" spans="1:5" ht="23.1" customHeight="1" x14ac:dyDescent="0.25">
      <c r="A22" s="4">
        <v>15</v>
      </c>
      <c r="B22" s="4" t="s">
        <v>565</v>
      </c>
      <c r="C22" s="4">
        <v>6714</v>
      </c>
      <c r="D22" s="4">
        <v>3235</v>
      </c>
      <c r="E22" s="4">
        <v>3479</v>
      </c>
    </row>
    <row r="23" spans="1:5" ht="23.1" customHeight="1" x14ac:dyDescent="0.25">
      <c r="A23" s="4">
        <v>16</v>
      </c>
      <c r="B23" s="4" t="s">
        <v>566</v>
      </c>
      <c r="C23" s="4">
        <v>2456</v>
      </c>
      <c r="D23" s="4">
        <v>1185</v>
      </c>
      <c r="E23" s="4">
        <v>1271</v>
      </c>
    </row>
    <row r="24" spans="1:5" ht="23.1" customHeight="1" x14ac:dyDescent="0.25">
      <c r="A24" s="4">
        <v>17</v>
      </c>
      <c r="B24" s="4" t="s">
        <v>404</v>
      </c>
      <c r="C24" s="4">
        <v>10403</v>
      </c>
      <c r="D24" s="4">
        <v>4818</v>
      </c>
      <c r="E24" s="4">
        <v>5585</v>
      </c>
    </row>
    <row r="25" spans="1:5" ht="23.1" customHeight="1" x14ac:dyDescent="0.25">
      <c r="A25" s="4"/>
      <c r="B25" s="4"/>
      <c r="C25" s="4"/>
      <c r="D25" s="4"/>
      <c r="E25" s="4"/>
    </row>
    <row r="26" spans="1:5" ht="23.1" customHeight="1" x14ac:dyDescent="0.25">
      <c r="A26" s="4"/>
      <c r="B26" s="15" t="s">
        <v>1032</v>
      </c>
      <c r="C26" s="15">
        <f>SUM(C27:C54)</f>
        <v>181998</v>
      </c>
      <c r="D26" s="15">
        <f t="shared" ref="D26:E26" si="2">SUM(D27:D54)</f>
        <v>89427</v>
      </c>
      <c r="E26" s="15">
        <f t="shared" si="2"/>
        <v>92571</v>
      </c>
    </row>
    <row r="27" spans="1:5" ht="23.1" customHeight="1" x14ac:dyDescent="0.25">
      <c r="A27" s="4">
        <v>1</v>
      </c>
      <c r="B27" s="4" t="s">
        <v>567</v>
      </c>
      <c r="C27" s="4">
        <v>1179</v>
      </c>
      <c r="D27" s="4">
        <v>570</v>
      </c>
      <c r="E27" s="4">
        <v>609</v>
      </c>
    </row>
    <row r="28" spans="1:5" ht="23.1" customHeight="1" x14ac:dyDescent="0.25">
      <c r="A28" s="4">
        <v>2</v>
      </c>
      <c r="B28" s="4" t="s">
        <v>568</v>
      </c>
      <c r="C28" s="4">
        <v>3995</v>
      </c>
      <c r="D28" s="4">
        <v>1950</v>
      </c>
      <c r="E28" s="4">
        <v>2045</v>
      </c>
    </row>
    <row r="29" spans="1:5" ht="23.1" customHeight="1" x14ac:dyDescent="0.25">
      <c r="A29" s="4">
        <v>3</v>
      </c>
      <c r="B29" s="4" t="s">
        <v>569</v>
      </c>
      <c r="C29" s="4">
        <v>1996</v>
      </c>
      <c r="D29" s="4">
        <v>971</v>
      </c>
      <c r="E29" s="4">
        <v>1025</v>
      </c>
    </row>
    <row r="30" spans="1:5" ht="23.1" customHeight="1" x14ac:dyDescent="0.25">
      <c r="A30" s="4">
        <v>4</v>
      </c>
      <c r="B30" s="4" t="s">
        <v>570</v>
      </c>
      <c r="C30" s="4">
        <v>2154</v>
      </c>
      <c r="D30" s="4">
        <v>1048</v>
      </c>
      <c r="E30" s="4">
        <v>1106</v>
      </c>
    </row>
    <row r="31" spans="1:5" ht="23.1" customHeight="1" x14ac:dyDescent="0.25">
      <c r="A31" s="4">
        <v>5</v>
      </c>
      <c r="B31" s="4" t="s">
        <v>571</v>
      </c>
      <c r="C31" s="4">
        <v>2588</v>
      </c>
      <c r="D31" s="4">
        <v>1270</v>
      </c>
      <c r="E31" s="4">
        <v>1318</v>
      </c>
    </row>
    <row r="32" spans="1:5" ht="23.1" customHeight="1" x14ac:dyDescent="0.25">
      <c r="A32" s="4">
        <v>6</v>
      </c>
      <c r="B32" s="4" t="s">
        <v>572</v>
      </c>
      <c r="C32" s="4">
        <v>4146</v>
      </c>
      <c r="D32" s="4">
        <v>2015</v>
      </c>
      <c r="E32" s="4">
        <v>2131</v>
      </c>
    </row>
    <row r="33" spans="1:5" ht="23.1" customHeight="1" x14ac:dyDescent="0.25">
      <c r="A33" s="4">
        <v>7</v>
      </c>
      <c r="B33" s="4" t="s">
        <v>573</v>
      </c>
      <c r="C33" s="4">
        <v>4392</v>
      </c>
      <c r="D33" s="4">
        <v>2079</v>
      </c>
      <c r="E33" s="4">
        <v>2313</v>
      </c>
    </row>
    <row r="34" spans="1:5" ht="23.1" customHeight="1" x14ac:dyDescent="0.25">
      <c r="A34" s="4">
        <v>8</v>
      </c>
      <c r="B34" s="4" t="s">
        <v>574</v>
      </c>
      <c r="C34" s="4">
        <v>4272</v>
      </c>
      <c r="D34" s="4">
        <v>2053</v>
      </c>
      <c r="E34" s="4">
        <v>2219</v>
      </c>
    </row>
    <row r="35" spans="1:5" ht="23.1" customHeight="1" x14ac:dyDescent="0.25">
      <c r="A35" s="4">
        <v>9</v>
      </c>
      <c r="B35" s="4" t="s">
        <v>207</v>
      </c>
      <c r="C35" s="4">
        <v>2525</v>
      </c>
      <c r="D35" s="4">
        <v>1213</v>
      </c>
      <c r="E35" s="4">
        <v>1312</v>
      </c>
    </row>
    <row r="36" spans="1:5" ht="23.1" customHeight="1" x14ac:dyDescent="0.25">
      <c r="A36" s="4">
        <v>10</v>
      </c>
      <c r="B36" s="4" t="s">
        <v>575</v>
      </c>
      <c r="C36" s="4">
        <v>2714</v>
      </c>
      <c r="D36" s="4">
        <v>1317</v>
      </c>
      <c r="E36" s="4">
        <v>1397</v>
      </c>
    </row>
    <row r="37" spans="1:5" ht="23.1" customHeight="1" x14ac:dyDescent="0.25">
      <c r="A37" s="4">
        <v>11</v>
      </c>
      <c r="B37" s="4" t="s">
        <v>576</v>
      </c>
      <c r="C37" s="4">
        <v>6885</v>
      </c>
      <c r="D37" s="4">
        <v>3361</v>
      </c>
      <c r="E37" s="4">
        <v>3524</v>
      </c>
    </row>
    <row r="38" spans="1:5" ht="23.1" customHeight="1" x14ac:dyDescent="0.25">
      <c r="A38" s="4">
        <v>12</v>
      </c>
      <c r="B38" s="4" t="s">
        <v>577</v>
      </c>
      <c r="C38" s="4">
        <v>8953</v>
      </c>
      <c r="D38" s="4">
        <v>5453</v>
      </c>
      <c r="E38" s="4">
        <v>3500</v>
      </c>
    </row>
    <row r="39" spans="1:5" ht="23.1" customHeight="1" x14ac:dyDescent="0.25">
      <c r="A39" s="4">
        <v>13</v>
      </c>
      <c r="B39" s="4" t="s">
        <v>578</v>
      </c>
      <c r="C39" s="4">
        <v>26742</v>
      </c>
      <c r="D39" s="4">
        <v>13014</v>
      </c>
      <c r="E39" s="4">
        <v>13728</v>
      </c>
    </row>
    <row r="40" spans="1:5" ht="23.1" customHeight="1" x14ac:dyDescent="0.25">
      <c r="A40" s="4">
        <v>14</v>
      </c>
      <c r="B40" s="4" t="s">
        <v>579</v>
      </c>
      <c r="C40" s="4">
        <v>2764</v>
      </c>
      <c r="D40" s="4">
        <v>1325</v>
      </c>
      <c r="E40" s="4">
        <v>1439</v>
      </c>
    </row>
    <row r="41" spans="1:5" ht="23.1" customHeight="1" x14ac:dyDescent="0.25">
      <c r="A41" s="4">
        <v>15</v>
      </c>
      <c r="B41" s="4" t="s">
        <v>580</v>
      </c>
      <c r="C41" s="4">
        <v>3081</v>
      </c>
      <c r="D41" s="4">
        <v>1533</v>
      </c>
      <c r="E41" s="4">
        <v>1548</v>
      </c>
    </row>
    <row r="42" spans="1:5" ht="23.1" customHeight="1" x14ac:dyDescent="0.25">
      <c r="A42" s="4">
        <v>16</v>
      </c>
      <c r="B42" s="4" t="s">
        <v>581</v>
      </c>
      <c r="C42" s="4">
        <v>1593</v>
      </c>
      <c r="D42" s="4">
        <v>774</v>
      </c>
      <c r="E42" s="4">
        <v>819</v>
      </c>
    </row>
    <row r="43" spans="1:5" ht="23.1" customHeight="1" x14ac:dyDescent="0.25">
      <c r="A43" s="4">
        <v>17</v>
      </c>
      <c r="B43" s="4" t="s">
        <v>582</v>
      </c>
      <c r="C43" s="4">
        <v>1992</v>
      </c>
      <c r="D43" s="4">
        <v>974</v>
      </c>
      <c r="E43" s="4">
        <v>1018</v>
      </c>
    </row>
    <row r="44" spans="1:5" ht="23.1" customHeight="1" x14ac:dyDescent="0.25">
      <c r="A44" s="4">
        <v>18</v>
      </c>
      <c r="B44" s="4" t="s">
        <v>583</v>
      </c>
      <c r="C44" s="4">
        <v>2687</v>
      </c>
      <c r="D44" s="4">
        <v>1327</v>
      </c>
      <c r="E44" s="4">
        <v>1360</v>
      </c>
    </row>
    <row r="45" spans="1:5" ht="23.1" customHeight="1" x14ac:dyDescent="0.25">
      <c r="A45" s="4">
        <v>19</v>
      </c>
      <c r="B45" s="4" t="s">
        <v>130</v>
      </c>
      <c r="C45" s="4">
        <v>753</v>
      </c>
      <c r="D45" s="4">
        <v>384</v>
      </c>
      <c r="E45" s="4">
        <v>369</v>
      </c>
    </row>
    <row r="46" spans="1:5" ht="23.1" customHeight="1" x14ac:dyDescent="0.25">
      <c r="A46" s="4">
        <v>20</v>
      </c>
      <c r="B46" s="4" t="s">
        <v>584</v>
      </c>
      <c r="C46" s="4">
        <v>21239</v>
      </c>
      <c r="D46" s="4">
        <v>10287</v>
      </c>
      <c r="E46" s="4">
        <v>10952</v>
      </c>
    </row>
    <row r="47" spans="1:5" ht="23.1" customHeight="1" x14ac:dyDescent="0.25">
      <c r="A47" s="4">
        <v>21</v>
      </c>
      <c r="B47" s="4" t="s">
        <v>585</v>
      </c>
      <c r="C47" s="4">
        <v>8906</v>
      </c>
      <c r="D47" s="4">
        <v>4295</v>
      </c>
      <c r="E47" s="4">
        <v>4611</v>
      </c>
    </row>
    <row r="48" spans="1:5" ht="23.1" customHeight="1" x14ac:dyDescent="0.25">
      <c r="A48" s="4">
        <v>22</v>
      </c>
      <c r="B48" s="4" t="s">
        <v>586</v>
      </c>
      <c r="C48" s="4">
        <v>55700</v>
      </c>
      <c r="D48" s="4">
        <v>26941</v>
      </c>
      <c r="E48" s="4">
        <v>28759</v>
      </c>
    </row>
    <row r="49" spans="1:5" ht="23.1" customHeight="1" x14ac:dyDescent="0.25">
      <c r="A49" s="4">
        <v>23</v>
      </c>
      <c r="B49" s="4" t="s">
        <v>587</v>
      </c>
      <c r="C49" s="4">
        <v>1773</v>
      </c>
      <c r="D49" s="4">
        <v>881</v>
      </c>
      <c r="E49" s="4">
        <v>892</v>
      </c>
    </row>
    <row r="50" spans="1:5" ht="23.1" customHeight="1" x14ac:dyDescent="0.25">
      <c r="A50" s="4">
        <v>24</v>
      </c>
      <c r="B50" s="4" t="s">
        <v>588</v>
      </c>
      <c r="C50" s="4">
        <v>1532</v>
      </c>
      <c r="D50" s="4">
        <v>740</v>
      </c>
      <c r="E50" s="4">
        <v>792</v>
      </c>
    </row>
    <row r="51" spans="1:5" ht="23.1" customHeight="1" x14ac:dyDescent="0.25">
      <c r="A51" s="4">
        <v>25</v>
      </c>
      <c r="B51" s="4" t="s">
        <v>589</v>
      </c>
      <c r="C51" s="4">
        <v>1936</v>
      </c>
      <c r="D51" s="4">
        <v>955</v>
      </c>
      <c r="E51" s="4">
        <v>981</v>
      </c>
    </row>
    <row r="52" spans="1:5" ht="23.1" customHeight="1" x14ac:dyDescent="0.25">
      <c r="A52" s="4">
        <v>26</v>
      </c>
      <c r="B52" s="4" t="s">
        <v>590</v>
      </c>
      <c r="C52" s="4">
        <v>3066</v>
      </c>
      <c r="D52" s="4">
        <v>1516</v>
      </c>
      <c r="E52" s="4">
        <v>1550</v>
      </c>
    </row>
    <row r="53" spans="1:5" ht="23.1" customHeight="1" x14ac:dyDescent="0.25">
      <c r="A53" s="4">
        <v>27</v>
      </c>
      <c r="B53" s="4" t="s">
        <v>591</v>
      </c>
      <c r="C53" s="4">
        <v>1116</v>
      </c>
      <c r="D53" s="4">
        <v>542</v>
      </c>
      <c r="E53" s="4">
        <v>574</v>
      </c>
    </row>
    <row r="54" spans="1:5" ht="23.1" customHeight="1" x14ac:dyDescent="0.25">
      <c r="A54" s="10">
        <v>28</v>
      </c>
      <c r="B54" s="10" t="s">
        <v>212</v>
      </c>
      <c r="C54" s="10">
        <v>1319</v>
      </c>
      <c r="D54" s="10">
        <v>639</v>
      </c>
      <c r="E54" s="10">
        <v>680</v>
      </c>
    </row>
    <row r="55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 Thanlyin Township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5" x14ac:dyDescent="0.25"/>
  <cols>
    <col min="2" max="2" width="26" bestFit="1" customWidth="1"/>
    <col min="3" max="5" width="15.7109375" customWidth="1"/>
  </cols>
  <sheetData>
    <row r="1" spans="1:5" s="2" customFormat="1" ht="23.25" customHeight="1" x14ac:dyDescent="0.4">
      <c r="A1" s="80" t="s">
        <v>1067</v>
      </c>
      <c r="B1" s="80"/>
      <c r="C1" s="80"/>
      <c r="D1" s="80"/>
      <c r="E1" s="80"/>
    </row>
    <row r="2" spans="1:5" s="2" customFormat="1" ht="23.25" customHeight="1" x14ac:dyDescent="0.4">
      <c r="C2" s="1"/>
      <c r="D2" s="1"/>
      <c r="E2" s="48" t="s">
        <v>1031</v>
      </c>
    </row>
    <row r="3" spans="1:5" s="2" customFormat="1" ht="23.2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2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7"/>
      <c r="B5" s="68" t="s">
        <v>0</v>
      </c>
      <c r="C5" s="68">
        <f>C7+C18</f>
        <v>132765</v>
      </c>
      <c r="D5" s="68">
        <f>D7+D18</f>
        <v>64378</v>
      </c>
      <c r="E5" s="68">
        <f t="shared" ref="E5" si="0">E7+E18</f>
        <v>68387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SUM(C8:C16)</f>
        <v>42778</v>
      </c>
      <c r="D7" s="15">
        <f t="shared" ref="D7:E7" si="1">SUM(D8:D16)</f>
        <v>20541</v>
      </c>
      <c r="E7" s="15">
        <f t="shared" si="1"/>
        <v>22237</v>
      </c>
    </row>
    <row r="8" spans="1:5" ht="23.1" customHeight="1" x14ac:dyDescent="0.25">
      <c r="A8" s="4">
        <v>1</v>
      </c>
      <c r="B8" s="4" t="s">
        <v>592</v>
      </c>
      <c r="C8" s="4">
        <v>3013</v>
      </c>
      <c r="D8" s="4">
        <v>1483</v>
      </c>
      <c r="E8" s="4">
        <v>1530</v>
      </c>
    </row>
    <row r="9" spans="1:5" ht="23.1" customHeight="1" x14ac:dyDescent="0.25">
      <c r="A9" s="4">
        <v>2</v>
      </c>
      <c r="B9" s="4" t="s">
        <v>593</v>
      </c>
      <c r="C9" s="4">
        <v>1451</v>
      </c>
      <c r="D9" s="4">
        <v>675</v>
      </c>
      <c r="E9" s="4">
        <v>776</v>
      </c>
    </row>
    <row r="10" spans="1:5" ht="23.1" customHeight="1" x14ac:dyDescent="0.25">
      <c r="A10" s="4">
        <v>3</v>
      </c>
      <c r="B10" s="4" t="s">
        <v>594</v>
      </c>
      <c r="C10" s="4">
        <v>4947</v>
      </c>
      <c r="D10" s="4">
        <v>2271</v>
      </c>
      <c r="E10" s="4">
        <v>2676</v>
      </c>
    </row>
    <row r="11" spans="1:5" ht="23.1" customHeight="1" x14ac:dyDescent="0.25">
      <c r="A11" s="4">
        <v>4</v>
      </c>
      <c r="B11" s="4" t="s">
        <v>595</v>
      </c>
      <c r="C11" s="4">
        <v>6962</v>
      </c>
      <c r="D11" s="4">
        <v>3252</v>
      </c>
      <c r="E11" s="4">
        <v>3710</v>
      </c>
    </row>
    <row r="12" spans="1:5" ht="23.1" customHeight="1" x14ac:dyDescent="0.25">
      <c r="A12" s="4">
        <v>5</v>
      </c>
      <c r="B12" s="4" t="s">
        <v>596</v>
      </c>
      <c r="C12" s="4">
        <v>9489</v>
      </c>
      <c r="D12" s="4">
        <v>4383</v>
      </c>
      <c r="E12" s="4">
        <v>5106</v>
      </c>
    </row>
    <row r="13" spans="1:5" ht="23.1" customHeight="1" x14ac:dyDescent="0.25">
      <c r="A13" s="4">
        <v>6</v>
      </c>
      <c r="B13" s="4" t="s">
        <v>597</v>
      </c>
      <c r="C13" s="4">
        <v>7223</v>
      </c>
      <c r="D13" s="4">
        <v>3374</v>
      </c>
      <c r="E13" s="4">
        <v>3849</v>
      </c>
    </row>
    <row r="14" spans="1:5" ht="23.1" customHeight="1" x14ac:dyDescent="0.25">
      <c r="A14" s="4">
        <v>7</v>
      </c>
      <c r="B14" s="4" t="s">
        <v>598</v>
      </c>
      <c r="C14" s="4">
        <v>3809</v>
      </c>
      <c r="D14" s="4">
        <v>1942</v>
      </c>
      <c r="E14" s="4">
        <v>1867</v>
      </c>
    </row>
    <row r="15" spans="1:5" ht="23.1" customHeight="1" x14ac:dyDescent="0.25">
      <c r="A15" s="4">
        <v>8</v>
      </c>
      <c r="B15" s="4" t="s">
        <v>599</v>
      </c>
      <c r="C15" s="4">
        <v>3716</v>
      </c>
      <c r="D15" s="4">
        <v>1885</v>
      </c>
      <c r="E15" s="4">
        <v>1831</v>
      </c>
    </row>
    <row r="16" spans="1:5" ht="23.1" customHeight="1" x14ac:dyDescent="0.25">
      <c r="A16" s="4">
        <v>9</v>
      </c>
      <c r="B16" s="4" t="s">
        <v>600</v>
      </c>
      <c r="C16" s="4">
        <v>2168</v>
      </c>
      <c r="D16" s="4">
        <v>1276</v>
      </c>
      <c r="E16" s="4">
        <v>892</v>
      </c>
    </row>
    <row r="17" spans="1:5" ht="23.1" customHeight="1" x14ac:dyDescent="0.25">
      <c r="A17" s="4"/>
      <c r="B17" s="4"/>
      <c r="C17" s="4"/>
      <c r="D17" s="4"/>
      <c r="E17" s="4"/>
    </row>
    <row r="18" spans="1:5" ht="23.1" customHeight="1" x14ac:dyDescent="0.25">
      <c r="A18" s="4"/>
      <c r="B18" s="15" t="s">
        <v>1032</v>
      </c>
      <c r="C18" s="15">
        <f>SUM(C19:C50)</f>
        <v>89987</v>
      </c>
      <c r="D18" s="15">
        <f>SUM(D19:D50)</f>
        <v>43837</v>
      </c>
      <c r="E18" s="15">
        <f t="shared" ref="E18" si="2">SUM(E19:E50)</f>
        <v>46150</v>
      </c>
    </row>
    <row r="19" spans="1:5" ht="23.1" customHeight="1" x14ac:dyDescent="0.25">
      <c r="A19" s="4">
        <v>1</v>
      </c>
      <c r="B19" s="4" t="s">
        <v>601</v>
      </c>
      <c r="C19" s="4">
        <v>3531</v>
      </c>
      <c r="D19" s="4">
        <v>1747</v>
      </c>
      <c r="E19" s="4">
        <v>1784</v>
      </c>
    </row>
    <row r="20" spans="1:5" ht="23.1" customHeight="1" x14ac:dyDescent="0.25">
      <c r="A20" s="4">
        <v>2</v>
      </c>
      <c r="B20" s="4" t="s">
        <v>602</v>
      </c>
      <c r="C20" s="4">
        <v>1358</v>
      </c>
      <c r="D20" s="4">
        <v>668</v>
      </c>
      <c r="E20" s="4">
        <v>690</v>
      </c>
    </row>
    <row r="21" spans="1:5" ht="23.1" customHeight="1" x14ac:dyDescent="0.25">
      <c r="A21" s="4">
        <v>3</v>
      </c>
      <c r="B21" s="4" t="s">
        <v>603</v>
      </c>
      <c r="C21" s="4">
        <v>2059</v>
      </c>
      <c r="D21" s="4">
        <v>1040</v>
      </c>
      <c r="E21" s="4">
        <v>1019</v>
      </c>
    </row>
    <row r="22" spans="1:5" ht="23.1" customHeight="1" x14ac:dyDescent="0.25">
      <c r="A22" s="4">
        <v>4</v>
      </c>
      <c r="B22" s="4" t="s">
        <v>604</v>
      </c>
      <c r="C22" s="4">
        <v>2214</v>
      </c>
      <c r="D22" s="4">
        <v>1076</v>
      </c>
      <c r="E22" s="4">
        <v>1138</v>
      </c>
    </row>
    <row r="23" spans="1:5" ht="23.1" customHeight="1" x14ac:dyDescent="0.25">
      <c r="A23" s="4">
        <v>5</v>
      </c>
      <c r="B23" s="4" t="s">
        <v>605</v>
      </c>
      <c r="C23" s="4">
        <v>1619</v>
      </c>
      <c r="D23" s="4">
        <v>791</v>
      </c>
      <c r="E23" s="4">
        <v>828</v>
      </c>
    </row>
    <row r="24" spans="1:5" ht="23.1" customHeight="1" x14ac:dyDescent="0.25">
      <c r="A24" s="4">
        <v>6</v>
      </c>
      <c r="B24" s="4" t="s">
        <v>606</v>
      </c>
      <c r="C24" s="4">
        <v>1766</v>
      </c>
      <c r="D24" s="4">
        <v>868</v>
      </c>
      <c r="E24" s="4">
        <v>898</v>
      </c>
    </row>
    <row r="25" spans="1:5" ht="23.1" customHeight="1" x14ac:dyDescent="0.25">
      <c r="A25" s="4">
        <v>7</v>
      </c>
      <c r="B25" s="4" t="s">
        <v>607</v>
      </c>
      <c r="C25" s="4">
        <v>816</v>
      </c>
      <c r="D25" s="4">
        <v>388</v>
      </c>
      <c r="E25" s="4">
        <v>428</v>
      </c>
    </row>
    <row r="26" spans="1:5" ht="23.1" customHeight="1" x14ac:dyDescent="0.25">
      <c r="A26" s="4">
        <v>8</v>
      </c>
      <c r="B26" s="4" t="s">
        <v>608</v>
      </c>
      <c r="C26" s="4">
        <v>1415</v>
      </c>
      <c r="D26" s="4">
        <v>693</v>
      </c>
      <c r="E26" s="4">
        <v>722</v>
      </c>
    </row>
    <row r="27" spans="1:5" ht="23.1" customHeight="1" x14ac:dyDescent="0.25">
      <c r="A27" s="4">
        <v>9</v>
      </c>
      <c r="B27" s="4" t="s">
        <v>609</v>
      </c>
      <c r="C27" s="4">
        <v>2200</v>
      </c>
      <c r="D27" s="4">
        <v>1075</v>
      </c>
      <c r="E27" s="4">
        <v>1125</v>
      </c>
    </row>
    <row r="28" spans="1:5" ht="23.1" customHeight="1" x14ac:dyDescent="0.25">
      <c r="A28" s="4">
        <v>10</v>
      </c>
      <c r="B28" s="4" t="s">
        <v>610</v>
      </c>
      <c r="C28" s="4">
        <v>2766</v>
      </c>
      <c r="D28" s="4">
        <v>1335</v>
      </c>
      <c r="E28" s="4">
        <v>1431</v>
      </c>
    </row>
    <row r="29" spans="1:5" ht="23.1" customHeight="1" x14ac:dyDescent="0.25">
      <c r="A29" s="4">
        <v>11</v>
      </c>
      <c r="B29" s="4" t="s">
        <v>572</v>
      </c>
      <c r="C29" s="4">
        <v>5273</v>
      </c>
      <c r="D29" s="4">
        <v>2464</v>
      </c>
      <c r="E29" s="4">
        <v>2809</v>
      </c>
    </row>
    <row r="30" spans="1:5" ht="23.1" customHeight="1" x14ac:dyDescent="0.25">
      <c r="A30" s="4">
        <v>12</v>
      </c>
      <c r="B30" s="4" t="s">
        <v>611</v>
      </c>
      <c r="C30" s="4">
        <v>1756</v>
      </c>
      <c r="D30" s="4">
        <v>863</v>
      </c>
      <c r="E30" s="4">
        <v>893</v>
      </c>
    </row>
    <row r="31" spans="1:5" ht="23.1" customHeight="1" x14ac:dyDescent="0.25">
      <c r="A31" s="4">
        <v>13</v>
      </c>
      <c r="B31" s="4" t="s">
        <v>612</v>
      </c>
      <c r="C31" s="4">
        <v>571</v>
      </c>
      <c r="D31" s="4">
        <v>283</v>
      </c>
      <c r="E31" s="4">
        <v>288</v>
      </c>
    </row>
    <row r="32" spans="1:5" ht="23.1" customHeight="1" x14ac:dyDescent="0.25">
      <c r="A32" s="4">
        <v>14</v>
      </c>
      <c r="B32" s="4" t="s">
        <v>613</v>
      </c>
      <c r="C32" s="4">
        <v>3034</v>
      </c>
      <c r="D32" s="4">
        <v>1485</v>
      </c>
      <c r="E32" s="4">
        <v>1549</v>
      </c>
    </row>
    <row r="33" spans="1:5" ht="23.1" customHeight="1" x14ac:dyDescent="0.25">
      <c r="A33" s="4">
        <v>15</v>
      </c>
      <c r="B33" s="4" t="s">
        <v>614</v>
      </c>
      <c r="C33" s="4">
        <v>1818</v>
      </c>
      <c r="D33" s="4">
        <v>896</v>
      </c>
      <c r="E33" s="4">
        <v>922</v>
      </c>
    </row>
    <row r="34" spans="1:5" ht="23.1" customHeight="1" x14ac:dyDescent="0.25">
      <c r="A34" s="4">
        <v>16</v>
      </c>
      <c r="B34" s="4" t="s">
        <v>615</v>
      </c>
      <c r="C34" s="4">
        <v>1375</v>
      </c>
      <c r="D34" s="4">
        <v>683</v>
      </c>
      <c r="E34" s="4">
        <v>692</v>
      </c>
    </row>
    <row r="35" spans="1:5" ht="23.1" customHeight="1" x14ac:dyDescent="0.25">
      <c r="A35" s="4">
        <v>17</v>
      </c>
      <c r="B35" s="4" t="s">
        <v>616</v>
      </c>
      <c r="C35" s="4">
        <v>1358</v>
      </c>
      <c r="D35" s="4">
        <v>666</v>
      </c>
      <c r="E35" s="4">
        <v>692</v>
      </c>
    </row>
    <row r="36" spans="1:5" ht="23.1" customHeight="1" x14ac:dyDescent="0.25">
      <c r="A36" s="4">
        <v>18</v>
      </c>
      <c r="B36" s="4" t="s">
        <v>66</v>
      </c>
      <c r="C36" s="4">
        <v>2075</v>
      </c>
      <c r="D36" s="4">
        <v>1025</v>
      </c>
      <c r="E36" s="4">
        <v>1050</v>
      </c>
    </row>
    <row r="37" spans="1:5" ht="23.1" customHeight="1" x14ac:dyDescent="0.25">
      <c r="A37" s="4">
        <v>19</v>
      </c>
      <c r="B37" s="4" t="s">
        <v>617</v>
      </c>
      <c r="C37" s="4">
        <v>2169</v>
      </c>
      <c r="D37" s="4">
        <v>1015</v>
      </c>
      <c r="E37" s="4">
        <v>1154</v>
      </c>
    </row>
    <row r="38" spans="1:5" ht="23.1" customHeight="1" x14ac:dyDescent="0.25">
      <c r="A38" s="4">
        <v>20</v>
      </c>
      <c r="B38" s="4" t="s">
        <v>618</v>
      </c>
      <c r="C38" s="4">
        <v>2560</v>
      </c>
      <c r="D38" s="4">
        <v>1214</v>
      </c>
      <c r="E38" s="4">
        <v>1346</v>
      </c>
    </row>
    <row r="39" spans="1:5" ht="23.1" customHeight="1" x14ac:dyDescent="0.25">
      <c r="A39" s="4">
        <v>21</v>
      </c>
      <c r="B39" s="4" t="s">
        <v>619</v>
      </c>
      <c r="C39" s="4">
        <v>7988</v>
      </c>
      <c r="D39" s="4">
        <v>3675</v>
      </c>
      <c r="E39" s="4">
        <v>4313</v>
      </c>
    </row>
    <row r="40" spans="1:5" ht="23.1" customHeight="1" x14ac:dyDescent="0.25">
      <c r="A40" s="4">
        <v>22</v>
      </c>
      <c r="B40" s="4" t="s">
        <v>620</v>
      </c>
      <c r="C40" s="4">
        <v>3126</v>
      </c>
      <c r="D40" s="4">
        <v>1543</v>
      </c>
      <c r="E40" s="4">
        <v>1583</v>
      </c>
    </row>
    <row r="41" spans="1:5" ht="23.1" customHeight="1" x14ac:dyDescent="0.25">
      <c r="A41" s="4">
        <v>23</v>
      </c>
      <c r="B41" s="4" t="s">
        <v>621</v>
      </c>
      <c r="C41" s="4">
        <v>1983</v>
      </c>
      <c r="D41" s="4">
        <v>989</v>
      </c>
      <c r="E41" s="4">
        <v>994</v>
      </c>
    </row>
    <row r="42" spans="1:5" ht="23.1" customHeight="1" x14ac:dyDescent="0.25">
      <c r="A42" s="4">
        <v>24</v>
      </c>
      <c r="B42" s="4" t="s">
        <v>622</v>
      </c>
      <c r="C42" s="4">
        <v>3509</v>
      </c>
      <c r="D42" s="4">
        <v>1715</v>
      </c>
      <c r="E42" s="4">
        <v>1794</v>
      </c>
    </row>
    <row r="43" spans="1:5" ht="23.1" customHeight="1" x14ac:dyDescent="0.25">
      <c r="A43" s="4">
        <v>25</v>
      </c>
      <c r="B43" s="4" t="s">
        <v>623</v>
      </c>
      <c r="C43" s="4">
        <v>1482</v>
      </c>
      <c r="D43" s="4">
        <v>730</v>
      </c>
      <c r="E43" s="4">
        <v>752</v>
      </c>
    </row>
    <row r="44" spans="1:5" ht="23.1" customHeight="1" x14ac:dyDescent="0.25">
      <c r="A44" s="4">
        <v>26</v>
      </c>
      <c r="B44" s="4" t="s">
        <v>624</v>
      </c>
      <c r="C44" s="4">
        <v>6149</v>
      </c>
      <c r="D44" s="4">
        <v>3148</v>
      </c>
      <c r="E44" s="4">
        <v>3001</v>
      </c>
    </row>
    <row r="45" spans="1:5" ht="23.1" customHeight="1" x14ac:dyDescent="0.25">
      <c r="A45" s="4">
        <v>27</v>
      </c>
      <c r="B45" s="4" t="s">
        <v>625</v>
      </c>
      <c r="C45" s="4">
        <v>4060</v>
      </c>
      <c r="D45" s="4">
        <v>1964</v>
      </c>
      <c r="E45" s="4">
        <v>2096</v>
      </c>
    </row>
    <row r="46" spans="1:5" ht="23.1" customHeight="1" x14ac:dyDescent="0.25">
      <c r="A46" s="4">
        <v>28</v>
      </c>
      <c r="B46" s="4" t="s">
        <v>626</v>
      </c>
      <c r="C46" s="4">
        <v>2599</v>
      </c>
      <c r="D46" s="4">
        <v>1308</v>
      </c>
      <c r="E46" s="4">
        <v>1291</v>
      </c>
    </row>
    <row r="47" spans="1:5" ht="23.1" customHeight="1" x14ac:dyDescent="0.25">
      <c r="A47" s="4">
        <v>29</v>
      </c>
      <c r="B47" s="4" t="s">
        <v>627</v>
      </c>
      <c r="C47" s="4">
        <v>5740</v>
      </c>
      <c r="D47" s="4">
        <v>2875</v>
      </c>
      <c r="E47" s="4">
        <v>2865</v>
      </c>
    </row>
    <row r="48" spans="1:5" ht="23.1" customHeight="1" x14ac:dyDescent="0.25">
      <c r="A48" s="4">
        <v>30</v>
      </c>
      <c r="B48" s="4" t="s">
        <v>628</v>
      </c>
      <c r="C48" s="4">
        <v>4693</v>
      </c>
      <c r="D48" s="4">
        <v>2244</v>
      </c>
      <c r="E48" s="4">
        <v>2449</v>
      </c>
    </row>
    <row r="49" spans="1:5" ht="23.1" customHeight="1" x14ac:dyDescent="0.25">
      <c r="A49" s="4">
        <v>31</v>
      </c>
      <c r="B49" s="4" t="s">
        <v>629</v>
      </c>
      <c r="C49" s="4">
        <v>3393</v>
      </c>
      <c r="D49" s="4">
        <v>1670</v>
      </c>
      <c r="E49" s="4">
        <v>1723</v>
      </c>
    </row>
    <row r="50" spans="1:5" ht="23.1" customHeight="1" x14ac:dyDescent="0.25">
      <c r="A50" s="10">
        <v>32</v>
      </c>
      <c r="B50" s="10" t="s">
        <v>630</v>
      </c>
      <c r="C50" s="10">
        <v>3532</v>
      </c>
      <c r="D50" s="10">
        <v>1701</v>
      </c>
      <c r="E50" s="10">
        <v>1831</v>
      </c>
    </row>
    <row r="51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  Kyauktan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selection sqref="A1:E1"/>
    </sheetView>
  </sheetViews>
  <sheetFormatPr defaultRowHeight="15" x14ac:dyDescent="0.25"/>
  <cols>
    <col min="2" max="2" width="29.85546875" bestFit="1" customWidth="1"/>
    <col min="3" max="5" width="15.7109375" customWidth="1"/>
  </cols>
  <sheetData>
    <row r="1" spans="1:5" ht="23.45" customHeight="1" x14ac:dyDescent="0.25">
      <c r="A1" s="80" t="s">
        <v>1068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6"/>
      <c r="B5" s="64" t="s">
        <v>0</v>
      </c>
      <c r="C5" s="57">
        <f>C7+C21</f>
        <v>157876</v>
      </c>
      <c r="D5" s="57">
        <f>D7+D21</f>
        <v>75492</v>
      </c>
      <c r="E5" s="57">
        <f>E7+E21</f>
        <v>82384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SUM(C8:C19)</f>
        <v>28018</v>
      </c>
      <c r="D7" s="15">
        <f t="shared" ref="D7:E7" si="0">SUM(D8:D19)</f>
        <v>13194</v>
      </c>
      <c r="E7" s="15">
        <f t="shared" si="0"/>
        <v>14824</v>
      </c>
    </row>
    <row r="8" spans="1:5" ht="23.1" customHeight="1" x14ac:dyDescent="0.25">
      <c r="A8" s="4">
        <v>1</v>
      </c>
      <c r="B8" s="4" t="s">
        <v>56</v>
      </c>
      <c r="C8" s="4">
        <v>4155</v>
      </c>
      <c r="D8" s="4">
        <v>1937</v>
      </c>
      <c r="E8" s="4">
        <v>2218</v>
      </c>
    </row>
    <row r="9" spans="1:5" ht="23.1" customHeight="1" x14ac:dyDescent="0.25">
      <c r="A9" s="4">
        <v>2</v>
      </c>
      <c r="B9" s="4" t="s">
        <v>57</v>
      </c>
      <c r="C9" s="4">
        <v>2950</v>
      </c>
      <c r="D9" s="4">
        <v>1388</v>
      </c>
      <c r="E9" s="4">
        <v>1562</v>
      </c>
    </row>
    <row r="10" spans="1:5" ht="23.1" customHeight="1" x14ac:dyDescent="0.25">
      <c r="A10" s="4">
        <v>3</v>
      </c>
      <c r="B10" s="4" t="s">
        <v>58</v>
      </c>
      <c r="C10" s="4">
        <v>2721</v>
      </c>
      <c r="D10" s="4">
        <v>1301</v>
      </c>
      <c r="E10" s="4">
        <v>1420</v>
      </c>
    </row>
    <row r="11" spans="1:5" ht="23.1" customHeight="1" x14ac:dyDescent="0.25">
      <c r="A11" s="4">
        <v>4</v>
      </c>
      <c r="B11" s="4" t="s">
        <v>59</v>
      </c>
      <c r="C11" s="4">
        <v>1325</v>
      </c>
      <c r="D11" s="4">
        <v>584</v>
      </c>
      <c r="E11" s="4">
        <v>741</v>
      </c>
    </row>
    <row r="12" spans="1:5" ht="23.1" customHeight="1" x14ac:dyDescent="0.25">
      <c r="A12" s="4">
        <v>5</v>
      </c>
      <c r="B12" s="4" t="s">
        <v>242</v>
      </c>
      <c r="C12" s="4">
        <v>2207</v>
      </c>
      <c r="D12" s="4">
        <v>1060</v>
      </c>
      <c r="E12" s="4">
        <v>1147</v>
      </c>
    </row>
    <row r="13" spans="1:5" ht="23.1" customHeight="1" x14ac:dyDescent="0.25">
      <c r="A13" s="4">
        <v>6</v>
      </c>
      <c r="B13" s="4" t="s">
        <v>294</v>
      </c>
      <c r="C13" s="4">
        <v>704</v>
      </c>
      <c r="D13" s="4">
        <v>298</v>
      </c>
      <c r="E13" s="4">
        <v>406</v>
      </c>
    </row>
    <row r="14" spans="1:5" ht="23.1" customHeight="1" x14ac:dyDescent="0.25">
      <c r="A14" s="4">
        <v>7</v>
      </c>
      <c r="B14" s="4" t="s">
        <v>295</v>
      </c>
      <c r="C14" s="4">
        <v>2218</v>
      </c>
      <c r="D14" s="4">
        <v>1029</v>
      </c>
      <c r="E14" s="4">
        <v>1189</v>
      </c>
    </row>
    <row r="15" spans="1:5" ht="23.1" customHeight="1" x14ac:dyDescent="0.25">
      <c r="A15" s="4">
        <v>8</v>
      </c>
      <c r="B15" s="4" t="s">
        <v>296</v>
      </c>
      <c r="C15" s="4">
        <v>1051</v>
      </c>
      <c r="D15" s="4">
        <v>538</v>
      </c>
      <c r="E15" s="4">
        <v>513</v>
      </c>
    </row>
    <row r="16" spans="1:5" ht="23.1" customHeight="1" x14ac:dyDescent="0.25">
      <c r="A16" s="4">
        <v>9</v>
      </c>
      <c r="B16" s="4" t="s">
        <v>297</v>
      </c>
      <c r="C16" s="4">
        <v>7423</v>
      </c>
      <c r="D16" s="4">
        <v>3526</v>
      </c>
      <c r="E16" s="4">
        <v>3897</v>
      </c>
    </row>
    <row r="17" spans="1:5" ht="23.1" customHeight="1" x14ac:dyDescent="0.25">
      <c r="A17" s="4">
        <v>10</v>
      </c>
      <c r="B17" s="4" t="s">
        <v>298</v>
      </c>
      <c r="C17" s="4">
        <v>1213</v>
      </c>
      <c r="D17" s="4">
        <v>578</v>
      </c>
      <c r="E17" s="4">
        <v>635</v>
      </c>
    </row>
    <row r="18" spans="1:5" ht="23.1" customHeight="1" x14ac:dyDescent="0.25">
      <c r="A18" s="4">
        <v>11</v>
      </c>
      <c r="B18" s="4" t="s">
        <v>299</v>
      </c>
      <c r="C18" s="4">
        <v>744</v>
      </c>
      <c r="D18" s="4">
        <v>353</v>
      </c>
      <c r="E18" s="4">
        <v>391</v>
      </c>
    </row>
    <row r="19" spans="1:5" ht="23.1" customHeight="1" x14ac:dyDescent="0.25">
      <c r="A19" s="4">
        <v>12</v>
      </c>
      <c r="B19" s="4" t="s">
        <v>300</v>
      </c>
      <c r="C19" s="4">
        <v>1307</v>
      </c>
      <c r="D19" s="4">
        <v>602</v>
      </c>
      <c r="E19" s="4">
        <v>705</v>
      </c>
    </row>
    <row r="20" spans="1:5" ht="23.1" customHeight="1" x14ac:dyDescent="0.25">
      <c r="A20" s="4"/>
      <c r="B20" s="4"/>
      <c r="C20" s="4"/>
      <c r="D20" s="4"/>
      <c r="E20" s="4"/>
    </row>
    <row r="21" spans="1:5" ht="23.1" customHeight="1" x14ac:dyDescent="0.25">
      <c r="A21" s="4"/>
      <c r="B21" s="15" t="s">
        <v>1032</v>
      </c>
      <c r="C21" s="15">
        <f>SUM(C22:C85)</f>
        <v>129858</v>
      </c>
      <c r="D21" s="15">
        <f t="shared" ref="D21:E21" si="1">SUM(D22:D85)</f>
        <v>62298</v>
      </c>
      <c r="E21" s="15">
        <f t="shared" si="1"/>
        <v>67560</v>
      </c>
    </row>
    <row r="22" spans="1:5" ht="23.1" customHeight="1" x14ac:dyDescent="0.25">
      <c r="A22" s="4">
        <v>1</v>
      </c>
      <c r="B22" s="4" t="s">
        <v>631</v>
      </c>
      <c r="C22" s="4">
        <v>5218</v>
      </c>
      <c r="D22" s="4">
        <v>2501</v>
      </c>
      <c r="E22" s="4">
        <v>2717</v>
      </c>
    </row>
    <row r="23" spans="1:5" ht="23.1" customHeight="1" x14ac:dyDescent="0.25">
      <c r="A23" s="4">
        <v>2</v>
      </c>
      <c r="B23" s="4" t="s">
        <v>632</v>
      </c>
      <c r="C23" s="4">
        <v>4496</v>
      </c>
      <c r="D23" s="4">
        <v>2145</v>
      </c>
      <c r="E23" s="4">
        <v>2351</v>
      </c>
    </row>
    <row r="24" spans="1:5" ht="23.1" customHeight="1" x14ac:dyDescent="0.25">
      <c r="A24" s="4">
        <v>3</v>
      </c>
      <c r="B24" s="4" t="s">
        <v>633</v>
      </c>
      <c r="C24" s="4">
        <v>3344</v>
      </c>
      <c r="D24" s="4">
        <v>1630</v>
      </c>
      <c r="E24" s="4">
        <v>1714</v>
      </c>
    </row>
    <row r="25" spans="1:5" ht="23.1" customHeight="1" x14ac:dyDescent="0.25">
      <c r="A25" s="4">
        <v>4</v>
      </c>
      <c r="B25" s="4" t="s">
        <v>634</v>
      </c>
      <c r="C25" s="4">
        <v>3984</v>
      </c>
      <c r="D25" s="4">
        <v>1886</v>
      </c>
      <c r="E25" s="4">
        <v>2098</v>
      </c>
    </row>
    <row r="26" spans="1:5" ht="23.1" customHeight="1" x14ac:dyDescent="0.25">
      <c r="A26" s="4">
        <v>5</v>
      </c>
      <c r="B26" s="4" t="s">
        <v>635</v>
      </c>
      <c r="C26" s="4">
        <v>2152</v>
      </c>
      <c r="D26" s="4">
        <v>1042</v>
      </c>
      <c r="E26" s="4">
        <v>1110</v>
      </c>
    </row>
    <row r="27" spans="1:5" ht="23.1" customHeight="1" x14ac:dyDescent="0.25">
      <c r="A27" s="4">
        <v>6</v>
      </c>
      <c r="B27" s="4" t="s">
        <v>636</v>
      </c>
      <c r="C27" s="4">
        <v>4352</v>
      </c>
      <c r="D27" s="4">
        <v>2100</v>
      </c>
      <c r="E27" s="4">
        <v>2252</v>
      </c>
    </row>
    <row r="28" spans="1:5" ht="23.1" customHeight="1" x14ac:dyDescent="0.25">
      <c r="A28" s="4">
        <v>7</v>
      </c>
      <c r="B28" s="4" t="s">
        <v>637</v>
      </c>
      <c r="C28" s="4">
        <v>2130</v>
      </c>
      <c r="D28" s="4">
        <v>968</v>
      </c>
      <c r="E28" s="4">
        <v>1162</v>
      </c>
    </row>
    <row r="29" spans="1:5" ht="23.1" customHeight="1" x14ac:dyDescent="0.25">
      <c r="A29" s="4">
        <v>8</v>
      </c>
      <c r="B29" s="4" t="s">
        <v>638</v>
      </c>
      <c r="C29" s="4">
        <v>1130</v>
      </c>
      <c r="D29" s="4">
        <v>544</v>
      </c>
      <c r="E29" s="4">
        <v>586</v>
      </c>
    </row>
    <row r="30" spans="1:5" ht="23.1" customHeight="1" x14ac:dyDescent="0.25">
      <c r="A30" s="4">
        <v>9</v>
      </c>
      <c r="B30" s="4" t="s">
        <v>639</v>
      </c>
      <c r="C30" s="4">
        <v>942</v>
      </c>
      <c r="D30" s="4">
        <v>474</v>
      </c>
      <c r="E30" s="4">
        <v>468</v>
      </c>
    </row>
    <row r="31" spans="1:5" ht="23.1" customHeight="1" x14ac:dyDescent="0.25">
      <c r="A31" s="4">
        <v>10</v>
      </c>
      <c r="B31" s="4" t="s">
        <v>62</v>
      </c>
      <c r="C31" s="4">
        <v>2131</v>
      </c>
      <c r="D31" s="4">
        <v>1034</v>
      </c>
      <c r="E31" s="4">
        <v>1097</v>
      </c>
    </row>
    <row r="32" spans="1:5" ht="23.1" customHeight="1" x14ac:dyDescent="0.25">
      <c r="A32" s="4">
        <v>11</v>
      </c>
      <c r="B32" s="4" t="s">
        <v>640</v>
      </c>
      <c r="C32" s="4">
        <v>3112</v>
      </c>
      <c r="D32" s="4">
        <v>1474</v>
      </c>
      <c r="E32" s="4">
        <v>1638</v>
      </c>
    </row>
    <row r="33" spans="1:5" ht="23.1" customHeight="1" x14ac:dyDescent="0.25">
      <c r="A33" s="4">
        <v>12</v>
      </c>
      <c r="B33" s="4" t="s">
        <v>641</v>
      </c>
      <c r="C33" s="4">
        <v>2554</v>
      </c>
      <c r="D33" s="4">
        <v>1220</v>
      </c>
      <c r="E33" s="4">
        <v>1334</v>
      </c>
    </row>
    <row r="34" spans="1:5" ht="23.1" customHeight="1" x14ac:dyDescent="0.25">
      <c r="A34" s="4">
        <v>13</v>
      </c>
      <c r="B34" s="4" t="s">
        <v>642</v>
      </c>
      <c r="C34" s="4">
        <v>1467</v>
      </c>
      <c r="D34" s="4">
        <v>735</v>
      </c>
      <c r="E34" s="4">
        <v>732</v>
      </c>
    </row>
    <row r="35" spans="1:5" ht="23.1" customHeight="1" x14ac:dyDescent="0.25">
      <c r="A35" s="4">
        <v>14</v>
      </c>
      <c r="B35" s="4" t="s">
        <v>643</v>
      </c>
      <c r="C35" s="4">
        <v>709</v>
      </c>
      <c r="D35" s="4">
        <v>350</v>
      </c>
      <c r="E35" s="4">
        <v>359</v>
      </c>
    </row>
    <row r="36" spans="1:5" ht="23.1" customHeight="1" x14ac:dyDescent="0.25">
      <c r="A36" s="4">
        <v>15</v>
      </c>
      <c r="B36" s="4" t="s">
        <v>644</v>
      </c>
      <c r="C36" s="4">
        <v>2879</v>
      </c>
      <c r="D36" s="4">
        <v>1346</v>
      </c>
      <c r="E36" s="4">
        <v>1533</v>
      </c>
    </row>
    <row r="37" spans="1:5" ht="23.1" customHeight="1" x14ac:dyDescent="0.25">
      <c r="A37" s="4">
        <v>16</v>
      </c>
      <c r="B37" s="4" t="s">
        <v>645</v>
      </c>
      <c r="C37" s="4">
        <v>2500</v>
      </c>
      <c r="D37" s="4">
        <v>1214</v>
      </c>
      <c r="E37" s="4">
        <v>1286</v>
      </c>
    </row>
    <row r="38" spans="1:5" ht="23.1" customHeight="1" x14ac:dyDescent="0.25">
      <c r="A38" s="4">
        <v>17</v>
      </c>
      <c r="B38" s="4" t="s">
        <v>646</v>
      </c>
      <c r="C38" s="4">
        <v>1109</v>
      </c>
      <c r="D38" s="4">
        <v>556</v>
      </c>
      <c r="E38" s="4">
        <v>553</v>
      </c>
    </row>
    <row r="39" spans="1:5" ht="23.1" customHeight="1" x14ac:dyDescent="0.25">
      <c r="A39" s="4">
        <v>18</v>
      </c>
      <c r="B39" s="4" t="s">
        <v>647</v>
      </c>
      <c r="C39" s="4">
        <v>1637</v>
      </c>
      <c r="D39" s="4">
        <v>823</v>
      </c>
      <c r="E39" s="4">
        <v>814</v>
      </c>
    </row>
    <row r="40" spans="1:5" ht="23.1" customHeight="1" x14ac:dyDescent="0.25">
      <c r="A40" s="4">
        <v>19</v>
      </c>
      <c r="B40" s="4" t="s">
        <v>648</v>
      </c>
      <c r="C40" s="4">
        <v>2861</v>
      </c>
      <c r="D40" s="4">
        <v>1353</v>
      </c>
      <c r="E40" s="4">
        <v>1508</v>
      </c>
    </row>
    <row r="41" spans="1:5" ht="23.1" customHeight="1" x14ac:dyDescent="0.25">
      <c r="A41" s="4">
        <v>20</v>
      </c>
      <c r="B41" s="4" t="s">
        <v>649</v>
      </c>
      <c r="C41" s="4">
        <v>1717</v>
      </c>
      <c r="D41" s="4">
        <v>823</v>
      </c>
      <c r="E41" s="4">
        <v>894</v>
      </c>
    </row>
    <row r="42" spans="1:5" ht="23.1" customHeight="1" x14ac:dyDescent="0.25">
      <c r="A42" s="4">
        <v>21</v>
      </c>
      <c r="B42" s="4" t="s">
        <v>650</v>
      </c>
      <c r="C42" s="4">
        <v>1575</v>
      </c>
      <c r="D42" s="4">
        <v>740</v>
      </c>
      <c r="E42" s="4">
        <v>835</v>
      </c>
    </row>
    <row r="43" spans="1:5" ht="23.1" customHeight="1" x14ac:dyDescent="0.25">
      <c r="A43" s="4">
        <v>22</v>
      </c>
      <c r="B43" s="4" t="s">
        <v>94</v>
      </c>
      <c r="C43" s="4">
        <v>1594</v>
      </c>
      <c r="D43" s="4">
        <v>766</v>
      </c>
      <c r="E43" s="4">
        <v>828</v>
      </c>
    </row>
    <row r="44" spans="1:5" ht="23.1" customHeight="1" x14ac:dyDescent="0.25">
      <c r="A44" s="4">
        <v>23</v>
      </c>
      <c r="B44" s="4" t="s">
        <v>651</v>
      </c>
      <c r="C44" s="4">
        <v>930</v>
      </c>
      <c r="D44" s="4">
        <v>440</v>
      </c>
      <c r="E44" s="4">
        <v>490</v>
      </c>
    </row>
    <row r="45" spans="1:5" ht="23.1" customHeight="1" x14ac:dyDescent="0.25">
      <c r="A45" s="4">
        <v>24</v>
      </c>
      <c r="B45" s="4" t="s">
        <v>652</v>
      </c>
      <c r="C45" s="4">
        <v>1200</v>
      </c>
      <c r="D45" s="4">
        <v>583</v>
      </c>
      <c r="E45" s="4">
        <v>617</v>
      </c>
    </row>
    <row r="46" spans="1:5" ht="23.1" customHeight="1" x14ac:dyDescent="0.25">
      <c r="A46" s="4">
        <v>25</v>
      </c>
      <c r="B46" s="4" t="s">
        <v>653</v>
      </c>
      <c r="C46" s="4">
        <v>2058</v>
      </c>
      <c r="D46" s="4">
        <v>981</v>
      </c>
      <c r="E46" s="4">
        <v>1077</v>
      </c>
    </row>
    <row r="47" spans="1:5" ht="23.1" customHeight="1" x14ac:dyDescent="0.25">
      <c r="A47" s="4">
        <v>26</v>
      </c>
      <c r="B47" s="4" t="s">
        <v>654</v>
      </c>
      <c r="C47" s="4">
        <v>1815</v>
      </c>
      <c r="D47" s="4">
        <v>853</v>
      </c>
      <c r="E47" s="4">
        <v>962</v>
      </c>
    </row>
    <row r="48" spans="1:5" ht="23.1" customHeight="1" x14ac:dyDescent="0.25">
      <c r="A48" s="4">
        <v>27</v>
      </c>
      <c r="B48" s="4" t="s">
        <v>655</v>
      </c>
      <c r="C48" s="4">
        <v>3306</v>
      </c>
      <c r="D48" s="4">
        <v>1564</v>
      </c>
      <c r="E48" s="4">
        <v>1742</v>
      </c>
    </row>
    <row r="49" spans="1:5" ht="23.1" customHeight="1" x14ac:dyDescent="0.25">
      <c r="A49" s="4">
        <v>28</v>
      </c>
      <c r="B49" s="4" t="s">
        <v>656</v>
      </c>
      <c r="C49" s="4">
        <v>2173</v>
      </c>
      <c r="D49" s="4">
        <v>1045</v>
      </c>
      <c r="E49" s="4">
        <v>1128</v>
      </c>
    </row>
    <row r="50" spans="1:5" ht="23.1" customHeight="1" x14ac:dyDescent="0.25">
      <c r="A50" s="4">
        <v>29</v>
      </c>
      <c r="B50" s="4" t="s">
        <v>657</v>
      </c>
      <c r="C50" s="4">
        <v>1511</v>
      </c>
      <c r="D50" s="4">
        <v>703</v>
      </c>
      <c r="E50" s="4">
        <v>808</v>
      </c>
    </row>
    <row r="51" spans="1:5" ht="23.1" customHeight="1" x14ac:dyDescent="0.25">
      <c r="A51" s="4">
        <v>30</v>
      </c>
      <c r="B51" s="4" t="s">
        <v>658</v>
      </c>
      <c r="C51" s="4">
        <v>3217</v>
      </c>
      <c r="D51" s="4">
        <v>1541</v>
      </c>
      <c r="E51" s="4">
        <v>1676</v>
      </c>
    </row>
    <row r="52" spans="1:5" ht="23.1" customHeight="1" x14ac:dyDescent="0.25">
      <c r="A52" s="4">
        <v>31</v>
      </c>
      <c r="B52" s="4" t="s">
        <v>659</v>
      </c>
      <c r="C52" s="4">
        <v>3715</v>
      </c>
      <c r="D52" s="4">
        <v>1794</v>
      </c>
      <c r="E52" s="4">
        <v>1921</v>
      </c>
    </row>
    <row r="53" spans="1:5" ht="23.1" customHeight="1" x14ac:dyDescent="0.25">
      <c r="A53" s="4">
        <v>32</v>
      </c>
      <c r="B53" s="4" t="s">
        <v>660</v>
      </c>
      <c r="C53" s="4">
        <v>2725</v>
      </c>
      <c r="D53" s="4">
        <v>1301</v>
      </c>
      <c r="E53" s="4">
        <v>1424</v>
      </c>
    </row>
    <row r="54" spans="1:5" ht="23.1" customHeight="1" x14ac:dyDescent="0.25">
      <c r="A54" s="4">
        <v>33</v>
      </c>
      <c r="B54" s="4" t="s">
        <v>661</v>
      </c>
      <c r="C54" s="4">
        <v>1351</v>
      </c>
      <c r="D54" s="4">
        <v>632</v>
      </c>
      <c r="E54" s="4">
        <v>719</v>
      </c>
    </row>
    <row r="55" spans="1:5" ht="23.1" customHeight="1" x14ac:dyDescent="0.25">
      <c r="A55" s="4">
        <v>34</v>
      </c>
      <c r="B55" s="4" t="s">
        <v>662</v>
      </c>
      <c r="C55" s="4">
        <v>2977</v>
      </c>
      <c r="D55" s="4">
        <v>1467</v>
      </c>
      <c r="E55" s="4">
        <v>1510</v>
      </c>
    </row>
    <row r="56" spans="1:5" ht="23.1" customHeight="1" x14ac:dyDescent="0.25">
      <c r="A56" s="4">
        <v>35</v>
      </c>
      <c r="B56" s="4" t="s">
        <v>663</v>
      </c>
      <c r="C56" s="4">
        <v>2115</v>
      </c>
      <c r="D56" s="4">
        <v>1019</v>
      </c>
      <c r="E56" s="4">
        <v>1096</v>
      </c>
    </row>
    <row r="57" spans="1:5" ht="23.1" customHeight="1" x14ac:dyDescent="0.25">
      <c r="A57" s="4">
        <v>36</v>
      </c>
      <c r="B57" s="4" t="s">
        <v>664</v>
      </c>
      <c r="C57" s="4">
        <v>2731</v>
      </c>
      <c r="D57" s="4">
        <v>1292</v>
      </c>
      <c r="E57" s="4">
        <v>1439</v>
      </c>
    </row>
    <row r="58" spans="1:5" ht="23.1" customHeight="1" x14ac:dyDescent="0.25">
      <c r="A58" s="4">
        <v>37</v>
      </c>
      <c r="B58" s="4" t="s">
        <v>665</v>
      </c>
      <c r="C58" s="4">
        <v>2367</v>
      </c>
      <c r="D58" s="4">
        <v>1132</v>
      </c>
      <c r="E58" s="4">
        <v>1235</v>
      </c>
    </row>
    <row r="59" spans="1:5" ht="23.1" customHeight="1" x14ac:dyDescent="0.25">
      <c r="A59" s="4">
        <v>38</v>
      </c>
      <c r="B59" s="4" t="s">
        <v>666</v>
      </c>
      <c r="C59" s="4">
        <v>4146</v>
      </c>
      <c r="D59" s="4">
        <v>1994</v>
      </c>
      <c r="E59" s="4">
        <v>2152</v>
      </c>
    </row>
    <row r="60" spans="1:5" ht="23.1" customHeight="1" x14ac:dyDescent="0.25">
      <c r="A60" s="4">
        <v>39</v>
      </c>
      <c r="B60" s="4" t="s">
        <v>667</v>
      </c>
      <c r="C60" s="4">
        <v>3038</v>
      </c>
      <c r="D60" s="4">
        <v>1469</v>
      </c>
      <c r="E60" s="4">
        <v>1569</v>
      </c>
    </row>
    <row r="61" spans="1:5" ht="23.1" customHeight="1" x14ac:dyDescent="0.25">
      <c r="A61" s="4">
        <v>40</v>
      </c>
      <c r="B61" s="4" t="s">
        <v>668</v>
      </c>
      <c r="C61" s="4">
        <v>2183</v>
      </c>
      <c r="D61" s="4">
        <v>1049</v>
      </c>
      <c r="E61" s="4">
        <v>1134</v>
      </c>
    </row>
    <row r="62" spans="1:5" ht="23.1" customHeight="1" x14ac:dyDescent="0.25">
      <c r="A62" s="4">
        <v>41</v>
      </c>
      <c r="B62" s="4" t="s">
        <v>669</v>
      </c>
      <c r="C62" s="4">
        <v>3575</v>
      </c>
      <c r="D62" s="4">
        <v>1680</v>
      </c>
      <c r="E62" s="4">
        <v>1895</v>
      </c>
    </row>
    <row r="63" spans="1:5" ht="23.1" customHeight="1" x14ac:dyDescent="0.25">
      <c r="A63" s="4">
        <v>42</v>
      </c>
      <c r="B63" s="4" t="s">
        <v>670</v>
      </c>
      <c r="C63" s="4">
        <v>2028</v>
      </c>
      <c r="D63" s="4">
        <v>957</v>
      </c>
      <c r="E63" s="4">
        <v>1071</v>
      </c>
    </row>
    <row r="64" spans="1:5" ht="23.1" customHeight="1" x14ac:dyDescent="0.25">
      <c r="A64" s="4">
        <v>43</v>
      </c>
      <c r="B64" s="4" t="s">
        <v>671</v>
      </c>
      <c r="C64" s="4">
        <v>2970</v>
      </c>
      <c r="D64" s="4">
        <v>1421</v>
      </c>
      <c r="E64" s="4">
        <v>1549</v>
      </c>
    </row>
    <row r="65" spans="1:5" ht="23.1" customHeight="1" x14ac:dyDescent="0.25">
      <c r="A65" s="4">
        <v>44</v>
      </c>
      <c r="B65" s="4" t="s">
        <v>672</v>
      </c>
      <c r="C65" s="4">
        <v>759</v>
      </c>
      <c r="D65" s="4">
        <v>369</v>
      </c>
      <c r="E65" s="4">
        <v>390</v>
      </c>
    </row>
    <row r="66" spans="1:5" ht="23.1" customHeight="1" x14ac:dyDescent="0.25">
      <c r="A66" s="4">
        <v>45</v>
      </c>
      <c r="B66" s="4" t="s">
        <v>673</v>
      </c>
      <c r="C66" s="4">
        <v>1407</v>
      </c>
      <c r="D66" s="4">
        <v>678</v>
      </c>
      <c r="E66" s="4">
        <v>729</v>
      </c>
    </row>
    <row r="67" spans="1:5" ht="23.1" customHeight="1" x14ac:dyDescent="0.25">
      <c r="A67" s="4">
        <v>46</v>
      </c>
      <c r="B67" s="4" t="s">
        <v>674</v>
      </c>
      <c r="C67" s="4">
        <v>1798</v>
      </c>
      <c r="D67" s="4">
        <v>887</v>
      </c>
      <c r="E67" s="4">
        <v>911</v>
      </c>
    </row>
    <row r="68" spans="1:5" ht="23.1" customHeight="1" x14ac:dyDescent="0.25">
      <c r="A68" s="4">
        <v>47</v>
      </c>
      <c r="B68" s="4" t="s">
        <v>675</v>
      </c>
      <c r="C68" s="4">
        <v>1039</v>
      </c>
      <c r="D68" s="4">
        <v>496</v>
      </c>
      <c r="E68" s="4">
        <v>543</v>
      </c>
    </row>
    <row r="69" spans="1:5" ht="23.1" customHeight="1" x14ac:dyDescent="0.25">
      <c r="A69" s="4">
        <v>48</v>
      </c>
      <c r="B69" s="4" t="s">
        <v>676</v>
      </c>
      <c r="C69" s="4">
        <v>1641</v>
      </c>
      <c r="D69" s="4">
        <v>792</v>
      </c>
      <c r="E69" s="4">
        <v>849</v>
      </c>
    </row>
    <row r="70" spans="1:5" ht="23.1" customHeight="1" x14ac:dyDescent="0.25">
      <c r="A70" s="4">
        <v>49</v>
      </c>
      <c r="B70" s="4" t="s">
        <v>677</v>
      </c>
      <c r="C70" s="4">
        <v>1662</v>
      </c>
      <c r="D70" s="4">
        <v>783</v>
      </c>
      <c r="E70" s="4">
        <v>879</v>
      </c>
    </row>
    <row r="71" spans="1:5" ht="23.1" customHeight="1" x14ac:dyDescent="0.25">
      <c r="A71" s="4">
        <v>50</v>
      </c>
      <c r="B71" s="4" t="s">
        <v>678</v>
      </c>
      <c r="C71" s="4">
        <v>1100</v>
      </c>
      <c r="D71" s="4">
        <v>550</v>
      </c>
      <c r="E71" s="4">
        <v>550</v>
      </c>
    </row>
    <row r="72" spans="1:5" ht="23.1" customHeight="1" x14ac:dyDescent="0.25">
      <c r="A72" s="4">
        <v>51</v>
      </c>
      <c r="B72" s="4" t="s">
        <v>679</v>
      </c>
      <c r="C72" s="4">
        <v>632</v>
      </c>
      <c r="D72" s="4">
        <v>306</v>
      </c>
      <c r="E72" s="4">
        <v>326</v>
      </c>
    </row>
    <row r="73" spans="1:5" ht="23.1" customHeight="1" x14ac:dyDescent="0.25">
      <c r="A73" s="4">
        <v>52</v>
      </c>
      <c r="B73" s="4" t="s">
        <v>680</v>
      </c>
      <c r="C73" s="4">
        <v>1665</v>
      </c>
      <c r="D73" s="4">
        <v>760</v>
      </c>
      <c r="E73" s="4">
        <v>905</v>
      </c>
    </row>
    <row r="74" spans="1:5" ht="23.1" customHeight="1" x14ac:dyDescent="0.25">
      <c r="A74" s="4">
        <v>53</v>
      </c>
      <c r="B74" s="4" t="s">
        <v>681</v>
      </c>
      <c r="C74" s="4">
        <v>1048</v>
      </c>
      <c r="D74" s="4">
        <v>478</v>
      </c>
      <c r="E74" s="4">
        <v>570</v>
      </c>
    </row>
    <row r="75" spans="1:5" ht="23.1" customHeight="1" x14ac:dyDescent="0.25">
      <c r="A75" s="4">
        <v>54</v>
      </c>
      <c r="B75" s="4" t="s">
        <v>682</v>
      </c>
      <c r="C75" s="4">
        <v>736</v>
      </c>
      <c r="D75" s="4">
        <v>349</v>
      </c>
      <c r="E75" s="4">
        <v>387</v>
      </c>
    </row>
    <row r="76" spans="1:5" ht="23.1" customHeight="1" x14ac:dyDescent="0.25">
      <c r="A76" s="4">
        <v>55</v>
      </c>
      <c r="B76" s="4" t="s">
        <v>683</v>
      </c>
      <c r="C76" s="4">
        <v>946</v>
      </c>
      <c r="D76" s="4">
        <v>447</v>
      </c>
      <c r="E76" s="4">
        <v>499</v>
      </c>
    </row>
    <row r="77" spans="1:5" ht="23.1" customHeight="1" x14ac:dyDescent="0.25">
      <c r="A77" s="4">
        <v>56</v>
      </c>
      <c r="B77" s="4" t="s">
        <v>684</v>
      </c>
      <c r="C77" s="4">
        <v>985</v>
      </c>
      <c r="D77" s="4">
        <v>484</v>
      </c>
      <c r="E77" s="4">
        <v>501</v>
      </c>
    </row>
    <row r="78" spans="1:5" ht="23.1" customHeight="1" x14ac:dyDescent="0.25">
      <c r="A78" s="4">
        <v>57</v>
      </c>
      <c r="B78" s="4" t="s">
        <v>685</v>
      </c>
      <c r="C78" s="4">
        <v>853</v>
      </c>
      <c r="D78" s="4">
        <v>419</v>
      </c>
      <c r="E78" s="4">
        <v>434</v>
      </c>
    </row>
    <row r="79" spans="1:5" ht="23.1" customHeight="1" x14ac:dyDescent="0.25">
      <c r="A79" s="4">
        <v>58</v>
      </c>
      <c r="B79" s="4" t="s">
        <v>686</v>
      </c>
      <c r="C79" s="4">
        <v>2801</v>
      </c>
      <c r="D79" s="4">
        <v>1401</v>
      </c>
      <c r="E79" s="4">
        <v>1400</v>
      </c>
    </row>
    <row r="80" spans="1:5" ht="23.1" customHeight="1" x14ac:dyDescent="0.25">
      <c r="A80" s="4">
        <v>59</v>
      </c>
      <c r="B80" s="4" t="s">
        <v>687</v>
      </c>
      <c r="C80" s="4">
        <v>1128</v>
      </c>
      <c r="D80" s="4">
        <v>546</v>
      </c>
      <c r="E80" s="4">
        <v>582</v>
      </c>
    </row>
    <row r="81" spans="1:5" ht="23.1" customHeight="1" x14ac:dyDescent="0.25">
      <c r="A81" s="4">
        <v>60</v>
      </c>
      <c r="B81" s="4" t="s">
        <v>688</v>
      </c>
      <c r="C81" s="4">
        <v>1003</v>
      </c>
      <c r="D81" s="4">
        <v>482</v>
      </c>
      <c r="E81" s="4">
        <v>521</v>
      </c>
    </row>
    <row r="82" spans="1:5" ht="23.1" customHeight="1" x14ac:dyDescent="0.25">
      <c r="A82" s="4">
        <v>61</v>
      </c>
      <c r="B82" s="4" t="s">
        <v>689</v>
      </c>
      <c r="C82" s="4">
        <v>794</v>
      </c>
      <c r="D82" s="4">
        <v>392</v>
      </c>
      <c r="E82" s="4">
        <v>402</v>
      </c>
    </row>
    <row r="83" spans="1:5" ht="23.1" customHeight="1" x14ac:dyDescent="0.25">
      <c r="A83" s="4">
        <v>62</v>
      </c>
      <c r="B83" s="4" t="s">
        <v>690</v>
      </c>
      <c r="C83" s="4">
        <v>461</v>
      </c>
      <c r="D83" s="4">
        <v>233</v>
      </c>
      <c r="E83" s="4">
        <v>228</v>
      </c>
    </row>
    <row r="84" spans="1:5" ht="23.1" customHeight="1" x14ac:dyDescent="0.25">
      <c r="A84" s="4">
        <v>63</v>
      </c>
      <c r="B84" s="4" t="s">
        <v>691</v>
      </c>
      <c r="C84" s="4">
        <v>879</v>
      </c>
      <c r="D84" s="4">
        <v>418</v>
      </c>
      <c r="E84" s="4">
        <v>461</v>
      </c>
    </row>
    <row r="85" spans="1:5" ht="23.1" customHeight="1" x14ac:dyDescent="0.25">
      <c r="A85" s="10">
        <v>64</v>
      </c>
      <c r="B85" s="10" t="s">
        <v>692</v>
      </c>
      <c r="C85" s="10">
        <v>797</v>
      </c>
      <c r="D85" s="10">
        <v>387</v>
      </c>
      <c r="E85" s="10">
        <v>410</v>
      </c>
    </row>
    <row r="86" spans="1:5" ht="23.1" customHeight="1" x14ac:dyDescent="0.25"/>
    <row r="87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Thongwa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sqref="A1:E1"/>
    </sheetView>
  </sheetViews>
  <sheetFormatPr defaultRowHeight="15" x14ac:dyDescent="0.25"/>
  <cols>
    <col min="2" max="2" width="25.5703125" bestFit="1" customWidth="1"/>
    <col min="3" max="5" width="15.7109375" customWidth="1"/>
  </cols>
  <sheetData>
    <row r="1" spans="1:5" ht="23.45" customHeight="1" x14ac:dyDescent="0.25">
      <c r="A1" s="80" t="s">
        <v>1069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7"/>
      <c r="B5" s="57" t="s">
        <v>0</v>
      </c>
      <c r="C5" s="57">
        <f>C7+C21</f>
        <v>158019</v>
      </c>
      <c r="D5" s="57">
        <f>D7+D21</f>
        <v>75510</v>
      </c>
      <c r="E5" s="57">
        <f>E7+E21</f>
        <v>82509</v>
      </c>
    </row>
    <row r="6" spans="1:5" ht="13.5" customHeight="1" x14ac:dyDescent="0.25">
      <c r="A6" s="4"/>
      <c r="B6" s="15"/>
      <c r="C6" s="15"/>
      <c r="D6" s="15"/>
      <c r="E6" s="15"/>
    </row>
    <row r="7" spans="1:5" ht="23.1" customHeight="1" x14ac:dyDescent="0.25">
      <c r="A7" s="4"/>
      <c r="B7" s="15" t="s">
        <v>1028</v>
      </c>
      <c r="C7" s="15">
        <f>SUM(C8:C19)</f>
        <v>32977</v>
      </c>
      <c r="D7" s="15">
        <f t="shared" ref="D7:E7" si="0">SUM(D8:D19)</f>
        <v>15436</v>
      </c>
      <c r="E7" s="15">
        <f t="shared" si="0"/>
        <v>17541</v>
      </c>
    </row>
    <row r="8" spans="1:5" ht="23.1" customHeight="1" x14ac:dyDescent="0.25">
      <c r="A8" s="4">
        <v>1</v>
      </c>
      <c r="B8" s="4" t="s">
        <v>56</v>
      </c>
      <c r="C8" s="4">
        <v>2233</v>
      </c>
      <c r="D8" s="4">
        <v>999</v>
      </c>
      <c r="E8" s="4">
        <v>1234</v>
      </c>
    </row>
    <row r="9" spans="1:5" ht="23.1" customHeight="1" x14ac:dyDescent="0.25">
      <c r="A9" s="4">
        <v>2</v>
      </c>
      <c r="B9" s="4" t="s">
        <v>57</v>
      </c>
      <c r="C9" s="4">
        <v>2387</v>
      </c>
      <c r="D9" s="4">
        <v>1120</v>
      </c>
      <c r="E9" s="4">
        <v>1267</v>
      </c>
    </row>
    <row r="10" spans="1:5" ht="23.1" customHeight="1" x14ac:dyDescent="0.25">
      <c r="A10" s="4">
        <v>3</v>
      </c>
      <c r="B10" s="4" t="s">
        <v>58</v>
      </c>
      <c r="C10" s="4">
        <v>5358</v>
      </c>
      <c r="D10" s="4">
        <v>2499</v>
      </c>
      <c r="E10" s="4">
        <v>2859</v>
      </c>
    </row>
    <row r="11" spans="1:5" ht="23.1" customHeight="1" x14ac:dyDescent="0.25">
      <c r="A11" s="4">
        <v>4</v>
      </c>
      <c r="B11" s="4" t="s">
        <v>59</v>
      </c>
      <c r="C11" s="4">
        <v>692</v>
      </c>
      <c r="D11" s="4">
        <v>302</v>
      </c>
      <c r="E11" s="4">
        <v>390</v>
      </c>
    </row>
    <row r="12" spans="1:5" ht="23.1" customHeight="1" x14ac:dyDescent="0.25">
      <c r="A12" s="4">
        <v>5</v>
      </c>
      <c r="B12" s="4" t="s">
        <v>242</v>
      </c>
      <c r="C12" s="4">
        <v>2274</v>
      </c>
      <c r="D12" s="4">
        <v>1129</v>
      </c>
      <c r="E12" s="4">
        <v>1145</v>
      </c>
    </row>
    <row r="13" spans="1:5" ht="23.1" customHeight="1" x14ac:dyDescent="0.25">
      <c r="A13" s="4">
        <v>6</v>
      </c>
      <c r="B13" s="4" t="s">
        <v>294</v>
      </c>
      <c r="C13" s="4">
        <v>1801</v>
      </c>
      <c r="D13" s="4">
        <v>821</v>
      </c>
      <c r="E13" s="4">
        <v>980</v>
      </c>
    </row>
    <row r="14" spans="1:5" ht="23.1" customHeight="1" x14ac:dyDescent="0.25">
      <c r="A14" s="4">
        <v>7</v>
      </c>
      <c r="B14" s="4" t="s">
        <v>295</v>
      </c>
      <c r="C14" s="4">
        <v>4081</v>
      </c>
      <c r="D14" s="4">
        <v>1897</v>
      </c>
      <c r="E14" s="4">
        <v>2184</v>
      </c>
    </row>
    <row r="15" spans="1:5" ht="23.1" customHeight="1" x14ac:dyDescent="0.25">
      <c r="A15" s="4">
        <v>8</v>
      </c>
      <c r="B15" s="4" t="s">
        <v>296</v>
      </c>
      <c r="C15" s="4">
        <v>1761</v>
      </c>
      <c r="D15" s="4">
        <v>814</v>
      </c>
      <c r="E15" s="4">
        <v>947</v>
      </c>
    </row>
    <row r="16" spans="1:5" ht="23.1" customHeight="1" x14ac:dyDescent="0.25">
      <c r="A16" s="4">
        <v>9</v>
      </c>
      <c r="B16" s="4" t="s">
        <v>297</v>
      </c>
      <c r="C16" s="4">
        <v>3207</v>
      </c>
      <c r="D16" s="4">
        <v>1544</v>
      </c>
      <c r="E16" s="4">
        <v>1663</v>
      </c>
    </row>
    <row r="17" spans="1:5" ht="23.1" customHeight="1" x14ac:dyDescent="0.25">
      <c r="A17" s="4">
        <v>10</v>
      </c>
      <c r="B17" s="4" t="s">
        <v>298</v>
      </c>
      <c r="C17" s="4">
        <v>1769</v>
      </c>
      <c r="D17" s="4">
        <v>853</v>
      </c>
      <c r="E17" s="4">
        <v>916</v>
      </c>
    </row>
    <row r="18" spans="1:5" ht="23.1" customHeight="1" x14ac:dyDescent="0.25">
      <c r="A18" s="4">
        <v>11</v>
      </c>
      <c r="B18" s="4" t="s">
        <v>299</v>
      </c>
      <c r="C18" s="4">
        <v>3275</v>
      </c>
      <c r="D18" s="4">
        <v>1512</v>
      </c>
      <c r="E18" s="4">
        <v>1763</v>
      </c>
    </row>
    <row r="19" spans="1:5" ht="23.1" customHeight="1" x14ac:dyDescent="0.25">
      <c r="A19" s="4">
        <v>12</v>
      </c>
      <c r="B19" s="4" t="s">
        <v>300</v>
      </c>
      <c r="C19" s="4">
        <v>4139</v>
      </c>
      <c r="D19" s="4">
        <v>1946</v>
      </c>
      <c r="E19" s="4">
        <v>2193</v>
      </c>
    </row>
    <row r="20" spans="1:5" ht="23.1" customHeight="1" x14ac:dyDescent="0.25">
      <c r="A20" s="4"/>
      <c r="B20" s="4"/>
      <c r="C20" s="4"/>
      <c r="D20" s="4"/>
      <c r="E20" s="4"/>
    </row>
    <row r="21" spans="1:5" ht="23.1" customHeight="1" x14ac:dyDescent="0.25">
      <c r="A21" s="4"/>
      <c r="B21" s="15" t="s">
        <v>1032</v>
      </c>
      <c r="C21" s="13">
        <f>SUM(C22:C74)</f>
        <v>125042</v>
      </c>
      <c r="D21" s="13">
        <f t="shared" ref="D21:E21" si="1">SUM(D22:D74)</f>
        <v>60074</v>
      </c>
      <c r="E21" s="13">
        <f t="shared" si="1"/>
        <v>64968</v>
      </c>
    </row>
    <row r="22" spans="1:5" ht="23.1" customHeight="1" x14ac:dyDescent="0.25">
      <c r="A22" s="4">
        <v>1</v>
      </c>
      <c r="B22" s="4" t="s">
        <v>693</v>
      </c>
      <c r="C22" s="4">
        <v>3081</v>
      </c>
      <c r="D22" s="4">
        <v>1440</v>
      </c>
      <c r="E22" s="4">
        <v>1641</v>
      </c>
    </row>
    <row r="23" spans="1:5" ht="23.1" customHeight="1" x14ac:dyDescent="0.25">
      <c r="A23" s="4">
        <v>2</v>
      </c>
      <c r="B23" s="4" t="s">
        <v>694</v>
      </c>
      <c r="C23" s="4">
        <v>3397</v>
      </c>
      <c r="D23" s="4">
        <v>1650</v>
      </c>
      <c r="E23" s="4">
        <v>1747</v>
      </c>
    </row>
    <row r="24" spans="1:5" ht="23.1" customHeight="1" x14ac:dyDescent="0.25">
      <c r="A24" s="4">
        <v>3</v>
      </c>
      <c r="B24" s="4" t="s">
        <v>695</v>
      </c>
      <c r="C24" s="4">
        <v>1141</v>
      </c>
      <c r="D24" s="4">
        <v>564</v>
      </c>
      <c r="E24" s="4">
        <v>577</v>
      </c>
    </row>
    <row r="25" spans="1:5" ht="23.1" customHeight="1" x14ac:dyDescent="0.25">
      <c r="A25" s="4">
        <v>4</v>
      </c>
      <c r="B25" s="4" t="s">
        <v>696</v>
      </c>
      <c r="C25" s="4">
        <v>2575</v>
      </c>
      <c r="D25" s="4">
        <v>1271</v>
      </c>
      <c r="E25" s="4">
        <v>1304</v>
      </c>
    </row>
    <row r="26" spans="1:5" ht="23.1" customHeight="1" x14ac:dyDescent="0.25">
      <c r="A26" s="4">
        <v>5</v>
      </c>
      <c r="B26" s="4" t="s">
        <v>312</v>
      </c>
      <c r="C26" s="4">
        <v>2521</v>
      </c>
      <c r="D26" s="4">
        <v>1235</v>
      </c>
      <c r="E26" s="4">
        <v>1286</v>
      </c>
    </row>
    <row r="27" spans="1:5" ht="23.1" customHeight="1" x14ac:dyDescent="0.25">
      <c r="A27" s="4">
        <v>6</v>
      </c>
      <c r="B27" s="4" t="s">
        <v>697</v>
      </c>
      <c r="C27" s="4">
        <v>3845</v>
      </c>
      <c r="D27" s="4">
        <v>1864</v>
      </c>
      <c r="E27" s="4">
        <v>1981</v>
      </c>
    </row>
    <row r="28" spans="1:5" ht="23.1" customHeight="1" x14ac:dyDescent="0.25">
      <c r="A28" s="4">
        <v>7</v>
      </c>
      <c r="B28" s="4" t="s">
        <v>289</v>
      </c>
      <c r="C28" s="4">
        <v>2854</v>
      </c>
      <c r="D28" s="4">
        <v>1376</v>
      </c>
      <c r="E28" s="4">
        <v>1478</v>
      </c>
    </row>
    <row r="29" spans="1:5" ht="23.1" customHeight="1" x14ac:dyDescent="0.25">
      <c r="A29" s="4">
        <v>8</v>
      </c>
      <c r="B29" s="4" t="s">
        <v>698</v>
      </c>
      <c r="C29" s="4">
        <v>2845</v>
      </c>
      <c r="D29" s="4">
        <v>1365</v>
      </c>
      <c r="E29" s="4">
        <v>1480</v>
      </c>
    </row>
    <row r="30" spans="1:5" ht="23.1" customHeight="1" x14ac:dyDescent="0.25">
      <c r="A30" s="4">
        <v>9</v>
      </c>
      <c r="B30" s="4" t="s">
        <v>699</v>
      </c>
      <c r="C30" s="4">
        <v>2464</v>
      </c>
      <c r="D30" s="4">
        <v>1186</v>
      </c>
      <c r="E30" s="4">
        <v>1278</v>
      </c>
    </row>
    <row r="31" spans="1:5" ht="23.1" customHeight="1" x14ac:dyDescent="0.25">
      <c r="A31" s="4">
        <v>10</v>
      </c>
      <c r="B31" s="4" t="s">
        <v>700</v>
      </c>
      <c r="C31" s="4">
        <v>1767</v>
      </c>
      <c r="D31" s="4">
        <v>890</v>
      </c>
      <c r="E31" s="4">
        <v>877</v>
      </c>
    </row>
    <row r="32" spans="1:5" ht="23.1" customHeight="1" x14ac:dyDescent="0.25">
      <c r="A32" s="4">
        <v>11</v>
      </c>
      <c r="B32" s="4" t="s">
        <v>701</v>
      </c>
      <c r="C32" s="4">
        <v>2365</v>
      </c>
      <c r="D32" s="4">
        <v>1143</v>
      </c>
      <c r="E32" s="4">
        <v>1222</v>
      </c>
    </row>
    <row r="33" spans="1:5" ht="23.1" customHeight="1" x14ac:dyDescent="0.25">
      <c r="A33" s="4">
        <v>12</v>
      </c>
      <c r="B33" s="4" t="s">
        <v>702</v>
      </c>
      <c r="C33" s="4">
        <v>3118</v>
      </c>
      <c r="D33" s="4">
        <v>1481</v>
      </c>
      <c r="E33" s="4">
        <v>1637</v>
      </c>
    </row>
    <row r="34" spans="1:5" ht="23.1" customHeight="1" x14ac:dyDescent="0.25">
      <c r="A34" s="4">
        <v>13</v>
      </c>
      <c r="B34" s="4" t="s">
        <v>703</v>
      </c>
      <c r="C34" s="4">
        <v>2165</v>
      </c>
      <c r="D34" s="4">
        <v>1071</v>
      </c>
      <c r="E34" s="4">
        <v>1094</v>
      </c>
    </row>
    <row r="35" spans="1:5" ht="23.1" customHeight="1" x14ac:dyDescent="0.25">
      <c r="A35" s="4">
        <v>14</v>
      </c>
      <c r="B35" s="4" t="s">
        <v>704</v>
      </c>
      <c r="C35" s="4">
        <v>1940</v>
      </c>
      <c r="D35" s="4">
        <v>927</v>
      </c>
      <c r="E35" s="4">
        <v>1013</v>
      </c>
    </row>
    <row r="36" spans="1:5" ht="23.1" customHeight="1" x14ac:dyDescent="0.25">
      <c r="A36" s="4">
        <v>15</v>
      </c>
      <c r="B36" s="4" t="s">
        <v>89</v>
      </c>
      <c r="C36" s="4">
        <v>1708</v>
      </c>
      <c r="D36" s="4">
        <v>833</v>
      </c>
      <c r="E36" s="4">
        <v>875</v>
      </c>
    </row>
    <row r="37" spans="1:5" ht="23.1" customHeight="1" x14ac:dyDescent="0.25">
      <c r="A37" s="4">
        <v>16</v>
      </c>
      <c r="B37" s="4" t="s">
        <v>705</v>
      </c>
      <c r="C37" s="4">
        <v>1488</v>
      </c>
      <c r="D37" s="4">
        <v>695</v>
      </c>
      <c r="E37" s="4">
        <v>793</v>
      </c>
    </row>
    <row r="38" spans="1:5" ht="23.1" customHeight="1" x14ac:dyDescent="0.25">
      <c r="A38" s="4">
        <v>17</v>
      </c>
      <c r="B38" s="4" t="s">
        <v>654</v>
      </c>
      <c r="C38" s="4">
        <v>4034</v>
      </c>
      <c r="D38" s="4">
        <v>1931</v>
      </c>
      <c r="E38" s="4">
        <v>2103</v>
      </c>
    </row>
    <row r="39" spans="1:5" ht="23.1" customHeight="1" x14ac:dyDescent="0.25">
      <c r="A39" s="4">
        <v>18</v>
      </c>
      <c r="B39" s="4" t="s">
        <v>706</v>
      </c>
      <c r="C39" s="4">
        <v>3553</v>
      </c>
      <c r="D39" s="4">
        <v>1782</v>
      </c>
      <c r="E39" s="4">
        <v>1771</v>
      </c>
    </row>
    <row r="40" spans="1:5" ht="23.1" customHeight="1" x14ac:dyDescent="0.25">
      <c r="A40" s="4">
        <v>19</v>
      </c>
      <c r="B40" s="4" t="s">
        <v>707</v>
      </c>
      <c r="C40" s="4">
        <v>2479</v>
      </c>
      <c r="D40" s="4">
        <v>1219</v>
      </c>
      <c r="E40" s="4">
        <v>1260</v>
      </c>
    </row>
    <row r="41" spans="1:5" ht="23.1" customHeight="1" x14ac:dyDescent="0.25">
      <c r="A41" s="4">
        <v>20</v>
      </c>
      <c r="B41" s="4" t="s">
        <v>708</v>
      </c>
      <c r="C41" s="4">
        <v>1124</v>
      </c>
      <c r="D41" s="4">
        <v>549</v>
      </c>
      <c r="E41" s="4">
        <v>575</v>
      </c>
    </row>
    <row r="42" spans="1:5" ht="23.1" customHeight="1" x14ac:dyDescent="0.25">
      <c r="A42" s="4">
        <v>21</v>
      </c>
      <c r="B42" s="4" t="s">
        <v>709</v>
      </c>
      <c r="C42" s="4">
        <v>4141</v>
      </c>
      <c r="D42" s="4">
        <v>1982</v>
      </c>
      <c r="E42" s="4">
        <v>2159</v>
      </c>
    </row>
    <row r="43" spans="1:5" ht="23.1" customHeight="1" x14ac:dyDescent="0.25">
      <c r="A43" s="4">
        <v>22</v>
      </c>
      <c r="B43" s="4" t="s">
        <v>710</v>
      </c>
      <c r="C43" s="4">
        <v>2102</v>
      </c>
      <c r="D43" s="4">
        <v>1059</v>
      </c>
      <c r="E43" s="4">
        <v>1043</v>
      </c>
    </row>
    <row r="44" spans="1:5" ht="23.1" customHeight="1" x14ac:dyDescent="0.25">
      <c r="A44" s="4">
        <v>23</v>
      </c>
      <c r="B44" s="4" t="s">
        <v>711</v>
      </c>
      <c r="C44" s="4">
        <v>2377</v>
      </c>
      <c r="D44" s="4">
        <v>1144</v>
      </c>
      <c r="E44" s="4">
        <v>1233</v>
      </c>
    </row>
    <row r="45" spans="1:5" ht="23.1" customHeight="1" x14ac:dyDescent="0.25">
      <c r="A45" s="4">
        <v>24</v>
      </c>
      <c r="B45" s="4" t="s">
        <v>712</v>
      </c>
      <c r="C45" s="4">
        <v>2122</v>
      </c>
      <c r="D45" s="4">
        <v>991</v>
      </c>
      <c r="E45" s="4">
        <v>1131</v>
      </c>
    </row>
    <row r="46" spans="1:5" ht="23.1" customHeight="1" x14ac:dyDescent="0.25">
      <c r="A46" s="4">
        <v>25</v>
      </c>
      <c r="B46" s="4" t="s">
        <v>713</v>
      </c>
      <c r="C46" s="4">
        <v>7265</v>
      </c>
      <c r="D46" s="4">
        <v>3473</v>
      </c>
      <c r="E46" s="4">
        <v>3792</v>
      </c>
    </row>
    <row r="47" spans="1:5" ht="23.1" customHeight="1" x14ac:dyDescent="0.25">
      <c r="A47" s="4">
        <v>26</v>
      </c>
      <c r="B47" s="4" t="s">
        <v>575</v>
      </c>
      <c r="C47" s="4">
        <v>3628</v>
      </c>
      <c r="D47" s="4">
        <v>1769</v>
      </c>
      <c r="E47" s="4">
        <v>1859</v>
      </c>
    </row>
    <row r="48" spans="1:5" ht="23.1" customHeight="1" x14ac:dyDescent="0.25">
      <c r="A48" s="4">
        <v>27</v>
      </c>
      <c r="B48" s="4" t="s">
        <v>714</v>
      </c>
      <c r="C48" s="4">
        <v>1626</v>
      </c>
      <c r="D48" s="4">
        <v>771</v>
      </c>
      <c r="E48" s="4">
        <v>855</v>
      </c>
    </row>
    <row r="49" spans="1:5" ht="23.1" customHeight="1" x14ac:dyDescent="0.25">
      <c r="A49" s="4">
        <v>28</v>
      </c>
      <c r="B49" s="4" t="s">
        <v>715</v>
      </c>
      <c r="C49" s="4">
        <v>3824</v>
      </c>
      <c r="D49" s="4">
        <v>1837</v>
      </c>
      <c r="E49" s="4">
        <v>1987</v>
      </c>
    </row>
    <row r="50" spans="1:5" ht="23.1" customHeight="1" x14ac:dyDescent="0.25">
      <c r="A50" s="4">
        <v>29</v>
      </c>
      <c r="B50" s="4" t="s">
        <v>716</v>
      </c>
      <c r="C50" s="4">
        <v>2546</v>
      </c>
      <c r="D50" s="4">
        <v>1205</v>
      </c>
      <c r="E50" s="4">
        <v>1341</v>
      </c>
    </row>
    <row r="51" spans="1:5" ht="23.1" customHeight="1" x14ac:dyDescent="0.25">
      <c r="A51" s="4">
        <v>30</v>
      </c>
      <c r="B51" s="4" t="s">
        <v>717</v>
      </c>
      <c r="C51" s="4">
        <v>3101</v>
      </c>
      <c r="D51" s="4">
        <v>1452</v>
      </c>
      <c r="E51" s="4">
        <v>1649</v>
      </c>
    </row>
    <row r="52" spans="1:5" ht="23.1" customHeight="1" x14ac:dyDescent="0.25">
      <c r="A52" s="4">
        <v>31</v>
      </c>
      <c r="B52" s="4" t="s">
        <v>718</v>
      </c>
      <c r="C52" s="4">
        <v>2176</v>
      </c>
      <c r="D52" s="4">
        <v>1018</v>
      </c>
      <c r="E52" s="4">
        <v>1158</v>
      </c>
    </row>
    <row r="53" spans="1:5" ht="23.1" customHeight="1" x14ac:dyDescent="0.25">
      <c r="A53" s="4">
        <v>32</v>
      </c>
      <c r="B53" s="4" t="s">
        <v>719</v>
      </c>
      <c r="C53" s="4">
        <v>3008</v>
      </c>
      <c r="D53" s="4">
        <v>1426</v>
      </c>
      <c r="E53" s="4">
        <v>1582</v>
      </c>
    </row>
    <row r="54" spans="1:5" ht="23.1" customHeight="1" x14ac:dyDescent="0.25">
      <c r="A54" s="4">
        <v>33</v>
      </c>
      <c r="B54" s="4" t="s">
        <v>720</v>
      </c>
      <c r="C54" s="4">
        <v>1356</v>
      </c>
      <c r="D54" s="4">
        <v>610</v>
      </c>
      <c r="E54" s="4">
        <v>746</v>
      </c>
    </row>
    <row r="55" spans="1:5" ht="23.1" customHeight="1" x14ac:dyDescent="0.25">
      <c r="A55" s="4">
        <v>34</v>
      </c>
      <c r="B55" s="4" t="s">
        <v>721</v>
      </c>
      <c r="C55" s="4">
        <v>2846</v>
      </c>
      <c r="D55" s="4">
        <v>1346</v>
      </c>
      <c r="E55" s="4">
        <v>1500</v>
      </c>
    </row>
    <row r="56" spans="1:5" ht="23.1" customHeight="1" x14ac:dyDescent="0.25">
      <c r="A56" s="4">
        <v>35</v>
      </c>
      <c r="B56" s="4" t="s">
        <v>722</v>
      </c>
      <c r="C56" s="4">
        <v>2400</v>
      </c>
      <c r="D56" s="4">
        <v>1121</v>
      </c>
      <c r="E56" s="4">
        <v>1279</v>
      </c>
    </row>
    <row r="57" spans="1:5" ht="23.1" customHeight="1" x14ac:dyDescent="0.25">
      <c r="A57" s="4">
        <v>36</v>
      </c>
      <c r="B57" s="4" t="s">
        <v>723</v>
      </c>
      <c r="C57" s="4">
        <v>2309</v>
      </c>
      <c r="D57" s="4">
        <v>1096</v>
      </c>
      <c r="E57" s="4">
        <v>1213</v>
      </c>
    </row>
    <row r="58" spans="1:5" ht="23.1" customHeight="1" x14ac:dyDescent="0.25">
      <c r="A58" s="4">
        <v>37</v>
      </c>
      <c r="B58" s="4" t="s">
        <v>205</v>
      </c>
      <c r="C58" s="4">
        <v>2583</v>
      </c>
      <c r="D58" s="4">
        <v>1194</v>
      </c>
      <c r="E58" s="4">
        <v>1389</v>
      </c>
    </row>
    <row r="59" spans="1:5" ht="23.1" customHeight="1" x14ac:dyDescent="0.25">
      <c r="A59" s="4">
        <v>38</v>
      </c>
      <c r="B59" s="4" t="s">
        <v>621</v>
      </c>
      <c r="C59" s="4">
        <v>2555</v>
      </c>
      <c r="D59" s="4">
        <v>1228</v>
      </c>
      <c r="E59" s="4">
        <v>1327</v>
      </c>
    </row>
    <row r="60" spans="1:5" ht="23.1" customHeight="1" x14ac:dyDescent="0.25">
      <c r="A60" s="4">
        <v>39</v>
      </c>
      <c r="B60" s="4" t="s">
        <v>724</v>
      </c>
      <c r="C60" s="4">
        <v>2454</v>
      </c>
      <c r="D60" s="4">
        <v>1181</v>
      </c>
      <c r="E60" s="4">
        <v>1273</v>
      </c>
    </row>
    <row r="61" spans="1:5" ht="23.1" customHeight="1" x14ac:dyDescent="0.25">
      <c r="A61" s="4">
        <v>40</v>
      </c>
      <c r="B61" s="4" t="s">
        <v>725</v>
      </c>
      <c r="C61" s="4">
        <v>1277</v>
      </c>
      <c r="D61" s="4">
        <v>617</v>
      </c>
      <c r="E61" s="4">
        <v>660</v>
      </c>
    </row>
    <row r="62" spans="1:5" ht="23.1" customHeight="1" x14ac:dyDescent="0.25">
      <c r="A62" s="4">
        <v>41</v>
      </c>
      <c r="B62" s="4" t="s">
        <v>726</v>
      </c>
      <c r="C62" s="4">
        <v>1409</v>
      </c>
      <c r="D62" s="4">
        <v>693</v>
      </c>
      <c r="E62" s="4">
        <v>716</v>
      </c>
    </row>
    <row r="63" spans="1:5" ht="23.1" customHeight="1" x14ac:dyDescent="0.25">
      <c r="A63" s="4">
        <v>42</v>
      </c>
      <c r="B63" s="4" t="s">
        <v>727</v>
      </c>
      <c r="C63" s="4">
        <v>532</v>
      </c>
      <c r="D63" s="4">
        <v>236</v>
      </c>
      <c r="E63" s="4">
        <v>296</v>
      </c>
    </row>
    <row r="64" spans="1:5" ht="23.1" customHeight="1" x14ac:dyDescent="0.25">
      <c r="A64" s="4">
        <v>43</v>
      </c>
      <c r="B64" s="4" t="s">
        <v>728</v>
      </c>
      <c r="C64" s="4">
        <v>418</v>
      </c>
      <c r="D64" s="4">
        <v>188</v>
      </c>
      <c r="E64" s="4">
        <v>230</v>
      </c>
    </row>
    <row r="65" spans="1:5" ht="23.1" customHeight="1" x14ac:dyDescent="0.25">
      <c r="A65" s="4">
        <v>44</v>
      </c>
      <c r="B65" s="4" t="s">
        <v>620</v>
      </c>
      <c r="C65" s="4">
        <v>1919</v>
      </c>
      <c r="D65" s="4">
        <v>906</v>
      </c>
      <c r="E65" s="4">
        <v>1013</v>
      </c>
    </row>
    <row r="66" spans="1:5" ht="23.1" customHeight="1" x14ac:dyDescent="0.25">
      <c r="A66" s="4">
        <v>45</v>
      </c>
      <c r="B66" s="4" t="s">
        <v>729</v>
      </c>
      <c r="C66" s="4">
        <v>1320</v>
      </c>
      <c r="D66" s="4">
        <v>650</v>
      </c>
      <c r="E66" s="4">
        <v>670</v>
      </c>
    </row>
    <row r="67" spans="1:5" ht="23.1" customHeight="1" x14ac:dyDescent="0.25">
      <c r="A67" s="4">
        <v>46</v>
      </c>
      <c r="B67" s="4" t="s">
        <v>730</v>
      </c>
      <c r="C67" s="4">
        <v>613</v>
      </c>
      <c r="D67" s="4">
        <v>289</v>
      </c>
      <c r="E67" s="4">
        <v>324</v>
      </c>
    </row>
    <row r="68" spans="1:5" ht="23.1" customHeight="1" x14ac:dyDescent="0.25">
      <c r="A68" s="4">
        <v>47</v>
      </c>
      <c r="B68" s="4" t="s">
        <v>731</v>
      </c>
      <c r="C68" s="4">
        <v>1155</v>
      </c>
      <c r="D68" s="4">
        <v>558</v>
      </c>
      <c r="E68" s="4">
        <v>597</v>
      </c>
    </row>
    <row r="69" spans="1:5" ht="23.1" customHeight="1" x14ac:dyDescent="0.25">
      <c r="A69" s="4">
        <v>48</v>
      </c>
      <c r="B69" s="4" t="s">
        <v>732</v>
      </c>
      <c r="C69" s="4">
        <v>2800</v>
      </c>
      <c r="D69" s="4">
        <v>1324</v>
      </c>
      <c r="E69" s="4">
        <v>1476</v>
      </c>
    </row>
    <row r="70" spans="1:5" ht="23.1" customHeight="1" x14ac:dyDescent="0.25">
      <c r="A70" s="4">
        <v>49</v>
      </c>
      <c r="B70" s="4" t="s">
        <v>733</v>
      </c>
      <c r="C70" s="4">
        <v>2107</v>
      </c>
      <c r="D70" s="4">
        <v>1001</v>
      </c>
      <c r="E70" s="4">
        <v>1106</v>
      </c>
    </row>
    <row r="71" spans="1:5" ht="23.1" customHeight="1" x14ac:dyDescent="0.25">
      <c r="A71" s="4">
        <v>50</v>
      </c>
      <c r="B71" s="4" t="s">
        <v>603</v>
      </c>
      <c r="C71" s="4">
        <v>1113</v>
      </c>
      <c r="D71" s="4">
        <v>538</v>
      </c>
      <c r="E71" s="4">
        <v>575</v>
      </c>
    </row>
    <row r="72" spans="1:5" ht="23.1" customHeight="1" x14ac:dyDescent="0.25">
      <c r="A72" s="4">
        <v>51</v>
      </c>
      <c r="B72" s="4" t="s">
        <v>734</v>
      </c>
      <c r="C72" s="4">
        <v>2008</v>
      </c>
      <c r="D72" s="4">
        <v>974</v>
      </c>
      <c r="E72" s="4">
        <v>1034</v>
      </c>
    </row>
    <row r="73" spans="1:5" ht="23.1" customHeight="1" x14ac:dyDescent="0.25">
      <c r="A73" s="4">
        <v>52</v>
      </c>
      <c r="B73" s="4" t="s">
        <v>112</v>
      </c>
      <c r="C73" s="4">
        <v>1634</v>
      </c>
      <c r="D73" s="4">
        <v>811</v>
      </c>
      <c r="E73" s="4">
        <v>823</v>
      </c>
    </row>
    <row r="74" spans="1:5" ht="23.1" customHeight="1" x14ac:dyDescent="0.25">
      <c r="A74" s="10">
        <v>53</v>
      </c>
      <c r="B74" s="10" t="s">
        <v>735</v>
      </c>
      <c r="C74" s="10">
        <v>1854</v>
      </c>
      <c r="D74" s="10">
        <v>914</v>
      </c>
      <c r="E74" s="10">
        <v>940</v>
      </c>
    </row>
    <row r="75" spans="1:5" ht="23.1" customHeight="1" x14ac:dyDescent="0.25"/>
    <row r="76" spans="1:5" ht="23.1" customHeight="1" x14ac:dyDescent="0.25"/>
    <row r="77" spans="1:5" ht="23.1" customHeight="1" x14ac:dyDescent="0.25"/>
    <row r="78" spans="1:5" ht="23.1" customHeight="1" x14ac:dyDescent="0.25"/>
    <row r="79" spans="1:5" ht="23.1" customHeight="1" x14ac:dyDescent="0.25"/>
    <row r="80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Khayan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"/>
  <sheetViews>
    <sheetView workbookViewId="0">
      <selection sqref="A1:E1"/>
    </sheetView>
  </sheetViews>
  <sheetFormatPr defaultRowHeight="15" x14ac:dyDescent="0.25"/>
  <cols>
    <col min="2" max="2" width="32.140625" customWidth="1"/>
    <col min="3" max="5" width="15.7109375" customWidth="1"/>
  </cols>
  <sheetData>
    <row r="1" spans="1:5" ht="23.45" customHeight="1" x14ac:dyDescent="0.25">
      <c r="A1" s="80" t="s">
        <v>1070</v>
      </c>
      <c r="B1" s="80"/>
      <c r="C1" s="80"/>
      <c r="D1" s="80"/>
      <c r="E1" s="80"/>
    </row>
    <row r="2" spans="1:5" ht="23.45" customHeight="1" x14ac:dyDescent="0.25">
      <c r="E2" s="55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6"/>
      <c r="B5" s="57" t="s">
        <v>0</v>
      </c>
      <c r="C5" s="57">
        <f>C7+C17</f>
        <v>226836</v>
      </c>
      <c r="D5" s="57">
        <f t="shared" ref="D5:E5" si="0">D7+D17</f>
        <v>111251</v>
      </c>
      <c r="E5" s="57">
        <f t="shared" si="0"/>
        <v>115585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SUM(C8:C15)</f>
        <v>43092</v>
      </c>
      <c r="D7" s="15">
        <f t="shared" ref="D7:E7" si="1">SUM(D8:D15)</f>
        <v>20752</v>
      </c>
      <c r="E7" s="15">
        <f t="shared" si="1"/>
        <v>22340</v>
      </c>
    </row>
    <row r="8" spans="1:5" ht="23.1" customHeight="1" x14ac:dyDescent="0.25">
      <c r="A8" s="4">
        <v>1</v>
      </c>
      <c r="B8" s="4" t="s">
        <v>736</v>
      </c>
      <c r="C8" s="4">
        <v>9618</v>
      </c>
      <c r="D8" s="4">
        <v>4718</v>
      </c>
      <c r="E8" s="4">
        <v>4900</v>
      </c>
    </row>
    <row r="9" spans="1:5" ht="23.1" customHeight="1" x14ac:dyDescent="0.25">
      <c r="A9" s="4">
        <v>2</v>
      </c>
      <c r="B9" s="4" t="s">
        <v>737</v>
      </c>
      <c r="C9" s="4">
        <v>3521</v>
      </c>
      <c r="D9" s="4">
        <v>1602</v>
      </c>
      <c r="E9" s="4">
        <v>1919</v>
      </c>
    </row>
    <row r="10" spans="1:5" ht="23.1" customHeight="1" x14ac:dyDescent="0.25">
      <c r="A10" s="4">
        <v>3</v>
      </c>
      <c r="B10" s="4" t="s">
        <v>738</v>
      </c>
      <c r="C10" s="4">
        <v>1786</v>
      </c>
      <c r="D10" s="4">
        <v>808</v>
      </c>
      <c r="E10" s="4">
        <v>978</v>
      </c>
    </row>
    <row r="11" spans="1:5" ht="23.1" customHeight="1" x14ac:dyDescent="0.25">
      <c r="A11" s="4">
        <v>4</v>
      </c>
      <c r="B11" s="4" t="s">
        <v>739</v>
      </c>
      <c r="C11" s="4">
        <v>7143</v>
      </c>
      <c r="D11" s="4">
        <v>3431</v>
      </c>
      <c r="E11" s="4">
        <v>3712</v>
      </c>
    </row>
    <row r="12" spans="1:5" ht="23.1" customHeight="1" x14ac:dyDescent="0.25">
      <c r="A12" s="4">
        <v>5</v>
      </c>
      <c r="B12" s="4" t="s">
        <v>740</v>
      </c>
      <c r="C12" s="4">
        <v>5558</v>
      </c>
      <c r="D12" s="4">
        <v>2616</v>
      </c>
      <c r="E12" s="4">
        <v>2942</v>
      </c>
    </row>
    <row r="13" spans="1:5" ht="23.1" customHeight="1" x14ac:dyDescent="0.25">
      <c r="A13" s="4">
        <v>6</v>
      </c>
      <c r="B13" s="4" t="s">
        <v>741</v>
      </c>
      <c r="C13" s="4">
        <v>5930</v>
      </c>
      <c r="D13" s="4">
        <v>2991</v>
      </c>
      <c r="E13" s="4">
        <v>2939</v>
      </c>
    </row>
    <row r="14" spans="1:5" ht="23.1" customHeight="1" x14ac:dyDescent="0.25">
      <c r="A14" s="4">
        <v>7</v>
      </c>
      <c r="B14" s="4" t="s">
        <v>742</v>
      </c>
      <c r="C14" s="4">
        <v>4298</v>
      </c>
      <c r="D14" s="4">
        <v>2029</v>
      </c>
      <c r="E14" s="4">
        <v>2269</v>
      </c>
    </row>
    <row r="15" spans="1:5" ht="23.1" customHeight="1" x14ac:dyDescent="0.25">
      <c r="A15" s="4">
        <v>8</v>
      </c>
      <c r="B15" s="4" t="s">
        <v>743</v>
      </c>
      <c r="C15" s="4">
        <v>5238</v>
      </c>
      <c r="D15" s="4">
        <v>2557</v>
      </c>
      <c r="E15" s="4">
        <v>2681</v>
      </c>
    </row>
    <row r="16" spans="1:5" ht="23.1" customHeight="1" x14ac:dyDescent="0.25">
      <c r="A16" s="4"/>
      <c r="B16" s="4"/>
      <c r="C16" s="4"/>
      <c r="D16" s="4"/>
      <c r="E16" s="4"/>
    </row>
    <row r="17" spans="1:5" ht="23.1" customHeight="1" x14ac:dyDescent="0.25">
      <c r="A17" s="4"/>
      <c r="B17" s="15" t="s">
        <v>1032</v>
      </c>
      <c r="C17" s="15">
        <f>SUM(C18:C82)</f>
        <v>183744</v>
      </c>
      <c r="D17" s="15">
        <f t="shared" ref="D17:E17" si="2">SUM(D18:D82)</f>
        <v>90499</v>
      </c>
      <c r="E17" s="15">
        <f t="shared" si="2"/>
        <v>93245</v>
      </c>
    </row>
    <row r="18" spans="1:5" ht="23.1" customHeight="1" x14ac:dyDescent="0.25">
      <c r="A18" s="4">
        <v>1</v>
      </c>
      <c r="B18" s="4" t="s">
        <v>744</v>
      </c>
      <c r="C18" s="4">
        <v>4650</v>
      </c>
      <c r="D18" s="4">
        <v>2300</v>
      </c>
      <c r="E18" s="4">
        <v>2350</v>
      </c>
    </row>
    <row r="19" spans="1:5" ht="23.1" customHeight="1" x14ac:dyDescent="0.25">
      <c r="A19" s="4">
        <v>2</v>
      </c>
      <c r="B19" s="4" t="s">
        <v>745</v>
      </c>
      <c r="C19" s="4">
        <v>1761</v>
      </c>
      <c r="D19" s="4">
        <v>868</v>
      </c>
      <c r="E19" s="4">
        <v>893</v>
      </c>
    </row>
    <row r="20" spans="1:5" ht="23.1" customHeight="1" x14ac:dyDescent="0.25">
      <c r="A20" s="4">
        <v>3</v>
      </c>
      <c r="B20" s="4" t="s">
        <v>746</v>
      </c>
      <c r="C20" s="4">
        <v>924</v>
      </c>
      <c r="D20" s="4">
        <v>470</v>
      </c>
      <c r="E20" s="4">
        <v>454</v>
      </c>
    </row>
    <row r="21" spans="1:5" ht="23.1" customHeight="1" x14ac:dyDescent="0.25">
      <c r="A21" s="4">
        <v>4</v>
      </c>
      <c r="B21" s="4" t="s">
        <v>747</v>
      </c>
      <c r="C21" s="4">
        <v>2478</v>
      </c>
      <c r="D21" s="4">
        <v>1215</v>
      </c>
      <c r="E21" s="4">
        <v>1263</v>
      </c>
    </row>
    <row r="22" spans="1:5" ht="23.1" customHeight="1" x14ac:dyDescent="0.25">
      <c r="A22" s="4">
        <v>5</v>
      </c>
      <c r="B22" s="4" t="s">
        <v>608</v>
      </c>
      <c r="C22" s="4">
        <v>490</v>
      </c>
      <c r="D22" s="4">
        <v>247</v>
      </c>
      <c r="E22" s="4">
        <v>243</v>
      </c>
    </row>
    <row r="23" spans="1:5" ht="23.1" customHeight="1" x14ac:dyDescent="0.25">
      <c r="A23" s="4">
        <v>6</v>
      </c>
      <c r="B23" s="4" t="s">
        <v>748</v>
      </c>
      <c r="C23" s="4">
        <v>746</v>
      </c>
      <c r="D23" s="4">
        <v>357</v>
      </c>
      <c r="E23" s="4">
        <v>389</v>
      </c>
    </row>
    <row r="24" spans="1:5" ht="23.1" customHeight="1" x14ac:dyDescent="0.25">
      <c r="A24" s="4">
        <v>7</v>
      </c>
      <c r="B24" s="4" t="s">
        <v>749</v>
      </c>
      <c r="C24" s="4">
        <v>3943</v>
      </c>
      <c r="D24" s="4">
        <v>1982</v>
      </c>
      <c r="E24" s="4">
        <v>1961</v>
      </c>
    </row>
    <row r="25" spans="1:5" ht="23.1" customHeight="1" x14ac:dyDescent="0.25">
      <c r="A25" s="4">
        <v>8</v>
      </c>
      <c r="B25" s="4" t="s">
        <v>750</v>
      </c>
      <c r="C25" s="4">
        <v>2587</v>
      </c>
      <c r="D25" s="4">
        <v>1337</v>
      </c>
      <c r="E25" s="4">
        <v>1250</v>
      </c>
    </row>
    <row r="26" spans="1:5" ht="23.1" customHeight="1" x14ac:dyDescent="0.25">
      <c r="A26" s="4">
        <v>9</v>
      </c>
      <c r="B26" s="4" t="s">
        <v>751</v>
      </c>
      <c r="C26" s="4">
        <v>3122</v>
      </c>
      <c r="D26" s="4">
        <v>1594</v>
      </c>
      <c r="E26" s="4">
        <v>1528</v>
      </c>
    </row>
    <row r="27" spans="1:5" ht="23.1" customHeight="1" x14ac:dyDescent="0.25">
      <c r="A27" s="4">
        <v>10</v>
      </c>
      <c r="B27" s="4" t="s">
        <v>752</v>
      </c>
      <c r="C27" s="4">
        <v>1515</v>
      </c>
      <c r="D27" s="4">
        <v>748</v>
      </c>
      <c r="E27" s="4">
        <v>767</v>
      </c>
    </row>
    <row r="28" spans="1:5" ht="23.1" customHeight="1" x14ac:dyDescent="0.25">
      <c r="A28" s="4">
        <v>11</v>
      </c>
      <c r="B28" s="4" t="s">
        <v>753</v>
      </c>
      <c r="C28" s="4">
        <v>516</v>
      </c>
      <c r="D28" s="4">
        <v>248</v>
      </c>
      <c r="E28" s="4">
        <v>268</v>
      </c>
    </row>
    <row r="29" spans="1:5" ht="23.1" customHeight="1" x14ac:dyDescent="0.25">
      <c r="A29" s="4">
        <v>12</v>
      </c>
      <c r="B29" s="4" t="s">
        <v>269</v>
      </c>
      <c r="C29" s="4">
        <v>964</v>
      </c>
      <c r="D29" s="4">
        <v>483</v>
      </c>
      <c r="E29" s="4">
        <v>481</v>
      </c>
    </row>
    <row r="30" spans="1:5" ht="23.1" customHeight="1" x14ac:dyDescent="0.25">
      <c r="A30" s="4">
        <v>13</v>
      </c>
      <c r="B30" s="4" t="s">
        <v>754</v>
      </c>
      <c r="C30" s="4">
        <v>7422</v>
      </c>
      <c r="D30" s="4">
        <v>3498</v>
      </c>
      <c r="E30" s="4">
        <v>3924</v>
      </c>
    </row>
    <row r="31" spans="1:5" ht="23.1" customHeight="1" x14ac:dyDescent="0.25">
      <c r="A31" s="4">
        <v>14</v>
      </c>
      <c r="B31" s="4" t="s">
        <v>755</v>
      </c>
      <c r="C31" s="4">
        <v>3149</v>
      </c>
      <c r="D31" s="4">
        <v>1746</v>
      </c>
      <c r="E31" s="4">
        <v>1403</v>
      </c>
    </row>
    <row r="32" spans="1:5" ht="23.1" customHeight="1" x14ac:dyDescent="0.25">
      <c r="A32" s="4">
        <v>15</v>
      </c>
      <c r="B32" s="4" t="s">
        <v>756</v>
      </c>
      <c r="C32" s="4">
        <v>2891</v>
      </c>
      <c r="D32" s="4">
        <v>1472</v>
      </c>
      <c r="E32" s="4">
        <v>1419</v>
      </c>
    </row>
    <row r="33" spans="1:5" ht="23.1" customHeight="1" x14ac:dyDescent="0.25">
      <c r="A33" s="4">
        <v>16</v>
      </c>
      <c r="B33" s="4" t="s">
        <v>757</v>
      </c>
      <c r="C33" s="4">
        <v>4975</v>
      </c>
      <c r="D33" s="4">
        <v>2515</v>
      </c>
      <c r="E33" s="4">
        <v>2460</v>
      </c>
    </row>
    <row r="34" spans="1:5" ht="23.1" customHeight="1" x14ac:dyDescent="0.25">
      <c r="A34" s="4">
        <v>17</v>
      </c>
      <c r="B34" s="4" t="s">
        <v>65</v>
      </c>
      <c r="C34" s="4">
        <v>3299</v>
      </c>
      <c r="D34" s="4">
        <v>1624</v>
      </c>
      <c r="E34" s="4">
        <v>1675</v>
      </c>
    </row>
    <row r="35" spans="1:5" ht="23.1" customHeight="1" x14ac:dyDescent="0.25">
      <c r="A35" s="4">
        <v>18</v>
      </c>
      <c r="B35" s="4" t="s">
        <v>758</v>
      </c>
      <c r="C35" s="4">
        <v>5221</v>
      </c>
      <c r="D35" s="4">
        <v>2497</v>
      </c>
      <c r="E35" s="4">
        <v>2724</v>
      </c>
    </row>
    <row r="36" spans="1:5" ht="23.1" customHeight="1" x14ac:dyDescent="0.25">
      <c r="A36" s="4">
        <v>19</v>
      </c>
      <c r="B36" s="4" t="s">
        <v>759</v>
      </c>
      <c r="C36" s="4">
        <v>2972</v>
      </c>
      <c r="D36" s="4">
        <v>1414</v>
      </c>
      <c r="E36" s="4">
        <v>1558</v>
      </c>
    </row>
    <row r="37" spans="1:5" ht="23.1" customHeight="1" x14ac:dyDescent="0.25">
      <c r="A37" s="4">
        <v>20</v>
      </c>
      <c r="B37" s="4" t="s">
        <v>760</v>
      </c>
      <c r="C37" s="4">
        <v>1797</v>
      </c>
      <c r="D37" s="4">
        <v>904</v>
      </c>
      <c r="E37" s="4">
        <v>893</v>
      </c>
    </row>
    <row r="38" spans="1:5" ht="23.1" customHeight="1" x14ac:dyDescent="0.25">
      <c r="A38" s="4">
        <v>21</v>
      </c>
      <c r="B38" s="4" t="s">
        <v>761</v>
      </c>
      <c r="C38" s="4">
        <v>1212</v>
      </c>
      <c r="D38" s="4">
        <v>595</v>
      </c>
      <c r="E38" s="4">
        <v>617</v>
      </c>
    </row>
    <row r="39" spans="1:5" ht="23.1" customHeight="1" x14ac:dyDescent="0.25">
      <c r="A39" s="4">
        <v>22</v>
      </c>
      <c r="B39" s="4" t="s">
        <v>762</v>
      </c>
      <c r="C39" s="4">
        <v>350</v>
      </c>
      <c r="D39" s="4">
        <v>171</v>
      </c>
      <c r="E39" s="4">
        <v>179</v>
      </c>
    </row>
    <row r="40" spans="1:5" ht="23.1" customHeight="1" x14ac:dyDescent="0.25">
      <c r="A40" s="4">
        <v>23</v>
      </c>
      <c r="B40" s="4" t="s">
        <v>763</v>
      </c>
      <c r="C40" s="4">
        <v>3355</v>
      </c>
      <c r="D40" s="4">
        <v>1659</v>
      </c>
      <c r="E40" s="4">
        <v>1696</v>
      </c>
    </row>
    <row r="41" spans="1:5" ht="23.1" customHeight="1" x14ac:dyDescent="0.25">
      <c r="A41" s="4">
        <v>24</v>
      </c>
      <c r="B41" s="4" t="s">
        <v>764</v>
      </c>
      <c r="C41" s="4">
        <v>1928</v>
      </c>
      <c r="D41" s="4">
        <v>929</v>
      </c>
      <c r="E41" s="4">
        <v>999</v>
      </c>
    </row>
    <row r="42" spans="1:5" ht="23.1" customHeight="1" x14ac:dyDescent="0.25">
      <c r="A42" s="4">
        <v>25</v>
      </c>
      <c r="B42" s="4" t="s">
        <v>765</v>
      </c>
      <c r="C42" s="4">
        <v>3612</v>
      </c>
      <c r="D42" s="4">
        <v>1819</v>
      </c>
      <c r="E42" s="4">
        <v>1793</v>
      </c>
    </row>
    <row r="43" spans="1:5" ht="23.1" customHeight="1" x14ac:dyDescent="0.25">
      <c r="A43" s="4">
        <v>26</v>
      </c>
      <c r="B43" s="4" t="s">
        <v>620</v>
      </c>
      <c r="C43" s="4">
        <v>3237</v>
      </c>
      <c r="D43" s="4">
        <v>1564</v>
      </c>
      <c r="E43" s="4">
        <v>1673</v>
      </c>
    </row>
    <row r="44" spans="1:5" ht="23.1" customHeight="1" x14ac:dyDescent="0.25">
      <c r="A44" s="4">
        <v>27</v>
      </c>
      <c r="B44" s="4" t="s">
        <v>766</v>
      </c>
      <c r="C44" s="4">
        <v>1554</v>
      </c>
      <c r="D44" s="4">
        <v>750</v>
      </c>
      <c r="E44" s="4">
        <v>804</v>
      </c>
    </row>
    <row r="45" spans="1:5" ht="23.1" customHeight="1" x14ac:dyDescent="0.25">
      <c r="A45" s="4">
        <v>28</v>
      </c>
      <c r="B45" s="4" t="s">
        <v>654</v>
      </c>
      <c r="C45" s="4">
        <v>2948</v>
      </c>
      <c r="D45" s="4">
        <v>1420</v>
      </c>
      <c r="E45" s="4">
        <v>1528</v>
      </c>
    </row>
    <row r="46" spans="1:5" ht="23.1" customHeight="1" x14ac:dyDescent="0.25">
      <c r="A46" s="4">
        <v>29</v>
      </c>
      <c r="B46" s="4" t="s">
        <v>767</v>
      </c>
      <c r="C46" s="4">
        <v>1454</v>
      </c>
      <c r="D46" s="4">
        <v>731</v>
      </c>
      <c r="E46" s="4">
        <v>723</v>
      </c>
    </row>
    <row r="47" spans="1:5" ht="23.1" customHeight="1" x14ac:dyDescent="0.25">
      <c r="A47" s="4">
        <v>30</v>
      </c>
      <c r="B47" s="4" t="s">
        <v>629</v>
      </c>
      <c r="C47" s="4">
        <v>3628</v>
      </c>
      <c r="D47" s="4">
        <v>1837</v>
      </c>
      <c r="E47" s="4">
        <v>1791</v>
      </c>
    </row>
    <row r="48" spans="1:5" ht="23.1" customHeight="1" x14ac:dyDescent="0.25">
      <c r="A48" s="4">
        <v>31</v>
      </c>
      <c r="B48" s="4" t="s">
        <v>768</v>
      </c>
      <c r="C48" s="4">
        <v>3448</v>
      </c>
      <c r="D48" s="4">
        <v>1702</v>
      </c>
      <c r="E48" s="4">
        <v>1746</v>
      </c>
    </row>
    <row r="49" spans="1:5" ht="23.1" customHeight="1" x14ac:dyDescent="0.25">
      <c r="A49" s="4">
        <v>32</v>
      </c>
      <c r="B49" s="4" t="s">
        <v>769</v>
      </c>
      <c r="C49" s="4">
        <v>1674</v>
      </c>
      <c r="D49" s="4">
        <v>826</v>
      </c>
      <c r="E49" s="4">
        <v>848</v>
      </c>
    </row>
    <row r="50" spans="1:5" ht="23.1" customHeight="1" x14ac:dyDescent="0.25">
      <c r="A50" s="4">
        <v>33</v>
      </c>
      <c r="B50" s="4" t="s">
        <v>770</v>
      </c>
      <c r="C50" s="4">
        <v>3309</v>
      </c>
      <c r="D50" s="4">
        <v>1684</v>
      </c>
      <c r="E50" s="4">
        <v>1625</v>
      </c>
    </row>
    <row r="51" spans="1:5" ht="23.1" customHeight="1" x14ac:dyDescent="0.25">
      <c r="A51" s="4">
        <v>34</v>
      </c>
      <c r="B51" s="4" t="s">
        <v>771</v>
      </c>
      <c r="C51" s="4">
        <v>1560</v>
      </c>
      <c r="D51" s="4">
        <v>793</v>
      </c>
      <c r="E51" s="4">
        <v>767</v>
      </c>
    </row>
    <row r="52" spans="1:5" ht="23.1" customHeight="1" x14ac:dyDescent="0.25">
      <c r="A52" s="4">
        <v>35</v>
      </c>
      <c r="B52" s="4" t="s">
        <v>772</v>
      </c>
      <c r="C52" s="4">
        <v>1735</v>
      </c>
      <c r="D52" s="4">
        <v>883</v>
      </c>
      <c r="E52" s="4">
        <v>852</v>
      </c>
    </row>
    <row r="53" spans="1:5" ht="23.1" customHeight="1" x14ac:dyDescent="0.25">
      <c r="A53" s="4">
        <v>36</v>
      </c>
      <c r="B53" s="4" t="s">
        <v>773</v>
      </c>
      <c r="C53" s="4">
        <v>2288</v>
      </c>
      <c r="D53" s="4">
        <v>1138</v>
      </c>
      <c r="E53" s="4">
        <v>1150</v>
      </c>
    </row>
    <row r="54" spans="1:5" ht="23.1" customHeight="1" x14ac:dyDescent="0.25">
      <c r="A54" s="4">
        <v>37</v>
      </c>
      <c r="B54" s="4" t="s">
        <v>774</v>
      </c>
      <c r="C54" s="4">
        <v>3961</v>
      </c>
      <c r="D54" s="4">
        <v>1936</v>
      </c>
      <c r="E54" s="4">
        <v>2025</v>
      </c>
    </row>
    <row r="55" spans="1:5" ht="23.1" customHeight="1" x14ac:dyDescent="0.25">
      <c r="A55" s="4">
        <v>38</v>
      </c>
      <c r="B55" s="4" t="s">
        <v>775</v>
      </c>
      <c r="C55" s="4">
        <v>2461</v>
      </c>
      <c r="D55" s="4">
        <v>1215</v>
      </c>
      <c r="E55" s="4">
        <v>1246</v>
      </c>
    </row>
    <row r="56" spans="1:5" ht="23.1" customHeight="1" x14ac:dyDescent="0.25">
      <c r="A56" s="4">
        <v>39</v>
      </c>
      <c r="B56" s="4" t="s">
        <v>776</v>
      </c>
      <c r="C56" s="4">
        <v>2476</v>
      </c>
      <c r="D56" s="4">
        <v>1233</v>
      </c>
      <c r="E56" s="4">
        <v>1243</v>
      </c>
    </row>
    <row r="57" spans="1:5" ht="23.1" customHeight="1" x14ac:dyDescent="0.25">
      <c r="A57" s="4">
        <v>40</v>
      </c>
      <c r="B57" s="4" t="s">
        <v>777</v>
      </c>
      <c r="C57" s="4">
        <v>5718</v>
      </c>
      <c r="D57" s="4">
        <v>2723</v>
      </c>
      <c r="E57" s="4">
        <v>2995</v>
      </c>
    </row>
    <row r="58" spans="1:5" ht="23.1" customHeight="1" x14ac:dyDescent="0.25">
      <c r="A58" s="4">
        <v>41</v>
      </c>
      <c r="B58" s="4" t="s">
        <v>653</v>
      </c>
      <c r="C58" s="4">
        <v>6349</v>
      </c>
      <c r="D58" s="4">
        <v>2986</v>
      </c>
      <c r="E58" s="4">
        <v>3363</v>
      </c>
    </row>
    <row r="59" spans="1:5" ht="23.1" customHeight="1" x14ac:dyDescent="0.25">
      <c r="A59" s="4">
        <v>42</v>
      </c>
      <c r="B59" s="4" t="s">
        <v>778</v>
      </c>
      <c r="C59" s="4">
        <v>1532</v>
      </c>
      <c r="D59" s="4">
        <v>724</v>
      </c>
      <c r="E59" s="4">
        <v>808</v>
      </c>
    </row>
    <row r="60" spans="1:5" ht="23.1" customHeight="1" x14ac:dyDescent="0.25">
      <c r="A60" s="4">
        <v>43</v>
      </c>
      <c r="B60" s="4" t="s">
        <v>779</v>
      </c>
      <c r="C60" s="4">
        <v>732</v>
      </c>
      <c r="D60" s="4">
        <v>376</v>
      </c>
      <c r="E60" s="4">
        <v>356</v>
      </c>
    </row>
    <row r="61" spans="1:5" ht="23.1" customHeight="1" x14ac:dyDescent="0.25">
      <c r="A61" s="4">
        <v>44</v>
      </c>
      <c r="B61" s="4" t="s">
        <v>780</v>
      </c>
      <c r="C61" s="4">
        <v>523</v>
      </c>
      <c r="D61" s="4">
        <v>266</v>
      </c>
      <c r="E61" s="4">
        <v>257</v>
      </c>
    </row>
    <row r="62" spans="1:5" ht="23.1" customHeight="1" x14ac:dyDescent="0.25">
      <c r="A62" s="4">
        <v>45</v>
      </c>
      <c r="B62" s="4" t="s">
        <v>712</v>
      </c>
      <c r="C62" s="4">
        <v>5568</v>
      </c>
      <c r="D62" s="4">
        <v>2704</v>
      </c>
      <c r="E62" s="4">
        <v>2864</v>
      </c>
    </row>
    <row r="63" spans="1:5" ht="23.1" customHeight="1" x14ac:dyDescent="0.25">
      <c r="A63" s="4">
        <v>46</v>
      </c>
      <c r="B63" s="4" t="s">
        <v>211</v>
      </c>
      <c r="C63" s="4">
        <v>2492</v>
      </c>
      <c r="D63" s="4">
        <v>1223</v>
      </c>
      <c r="E63" s="4">
        <v>1269</v>
      </c>
    </row>
    <row r="64" spans="1:5" ht="23.1" customHeight="1" x14ac:dyDescent="0.25">
      <c r="A64" s="4">
        <v>47</v>
      </c>
      <c r="B64" s="4" t="s">
        <v>781</v>
      </c>
      <c r="C64" s="4">
        <v>3769</v>
      </c>
      <c r="D64" s="4">
        <v>1991</v>
      </c>
      <c r="E64" s="4">
        <v>1778</v>
      </c>
    </row>
    <row r="65" spans="1:5" ht="23.1" customHeight="1" x14ac:dyDescent="0.25">
      <c r="A65" s="4">
        <v>48</v>
      </c>
      <c r="B65" s="4" t="s">
        <v>782</v>
      </c>
      <c r="C65" s="4">
        <v>3960</v>
      </c>
      <c r="D65" s="4">
        <v>1896</v>
      </c>
      <c r="E65" s="4">
        <v>2064</v>
      </c>
    </row>
    <row r="66" spans="1:5" ht="23.1" customHeight="1" x14ac:dyDescent="0.25">
      <c r="A66" s="4">
        <v>49</v>
      </c>
      <c r="B66" s="4" t="s">
        <v>783</v>
      </c>
      <c r="C66" s="4">
        <v>3797</v>
      </c>
      <c r="D66" s="4">
        <v>1893</v>
      </c>
      <c r="E66" s="4">
        <v>1904</v>
      </c>
    </row>
    <row r="67" spans="1:5" ht="23.1" customHeight="1" x14ac:dyDescent="0.25">
      <c r="A67" s="4">
        <v>50</v>
      </c>
      <c r="B67" s="4" t="s">
        <v>784</v>
      </c>
      <c r="C67" s="4">
        <v>1334</v>
      </c>
      <c r="D67" s="4">
        <v>655</v>
      </c>
      <c r="E67" s="4">
        <v>679</v>
      </c>
    </row>
    <row r="68" spans="1:5" ht="23.1" customHeight="1" x14ac:dyDescent="0.25">
      <c r="A68" s="4">
        <v>51</v>
      </c>
      <c r="B68" s="4" t="s">
        <v>785</v>
      </c>
      <c r="C68" s="4">
        <v>3226</v>
      </c>
      <c r="D68" s="4">
        <v>1596</v>
      </c>
      <c r="E68" s="4">
        <v>1630</v>
      </c>
    </row>
    <row r="69" spans="1:5" ht="23.1" customHeight="1" x14ac:dyDescent="0.25">
      <c r="A69" s="4">
        <v>52</v>
      </c>
      <c r="B69" s="4" t="s">
        <v>786</v>
      </c>
      <c r="C69" s="4">
        <v>3685</v>
      </c>
      <c r="D69" s="4">
        <v>1787</v>
      </c>
      <c r="E69" s="4">
        <v>1898</v>
      </c>
    </row>
    <row r="70" spans="1:5" ht="23.1" customHeight="1" x14ac:dyDescent="0.25">
      <c r="A70" s="4">
        <v>53</v>
      </c>
      <c r="B70" s="4" t="s">
        <v>787</v>
      </c>
      <c r="C70" s="4">
        <v>4791</v>
      </c>
      <c r="D70" s="4">
        <v>2305</v>
      </c>
      <c r="E70" s="4">
        <v>2486</v>
      </c>
    </row>
    <row r="71" spans="1:5" ht="23.1" customHeight="1" x14ac:dyDescent="0.25">
      <c r="A71" s="4">
        <v>54</v>
      </c>
      <c r="B71" s="4" t="s">
        <v>788</v>
      </c>
      <c r="C71" s="4">
        <v>5014</v>
      </c>
      <c r="D71" s="4">
        <v>2498</v>
      </c>
      <c r="E71" s="4">
        <v>2516</v>
      </c>
    </row>
    <row r="72" spans="1:5" ht="23.1" customHeight="1" x14ac:dyDescent="0.25">
      <c r="A72" s="4">
        <v>55</v>
      </c>
      <c r="B72" s="4" t="s">
        <v>258</v>
      </c>
      <c r="C72" s="4">
        <v>3016</v>
      </c>
      <c r="D72" s="4">
        <v>1476</v>
      </c>
      <c r="E72" s="4">
        <v>1540</v>
      </c>
    </row>
    <row r="73" spans="1:5" ht="23.1" customHeight="1" x14ac:dyDescent="0.25">
      <c r="A73" s="4">
        <v>56</v>
      </c>
      <c r="B73" s="4" t="s">
        <v>789</v>
      </c>
      <c r="C73" s="4">
        <v>1004</v>
      </c>
      <c r="D73" s="4">
        <v>485</v>
      </c>
      <c r="E73" s="4">
        <v>519</v>
      </c>
    </row>
    <row r="74" spans="1:5" ht="23.1" customHeight="1" x14ac:dyDescent="0.25">
      <c r="A74" s="4">
        <v>57</v>
      </c>
      <c r="B74" s="4" t="s">
        <v>790</v>
      </c>
      <c r="C74" s="4">
        <v>1791</v>
      </c>
      <c r="D74" s="4">
        <v>838</v>
      </c>
      <c r="E74" s="4">
        <v>953</v>
      </c>
    </row>
    <row r="75" spans="1:5" ht="23.1" customHeight="1" x14ac:dyDescent="0.25">
      <c r="A75" s="4">
        <v>58</v>
      </c>
      <c r="B75" s="4" t="s">
        <v>791</v>
      </c>
      <c r="C75" s="4">
        <v>5100</v>
      </c>
      <c r="D75" s="4">
        <v>2424</v>
      </c>
      <c r="E75" s="4">
        <v>2676</v>
      </c>
    </row>
    <row r="76" spans="1:5" ht="23.1" customHeight="1" x14ac:dyDescent="0.25">
      <c r="A76" s="4">
        <v>59</v>
      </c>
      <c r="B76" s="4" t="s">
        <v>792</v>
      </c>
      <c r="C76" s="4">
        <v>3330</v>
      </c>
      <c r="D76" s="4">
        <v>1672</v>
      </c>
      <c r="E76" s="4">
        <v>1658</v>
      </c>
    </row>
    <row r="77" spans="1:5" ht="23.1" customHeight="1" x14ac:dyDescent="0.25">
      <c r="A77" s="4">
        <v>60</v>
      </c>
      <c r="B77" s="4" t="s">
        <v>662</v>
      </c>
      <c r="C77" s="4">
        <v>3297</v>
      </c>
      <c r="D77" s="4">
        <v>1587</v>
      </c>
      <c r="E77" s="4">
        <v>1710</v>
      </c>
    </row>
    <row r="78" spans="1:5" ht="23.1" customHeight="1" x14ac:dyDescent="0.25">
      <c r="A78" s="4">
        <v>61</v>
      </c>
      <c r="B78" s="4" t="s">
        <v>793</v>
      </c>
      <c r="C78" s="4">
        <v>4488</v>
      </c>
      <c r="D78" s="4">
        <v>2234</v>
      </c>
      <c r="E78" s="4">
        <v>2254</v>
      </c>
    </row>
    <row r="79" spans="1:5" ht="23.1" customHeight="1" x14ac:dyDescent="0.25">
      <c r="A79" s="4">
        <v>62</v>
      </c>
      <c r="B79" s="4" t="s">
        <v>794</v>
      </c>
      <c r="C79" s="4">
        <v>480</v>
      </c>
      <c r="D79" s="4">
        <v>235</v>
      </c>
      <c r="E79" s="4">
        <v>245</v>
      </c>
    </row>
    <row r="80" spans="1:5" ht="23.1" customHeight="1" x14ac:dyDescent="0.25">
      <c r="A80" s="4">
        <v>63</v>
      </c>
      <c r="B80" s="4" t="s">
        <v>795</v>
      </c>
      <c r="C80" s="4">
        <v>616</v>
      </c>
      <c r="D80" s="4">
        <v>321</v>
      </c>
      <c r="E80" s="4">
        <v>295</v>
      </c>
    </row>
    <row r="81" spans="1:5" ht="23.1" customHeight="1" x14ac:dyDescent="0.25">
      <c r="A81" s="4">
        <v>64</v>
      </c>
      <c r="B81" s="4" t="s">
        <v>796</v>
      </c>
      <c r="C81" s="4">
        <v>2833</v>
      </c>
      <c r="D81" s="4">
        <v>1386</v>
      </c>
      <c r="E81" s="4">
        <v>1447</v>
      </c>
    </row>
    <row r="82" spans="1:5" ht="23.1" customHeight="1" x14ac:dyDescent="0.25">
      <c r="A82" s="10">
        <v>65</v>
      </c>
      <c r="B82" s="10" t="s">
        <v>797</v>
      </c>
      <c r="C82" s="10">
        <v>3687</v>
      </c>
      <c r="D82" s="10">
        <v>1814</v>
      </c>
      <c r="E82" s="10">
        <v>1873</v>
      </c>
    </row>
    <row r="83" spans="1:5" ht="23.1" customHeight="1" x14ac:dyDescent="0.25"/>
    <row r="84" spans="1:5" ht="23.1" customHeight="1" x14ac:dyDescent="0.25"/>
    <row r="85" spans="1:5" ht="23.1" customHeight="1" x14ac:dyDescent="0.25"/>
    <row r="86" spans="1:5" ht="23.1" customHeight="1" x14ac:dyDescent="0.25"/>
    <row r="87" spans="1:5" ht="23.1" customHeight="1" x14ac:dyDescent="0.25"/>
    <row r="88" spans="1:5" ht="23.1" customHeight="1" x14ac:dyDescent="0.25"/>
    <row r="89" spans="1:5" ht="23.1" customHeight="1" x14ac:dyDescent="0.25"/>
    <row r="90" spans="1:5" ht="23.1" customHeight="1" x14ac:dyDescent="0.25"/>
    <row r="91" spans="1:5" ht="23.1" customHeight="1" x14ac:dyDescent="0.25"/>
    <row r="92" spans="1:5" ht="23.1" customHeight="1" x14ac:dyDescent="0.25"/>
    <row r="93" spans="1:5" ht="23.1" customHeight="1" x14ac:dyDescent="0.25"/>
    <row r="94" spans="1:5" ht="23.1" customHeight="1" x14ac:dyDescent="0.25"/>
    <row r="95" spans="1:5" ht="23.1" customHeight="1" x14ac:dyDescent="0.25"/>
    <row r="96" spans="1:5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45" customHeight="1" x14ac:dyDescent="0.25"/>
    <row r="128" ht="23.45" customHeight="1" x14ac:dyDescent="0.25"/>
    <row r="129" ht="23.45" customHeight="1" x14ac:dyDescent="0.25"/>
    <row r="130" ht="23.45" customHeight="1" x14ac:dyDescent="0.25"/>
    <row r="131" ht="23.45" customHeight="1" x14ac:dyDescent="0.25"/>
    <row r="132" ht="23.45" customHeight="1" x14ac:dyDescent="0.25"/>
    <row r="133" ht="23.45" customHeight="1" x14ac:dyDescent="0.25"/>
    <row r="134" ht="23.45" customHeight="1" x14ac:dyDescent="0.25"/>
    <row r="135" ht="23.45" customHeight="1" x14ac:dyDescent="0.25"/>
    <row r="136" ht="23.45" customHeight="1" x14ac:dyDescent="0.25"/>
    <row r="137" ht="23.45" customHeight="1" x14ac:dyDescent="0.25"/>
    <row r="138" ht="23.45" customHeight="1" x14ac:dyDescent="0.25"/>
    <row r="139" ht="23.45" customHeight="1" x14ac:dyDescent="0.25"/>
    <row r="140" ht="23.45" customHeight="1" x14ac:dyDescent="0.25"/>
    <row r="141" ht="23.45" customHeight="1" x14ac:dyDescent="0.25"/>
    <row r="142" ht="23.45" customHeight="1" x14ac:dyDescent="0.25"/>
    <row r="143" ht="23.45" customHeight="1" x14ac:dyDescent="0.25"/>
    <row r="144" ht="23.45" customHeight="1" x14ac:dyDescent="0.25"/>
    <row r="145" ht="23.45" customHeight="1" x14ac:dyDescent="0.25"/>
    <row r="146" ht="23.45" customHeight="1" x14ac:dyDescent="0.25"/>
    <row r="147" ht="23.45" customHeight="1" x14ac:dyDescent="0.25"/>
    <row r="148" ht="23.45" customHeight="1" x14ac:dyDescent="0.25"/>
    <row r="149" ht="23.45" customHeight="1" x14ac:dyDescent="0.25"/>
    <row r="150" ht="23.45" customHeight="1" x14ac:dyDescent="0.25"/>
    <row r="151" ht="23.45" customHeight="1" x14ac:dyDescent="0.25"/>
    <row r="152" ht="23.45" customHeight="1" x14ac:dyDescent="0.25"/>
    <row r="153" ht="23.45" customHeight="1" x14ac:dyDescent="0.25"/>
    <row r="154" ht="23.45" customHeight="1" x14ac:dyDescent="0.25"/>
    <row r="155" ht="23.45" customHeight="1" x14ac:dyDescent="0.25"/>
    <row r="156" ht="23.45" customHeight="1" x14ac:dyDescent="0.25"/>
    <row r="157" ht="23.45" customHeight="1" x14ac:dyDescent="0.25"/>
    <row r="158" ht="23.45" customHeight="1" x14ac:dyDescent="0.25"/>
    <row r="159" ht="23.45" customHeight="1" x14ac:dyDescent="0.25"/>
    <row r="160" ht="23.45" customHeight="1" x14ac:dyDescent="0.25"/>
    <row r="161" ht="23.45" customHeight="1" x14ac:dyDescent="0.25"/>
    <row r="162" ht="23.45" customHeight="1" x14ac:dyDescent="0.25"/>
    <row r="163" ht="23.45" customHeight="1" x14ac:dyDescent="0.25"/>
    <row r="164" ht="23.45" customHeight="1" x14ac:dyDescent="0.25"/>
    <row r="165" ht="23.45" customHeight="1" x14ac:dyDescent="0.25"/>
    <row r="166" ht="23.45" customHeight="1" x14ac:dyDescent="0.25"/>
    <row r="167" ht="23.45" customHeight="1" x14ac:dyDescent="0.25"/>
    <row r="168" ht="23.45" customHeight="1" x14ac:dyDescent="0.25"/>
    <row r="169" ht="23.45" customHeight="1" x14ac:dyDescent="0.25"/>
    <row r="170" ht="23.45" customHeight="1" x14ac:dyDescent="0.25"/>
    <row r="171" ht="23.45" customHeight="1" x14ac:dyDescent="0.25"/>
    <row r="172" ht="23.45" customHeight="1" x14ac:dyDescent="0.25"/>
    <row r="173" ht="23.45" customHeight="1" x14ac:dyDescent="0.25"/>
    <row r="174" ht="23.45" customHeight="1" x14ac:dyDescent="0.25"/>
    <row r="175" ht="23.45" customHeight="1" x14ac:dyDescent="0.25"/>
    <row r="176" ht="23.45" customHeight="1" x14ac:dyDescent="0.25"/>
    <row r="177" ht="23.45" customHeight="1" x14ac:dyDescent="0.25"/>
    <row r="178" ht="23.45" customHeight="1" x14ac:dyDescent="0.25"/>
    <row r="179" ht="23.45" customHeight="1" x14ac:dyDescent="0.25"/>
    <row r="180" ht="23.45" customHeight="1" x14ac:dyDescent="0.25"/>
    <row r="181" ht="23.45" customHeight="1" x14ac:dyDescent="0.25"/>
    <row r="182" ht="23.45" customHeight="1" x14ac:dyDescent="0.25"/>
    <row r="183" ht="23.45" customHeight="1" x14ac:dyDescent="0.25"/>
    <row r="184" ht="23.45" customHeight="1" x14ac:dyDescent="0.25"/>
    <row r="185" ht="23.45" customHeight="1" x14ac:dyDescent="0.25"/>
    <row r="186" ht="23.45" customHeight="1" x14ac:dyDescent="0.25"/>
    <row r="187" ht="23.45" customHeight="1" x14ac:dyDescent="0.25"/>
    <row r="188" ht="23.45" customHeight="1" x14ac:dyDescent="0.25"/>
    <row r="189" ht="23.45" customHeight="1" x14ac:dyDescent="0.25"/>
    <row r="190" ht="23.45" customHeight="1" x14ac:dyDescent="0.25"/>
    <row r="191" ht="23.45" customHeight="1" x14ac:dyDescent="0.25"/>
    <row r="192" ht="23.45" customHeight="1" x14ac:dyDescent="0.25"/>
    <row r="193" ht="23.45" customHeight="1" x14ac:dyDescent="0.25"/>
    <row r="194" ht="23.45" customHeight="1" x14ac:dyDescent="0.25"/>
    <row r="195" ht="23.45" customHeight="1" x14ac:dyDescent="0.25"/>
    <row r="196" ht="23.45" customHeight="1" x14ac:dyDescent="0.25"/>
    <row r="197" ht="23.45" customHeight="1" x14ac:dyDescent="0.25"/>
    <row r="198" ht="23.45" customHeight="1" x14ac:dyDescent="0.25"/>
    <row r="199" ht="23.45" customHeight="1" x14ac:dyDescent="0.25"/>
    <row r="200" ht="23.45" customHeight="1" x14ac:dyDescent="0.25"/>
    <row r="201" ht="23.45" customHeight="1" x14ac:dyDescent="0.25"/>
    <row r="202" ht="23.45" customHeight="1" x14ac:dyDescent="0.25"/>
    <row r="203" ht="23.45" customHeight="1" x14ac:dyDescent="0.25"/>
    <row r="204" ht="23.45" customHeight="1" x14ac:dyDescent="0.25"/>
    <row r="205" ht="23.45" customHeight="1" x14ac:dyDescent="0.25"/>
    <row r="206" ht="23.45" customHeight="1" x14ac:dyDescent="0.25"/>
    <row r="207" ht="23.45" customHeight="1" x14ac:dyDescent="0.25"/>
    <row r="208" ht="23.45" customHeight="1" x14ac:dyDescent="0.25"/>
    <row r="209" ht="23.45" customHeight="1" x14ac:dyDescent="0.25"/>
    <row r="210" ht="23.45" customHeight="1" x14ac:dyDescent="0.25"/>
    <row r="211" ht="23.45" customHeight="1" x14ac:dyDescent="0.25"/>
    <row r="212" ht="23.45" customHeight="1" x14ac:dyDescent="0.25"/>
    <row r="213" ht="23.45" customHeight="1" x14ac:dyDescent="0.25"/>
    <row r="214" ht="23.45" customHeight="1" x14ac:dyDescent="0.25"/>
    <row r="215" ht="23.45" customHeight="1" x14ac:dyDescent="0.25"/>
    <row r="216" ht="23.45" customHeight="1" x14ac:dyDescent="0.25"/>
    <row r="217" ht="23.45" customHeight="1" x14ac:dyDescent="0.25"/>
    <row r="218" ht="23.45" customHeight="1" x14ac:dyDescent="0.25"/>
    <row r="219" ht="23.45" customHeight="1" x14ac:dyDescent="0.25"/>
    <row r="220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Twantay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>
      <selection sqref="A1:E1"/>
    </sheetView>
  </sheetViews>
  <sheetFormatPr defaultRowHeight="15" x14ac:dyDescent="0.25"/>
  <cols>
    <col min="2" max="2" width="27.140625" bestFit="1" customWidth="1"/>
    <col min="3" max="5" width="15.7109375" customWidth="1"/>
  </cols>
  <sheetData>
    <row r="1" spans="1:5" ht="23.45" customHeight="1" x14ac:dyDescent="0.25">
      <c r="A1" s="80" t="s">
        <v>1071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7"/>
      <c r="B5" s="57" t="s">
        <v>0</v>
      </c>
      <c r="C5" s="57">
        <f>C7+C16</f>
        <v>119050</v>
      </c>
      <c r="D5" s="57">
        <f t="shared" ref="D5:E5" si="0">D7+D16</f>
        <v>58299</v>
      </c>
      <c r="E5" s="57">
        <f t="shared" si="0"/>
        <v>60751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SUM(C8:C14)</f>
        <v>8600</v>
      </c>
      <c r="D7" s="15">
        <f t="shared" ref="D7:E7" si="1">SUM(D8:D14)</f>
        <v>4119</v>
      </c>
      <c r="E7" s="15">
        <f t="shared" si="1"/>
        <v>4481</v>
      </c>
    </row>
    <row r="8" spans="1:5" ht="23.1" customHeight="1" x14ac:dyDescent="0.25">
      <c r="A8" s="4">
        <v>1</v>
      </c>
      <c r="B8" s="4" t="s">
        <v>401</v>
      </c>
      <c r="C8" s="4">
        <v>1512</v>
      </c>
      <c r="D8" s="4">
        <v>721</v>
      </c>
      <c r="E8" s="4">
        <v>791</v>
      </c>
    </row>
    <row r="9" spans="1:5" ht="23.1" customHeight="1" x14ac:dyDescent="0.25">
      <c r="A9" s="4">
        <v>2</v>
      </c>
      <c r="B9" s="4" t="s">
        <v>798</v>
      </c>
      <c r="C9" s="4">
        <v>1459</v>
      </c>
      <c r="D9" s="4">
        <v>692</v>
      </c>
      <c r="E9" s="4">
        <v>767</v>
      </c>
    </row>
    <row r="10" spans="1:5" ht="23.1" customHeight="1" x14ac:dyDescent="0.25">
      <c r="A10" s="4">
        <v>3</v>
      </c>
      <c r="B10" s="4" t="s">
        <v>799</v>
      </c>
      <c r="C10" s="4">
        <v>758</v>
      </c>
      <c r="D10" s="4">
        <v>353</v>
      </c>
      <c r="E10" s="4">
        <v>405</v>
      </c>
    </row>
    <row r="11" spans="1:5" ht="23.1" customHeight="1" x14ac:dyDescent="0.25">
      <c r="A11" s="4">
        <v>4</v>
      </c>
      <c r="B11" s="4" t="s">
        <v>800</v>
      </c>
      <c r="C11" s="4">
        <v>1062</v>
      </c>
      <c r="D11" s="4">
        <v>542</v>
      </c>
      <c r="E11" s="4">
        <v>520</v>
      </c>
    </row>
    <row r="12" spans="1:5" ht="23.1" customHeight="1" x14ac:dyDescent="0.25">
      <c r="A12" s="4">
        <v>5</v>
      </c>
      <c r="B12" s="4" t="s">
        <v>49</v>
      </c>
      <c r="C12" s="4">
        <v>824</v>
      </c>
      <c r="D12" s="4">
        <v>375</v>
      </c>
      <c r="E12" s="4">
        <v>449</v>
      </c>
    </row>
    <row r="13" spans="1:5" ht="23.1" customHeight="1" x14ac:dyDescent="0.25">
      <c r="A13" s="4">
        <v>6</v>
      </c>
      <c r="B13" s="4" t="s">
        <v>801</v>
      </c>
      <c r="C13" s="4">
        <v>1032</v>
      </c>
      <c r="D13" s="4">
        <v>498</v>
      </c>
      <c r="E13" s="4">
        <v>534</v>
      </c>
    </row>
    <row r="14" spans="1:5" ht="23.1" customHeight="1" x14ac:dyDescent="0.25">
      <c r="A14" s="4">
        <v>7</v>
      </c>
      <c r="B14" s="4" t="s">
        <v>802</v>
      </c>
      <c r="C14" s="4">
        <v>1953</v>
      </c>
      <c r="D14" s="4">
        <v>938</v>
      </c>
      <c r="E14" s="4">
        <v>1015</v>
      </c>
    </row>
    <row r="15" spans="1:5" ht="23.1" customHeight="1" x14ac:dyDescent="0.25">
      <c r="A15" s="4"/>
      <c r="B15" s="4"/>
      <c r="C15" s="4"/>
      <c r="D15" s="4"/>
      <c r="E15" s="4"/>
    </row>
    <row r="16" spans="1:5" ht="23.1" customHeight="1" x14ac:dyDescent="0.25">
      <c r="A16" s="4"/>
      <c r="B16" s="15" t="s">
        <v>1032</v>
      </c>
      <c r="C16" s="15">
        <f>SUM(C17:C71)</f>
        <v>110450</v>
      </c>
      <c r="D16" s="15">
        <f>SUM(D17:D71)</f>
        <v>54180</v>
      </c>
      <c r="E16" s="15">
        <f t="shared" ref="E16" si="2">SUM(E17:E71)</f>
        <v>56270</v>
      </c>
    </row>
    <row r="17" spans="1:5" ht="23.1" customHeight="1" x14ac:dyDescent="0.25">
      <c r="A17" s="4">
        <v>1</v>
      </c>
      <c r="B17" s="4" t="s">
        <v>803</v>
      </c>
      <c r="C17" s="4">
        <v>689</v>
      </c>
      <c r="D17" s="4">
        <v>363</v>
      </c>
      <c r="E17" s="4">
        <v>326</v>
      </c>
    </row>
    <row r="18" spans="1:5" ht="23.1" customHeight="1" x14ac:dyDescent="0.25">
      <c r="A18" s="4">
        <v>2</v>
      </c>
      <c r="B18" s="4" t="s">
        <v>620</v>
      </c>
      <c r="C18" s="4">
        <v>3034</v>
      </c>
      <c r="D18" s="4">
        <v>1433</v>
      </c>
      <c r="E18" s="4">
        <v>1601</v>
      </c>
    </row>
    <row r="19" spans="1:5" ht="23.1" customHeight="1" x14ac:dyDescent="0.25">
      <c r="A19" s="4">
        <v>3</v>
      </c>
      <c r="B19" s="4" t="s">
        <v>804</v>
      </c>
      <c r="C19" s="4">
        <v>1291</v>
      </c>
      <c r="D19" s="4">
        <v>619</v>
      </c>
      <c r="E19" s="4">
        <v>672</v>
      </c>
    </row>
    <row r="20" spans="1:5" ht="23.1" customHeight="1" x14ac:dyDescent="0.25">
      <c r="A20" s="4">
        <v>4</v>
      </c>
      <c r="B20" s="4" t="s">
        <v>81</v>
      </c>
      <c r="C20" s="4">
        <v>2281</v>
      </c>
      <c r="D20" s="4">
        <v>1152</v>
      </c>
      <c r="E20" s="4">
        <v>1129</v>
      </c>
    </row>
    <row r="21" spans="1:5" ht="23.1" customHeight="1" x14ac:dyDescent="0.25">
      <c r="A21" s="4">
        <v>5</v>
      </c>
      <c r="B21" s="4" t="s">
        <v>805</v>
      </c>
      <c r="C21" s="4">
        <v>3918</v>
      </c>
      <c r="D21" s="4">
        <v>1928</v>
      </c>
      <c r="E21" s="4">
        <v>1990</v>
      </c>
    </row>
    <row r="22" spans="1:5" ht="23.1" customHeight="1" x14ac:dyDescent="0.25">
      <c r="A22" s="4">
        <v>6</v>
      </c>
      <c r="B22" s="4" t="s">
        <v>806</v>
      </c>
      <c r="C22" s="4">
        <v>2394</v>
      </c>
      <c r="D22" s="4">
        <v>1185</v>
      </c>
      <c r="E22" s="4">
        <v>1209</v>
      </c>
    </row>
    <row r="23" spans="1:5" ht="23.1" customHeight="1" x14ac:dyDescent="0.25">
      <c r="A23" s="4">
        <v>7</v>
      </c>
      <c r="B23" s="4" t="s">
        <v>807</v>
      </c>
      <c r="C23" s="4">
        <v>2379</v>
      </c>
      <c r="D23" s="4">
        <v>1138</v>
      </c>
      <c r="E23" s="4">
        <v>1241</v>
      </c>
    </row>
    <row r="24" spans="1:5" ht="23.1" customHeight="1" x14ac:dyDescent="0.25">
      <c r="A24" s="4">
        <v>8</v>
      </c>
      <c r="B24" s="4" t="s">
        <v>808</v>
      </c>
      <c r="C24" s="4">
        <v>1723</v>
      </c>
      <c r="D24" s="4">
        <v>892</v>
      </c>
      <c r="E24" s="4">
        <v>831</v>
      </c>
    </row>
    <row r="25" spans="1:5" ht="23.1" customHeight="1" x14ac:dyDescent="0.25">
      <c r="A25" s="4">
        <v>9</v>
      </c>
      <c r="B25" s="4" t="s">
        <v>809</v>
      </c>
      <c r="C25" s="4">
        <v>1026</v>
      </c>
      <c r="D25" s="4">
        <v>493</v>
      </c>
      <c r="E25" s="4">
        <v>533</v>
      </c>
    </row>
    <row r="26" spans="1:5" ht="23.1" customHeight="1" x14ac:dyDescent="0.25">
      <c r="A26" s="4">
        <v>10</v>
      </c>
      <c r="B26" s="4" t="s">
        <v>810</v>
      </c>
      <c r="C26" s="4">
        <v>1828</v>
      </c>
      <c r="D26" s="4">
        <v>904</v>
      </c>
      <c r="E26" s="4">
        <v>924</v>
      </c>
    </row>
    <row r="27" spans="1:5" ht="23.1" customHeight="1" x14ac:dyDescent="0.25">
      <c r="A27" s="4">
        <v>11</v>
      </c>
      <c r="B27" s="4" t="s">
        <v>811</v>
      </c>
      <c r="C27" s="4">
        <v>2191</v>
      </c>
      <c r="D27" s="4">
        <v>1054</v>
      </c>
      <c r="E27" s="4">
        <v>1137</v>
      </c>
    </row>
    <row r="28" spans="1:5" ht="23.1" customHeight="1" x14ac:dyDescent="0.25">
      <c r="A28" s="4">
        <v>12</v>
      </c>
      <c r="B28" s="4" t="s">
        <v>812</v>
      </c>
      <c r="C28" s="4">
        <v>2331</v>
      </c>
      <c r="D28" s="4">
        <v>1167</v>
      </c>
      <c r="E28" s="4">
        <v>1164</v>
      </c>
    </row>
    <row r="29" spans="1:5" ht="23.1" customHeight="1" x14ac:dyDescent="0.25">
      <c r="A29" s="4">
        <v>13</v>
      </c>
      <c r="B29" s="4" t="s">
        <v>813</v>
      </c>
      <c r="C29" s="4">
        <v>4977</v>
      </c>
      <c r="D29" s="4">
        <v>2505</v>
      </c>
      <c r="E29" s="4">
        <v>2472</v>
      </c>
    </row>
    <row r="30" spans="1:5" ht="23.1" customHeight="1" x14ac:dyDescent="0.25">
      <c r="A30" s="4">
        <v>14</v>
      </c>
      <c r="B30" s="4" t="s">
        <v>796</v>
      </c>
      <c r="C30" s="4">
        <v>2729</v>
      </c>
      <c r="D30" s="4">
        <v>1350</v>
      </c>
      <c r="E30" s="4">
        <v>1379</v>
      </c>
    </row>
    <row r="31" spans="1:5" ht="23.1" customHeight="1" x14ac:dyDescent="0.25">
      <c r="A31" s="4">
        <v>15</v>
      </c>
      <c r="B31" s="4" t="s">
        <v>814</v>
      </c>
      <c r="C31" s="4">
        <v>2641</v>
      </c>
      <c r="D31" s="4">
        <v>1322</v>
      </c>
      <c r="E31" s="4">
        <v>1319</v>
      </c>
    </row>
    <row r="32" spans="1:5" ht="23.1" customHeight="1" x14ac:dyDescent="0.25">
      <c r="A32" s="4">
        <v>16</v>
      </c>
      <c r="B32" s="4" t="s">
        <v>815</v>
      </c>
      <c r="C32" s="4">
        <v>1774</v>
      </c>
      <c r="D32" s="4">
        <v>855</v>
      </c>
      <c r="E32" s="4">
        <v>919</v>
      </c>
    </row>
    <row r="33" spans="1:5" ht="23.1" customHeight="1" x14ac:dyDescent="0.25">
      <c r="A33" s="4">
        <v>17</v>
      </c>
      <c r="B33" s="4" t="s">
        <v>816</v>
      </c>
      <c r="C33" s="4">
        <v>3295</v>
      </c>
      <c r="D33" s="4">
        <v>1672</v>
      </c>
      <c r="E33" s="4">
        <v>1623</v>
      </c>
    </row>
    <row r="34" spans="1:5" ht="23.1" customHeight="1" x14ac:dyDescent="0.25">
      <c r="A34" s="4">
        <v>18</v>
      </c>
      <c r="B34" s="4" t="s">
        <v>817</v>
      </c>
      <c r="C34" s="4">
        <v>1381</v>
      </c>
      <c r="D34" s="4">
        <v>676</v>
      </c>
      <c r="E34" s="4">
        <v>705</v>
      </c>
    </row>
    <row r="35" spans="1:5" ht="23.1" customHeight="1" x14ac:dyDescent="0.25">
      <c r="A35" s="4">
        <v>19</v>
      </c>
      <c r="B35" s="4" t="s">
        <v>818</v>
      </c>
      <c r="C35" s="4">
        <v>1550</v>
      </c>
      <c r="D35" s="4">
        <v>920</v>
      </c>
      <c r="E35" s="4">
        <v>630</v>
      </c>
    </row>
    <row r="36" spans="1:5" ht="23.1" customHeight="1" x14ac:dyDescent="0.25">
      <c r="A36" s="4">
        <v>20</v>
      </c>
      <c r="B36" s="4" t="s">
        <v>819</v>
      </c>
      <c r="C36" s="4">
        <v>1506</v>
      </c>
      <c r="D36" s="4">
        <v>726</v>
      </c>
      <c r="E36" s="4">
        <v>780</v>
      </c>
    </row>
    <row r="37" spans="1:5" ht="23.1" customHeight="1" x14ac:dyDescent="0.25">
      <c r="A37" s="4">
        <v>21</v>
      </c>
      <c r="B37" s="4" t="s">
        <v>820</v>
      </c>
      <c r="C37" s="4">
        <v>1187</v>
      </c>
      <c r="D37" s="4">
        <v>568</v>
      </c>
      <c r="E37" s="4">
        <v>619</v>
      </c>
    </row>
    <row r="38" spans="1:5" ht="23.1" customHeight="1" x14ac:dyDescent="0.25">
      <c r="A38" s="4">
        <v>22</v>
      </c>
      <c r="B38" s="4" t="s">
        <v>821</v>
      </c>
      <c r="C38" s="4">
        <v>1547</v>
      </c>
      <c r="D38" s="4">
        <v>755</v>
      </c>
      <c r="E38" s="4">
        <v>792</v>
      </c>
    </row>
    <row r="39" spans="1:5" ht="23.1" customHeight="1" x14ac:dyDescent="0.25">
      <c r="A39" s="4">
        <v>23</v>
      </c>
      <c r="B39" s="4" t="s">
        <v>822</v>
      </c>
      <c r="C39" s="4">
        <v>2345</v>
      </c>
      <c r="D39" s="4">
        <v>1190</v>
      </c>
      <c r="E39" s="4">
        <v>1155</v>
      </c>
    </row>
    <row r="40" spans="1:5" ht="23.1" customHeight="1" x14ac:dyDescent="0.25">
      <c r="A40" s="4">
        <v>24</v>
      </c>
      <c r="B40" s="4" t="s">
        <v>823</v>
      </c>
      <c r="C40" s="4">
        <v>3458</v>
      </c>
      <c r="D40" s="4">
        <v>1630</v>
      </c>
      <c r="E40" s="4">
        <v>1828</v>
      </c>
    </row>
    <row r="41" spans="1:5" ht="23.1" customHeight="1" x14ac:dyDescent="0.25">
      <c r="A41" s="4">
        <v>25</v>
      </c>
      <c r="B41" s="4" t="s">
        <v>824</v>
      </c>
      <c r="C41" s="4">
        <v>1478</v>
      </c>
      <c r="D41" s="4">
        <v>705</v>
      </c>
      <c r="E41" s="4">
        <v>773</v>
      </c>
    </row>
    <row r="42" spans="1:5" ht="23.1" customHeight="1" x14ac:dyDescent="0.25">
      <c r="A42" s="4">
        <v>26</v>
      </c>
      <c r="B42" s="4" t="s">
        <v>825</v>
      </c>
      <c r="C42" s="4">
        <v>6272</v>
      </c>
      <c r="D42" s="4">
        <v>2940</v>
      </c>
      <c r="E42" s="4">
        <v>3332</v>
      </c>
    </row>
    <row r="43" spans="1:5" ht="23.1" customHeight="1" x14ac:dyDescent="0.25">
      <c r="A43" s="4">
        <v>27</v>
      </c>
      <c r="B43" s="4" t="s">
        <v>704</v>
      </c>
      <c r="C43" s="4">
        <v>3608</v>
      </c>
      <c r="D43" s="4">
        <v>1752</v>
      </c>
      <c r="E43" s="4">
        <v>1856</v>
      </c>
    </row>
    <row r="44" spans="1:5" ht="23.1" customHeight="1" x14ac:dyDescent="0.25">
      <c r="A44" s="4">
        <v>28</v>
      </c>
      <c r="B44" s="4" t="s">
        <v>826</v>
      </c>
      <c r="C44" s="4">
        <v>2784</v>
      </c>
      <c r="D44" s="4">
        <v>1360</v>
      </c>
      <c r="E44" s="4">
        <v>1424</v>
      </c>
    </row>
    <row r="45" spans="1:5" ht="23.1" customHeight="1" x14ac:dyDescent="0.25">
      <c r="A45" s="4">
        <v>29</v>
      </c>
      <c r="B45" s="4" t="s">
        <v>827</v>
      </c>
      <c r="C45" s="4">
        <v>1507</v>
      </c>
      <c r="D45" s="4">
        <v>721</v>
      </c>
      <c r="E45" s="4">
        <v>786</v>
      </c>
    </row>
    <row r="46" spans="1:5" ht="23.1" customHeight="1" x14ac:dyDescent="0.25">
      <c r="A46" s="4">
        <v>30</v>
      </c>
      <c r="B46" s="4" t="s">
        <v>828</v>
      </c>
      <c r="C46" s="4">
        <v>1437</v>
      </c>
      <c r="D46" s="4">
        <v>667</v>
      </c>
      <c r="E46" s="4">
        <v>770</v>
      </c>
    </row>
    <row r="47" spans="1:5" ht="23.1" customHeight="1" x14ac:dyDescent="0.25">
      <c r="A47" s="4">
        <v>31</v>
      </c>
      <c r="B47" s="4" t="s">
        <v>829</v>
      </c>
      <c r="C47" s="4">
        <v>2280</v>
      </c>
      <c r="D47" s="4">
        <v>1091</v>
      </c>
      <c r="E47" s="4">
        <v>1189</v>
      </c>
    </row>
    <row r="48" spans="1:5" ht="23.1" customHeight="1" x14ac:dyDescent="0.25">
      <c r="A48" s="4">
        <v>32</v>
      </c>
      <c r="B48" s="4" t="s">
        <v>830</v>
      </c>
      <c r="C48" s="4">
        <v>1984</v>
      </c>
      <c r="D48" s="4">
        <v>1004</v>
      </c>
      <c r="E48" s="4">
        <v>980</v>
      </c>
    </row>
    <row r="49" spans="1:5" ht="23.1" customHeight="1" x14ac:dyDescent="0.25">
      <c r="A49" s="4">
        <v>33</v>
      </c>
      <c r="B49" s="4" t="s">
        <v>831</v>
      </c>
      <c r="C49" s="4">
        <v>2731</v>
      </c>
      <c r="D49" s="4">
        <v>1292</v>
      </c>
      <c r="E49" s="4">
        <v>1439</v>
      </c>
    </row>
    <row r="50" spans="1:5" ht="23.1" customHeight="1" x14ac:dyDescent="0.25">
      <c r="A50" s="4">
        <v>34</v>
      </c>
      <c r="B50" s="4" t="s">
        <v>621</v>
      </c>
      <c r="C50" s="4">
        <v>1383</v>
      </c>
      <c r="D50" s="4">
        <v>670</v>
      </c>
      <c r="E50" s="4">
        <v>713</v>
      </c>
    </row>
    <row r="51" spans="1:5" ht="23.1" customHeight="1" x14ac:dyDescent="0.25">
      <c r="A51" s="4">
        <v>35</v>
      </c>
      <c r="B51" s="4" t="s">
        <v>832</v>
      </c>
      <c r="C51" s="4">
        <v>1866</v>
      </c>
      <c r="D51" s="4">
        <v>911</v>
      </c>
      <c r="E51" s="4">
        <v>955</v>
      </c>
    </row>
    <row r="52" spans="1:5" ht="23.1" customHeight="1" x14ac:dyDescent="0.25">
      <c r="A52" s="4">
        <v>36</v>
      </c>
      <c r="B52" s="4" t="s">
        <v>833</v>
      </c>
      <c r="C52" s="4">
        <v>1059</v>
      </c>
      <c r="D52" s="4">
        <v>539</v>
      </c>
      <c r="E52" s="4">
        <v>520</v>
      </c>
    </row>
    <row r="53" spans="1:5" ht="23.1" customHeight="1" x14ac:dyDescent="0.25">
      <c r="A53" s="4">
        <v>37</v>
      </c>
      <c r="B53" s="4" t="s">
        <v>834</v>
      </c>
      <c r="C53" s="4">
        <v>829</v>
      </c>
      <c r="D53" s="4">
        <v>435</v>
      </c>
      <c r="E53" s="4">
        <v>394</v>
      </c>
    </row>
    <row r="54" spans="1:5" ht="23.1" customHeight="1" x14ac:dyDescent="0.25">
      <c r="A54" s="4">
        <v>38</v>
      </c>
      <c r="B54" s="4" t="s">
        <v>835</v>
      </c>
      <c r="C54" s="4">
        <v>863</v>
      </c>
      <c r="D54" s="4">
        <v>452</v>
      </c>
      <c r="E54" s="4">
        <v>411</v>
      </c>
    </row>
    <row r="55" spans="1:5" ht="23.1" customHeight="1" x14ac:dyDescent="0.25">
      <c r="A55" s="4">
        <v>39</v>
      </c>
      <c r="B55" s="4" t="s">
        <v>836</v>
      </c>
      <c r="C55" s="4">
        <v>2423</v>
      </c>
      <c r="D55" s="4">
        <v>1225</v>
      </c>
      <c r="E55" s="4">
        <v>1198</v>
      </c>
    </row>
    <row r="56" spans="1:5" ht="23.1" customHeight="1" x14ac:dyDescent="0.25">
      <c r="A56" s="4">
        <v>40</v>
      </c>
      <c r="B56" s="4" t="s">
        <v>734</v>
      </c>
      <c r="C56" s="4">
        <v>2684</v>
      </c>
      <c r="D56" s="4">
        <v>1305</v>
      </c>
      <c r="E56" s="4">
        <v>1379</v>
      </c>
    </row>
    <row r="57" spans="1:5" ht="23.1" customHeight="1" x14ac:dyDescent="0.25">
      <c r="A57" s="4">
        <v>41</v>
      </c>
      <c r="B57" s="4" t="s">
        <v>837</v>
      </c>
      <c r="C57" s="4">
        <v>1182</v>
      </c>
      <c r="D57" s="4">
        <v>543</v>
      </c>
      <c r="E57" s="4">
        <v>639</v>
      </c>
    </row>
    <row r="58" spans="1:5" ht="23.1" customHeight="1" x14ac:dyDescent="0.25">
      <c r="A58" s="4">
        <v>42</v>
      </c>
      <c r="B58" s="4" t="s">
        <v>838</v>
      </c>
      <c r="C58" s="4">
        <v>798</v>
      </c>
      <c r="D58" s="4">
        <v>390</v>
      </c>
      <c r="E58" s="4">
        <v>408</v>
      </c>
    </row>
    <row r="59" spans="1:5" ht="23.1" customHeight="1" x14ac:dyDescent="0.25">
      <c r="A59" s="4">
        <v>43</v>
      </c>
      <c r="B59" s="4" t="s">
        <v>839</v>
      </c>
      <c r="C59" s="4">
        <v>3968</v>
      </c>
      <c r="D59" s="4">
        <v>1944</v>
      </c>
      <c r="E59" s="4">
        <v>2024</v>
      </c>
    </row>
    <row r="60" spans="1:5" ht="23.1" customHeight="1" x14ac:dyDescent="0.25">
      <c r="A60" s="4">
        <v>44</v>
      </c>
      <c r="B60" s="4" t="s">
        <v>752</v>
      </c>
      <c r="C60" s="4">
        <v>1088</v>
      </c>
      <c r="D60" s="4">
        <v>530</v>
      </c>
      <c r="E60" s="4">
        <v>558</v>
      </c>
    </row>
    <row r="61" spans="1:5" ht="23.1" customHeight="1" x14ac:dyDescent="0.25">
      <c r="A61" s="4">
        <v>45</v>
      </c>
      <c r="B61" s="4" t="s">
        <v>840</v>
      </c>
      <c r="C61" s="4">
        <v>686</v>
      </c>
      <c r="D61" s="4">
        <v>341</v>
      </c>
      <c r="E61" s="4">
        <v>345</v>
      </c>
    </row>
    <row r="62" spans="1:5" ht="23.1" customHeight="1" x14ac:dyDescent="0.25">
      <c r="A62" s="4">
        <v>46</v>
      </c>
      <c r="B62" s="4" t="s">
        <v>841</v>
      </c>
      <c r="C62" s="4">
        <v>877</v>
      </c>
      <c r="D62" s="4">
        <v>419</v>
      </c>
      <c r="E62" s="4">
        <v>458</v>
      </c>
    </row>
    <row r="63" spans="1:5" ht="23.1" customHeight="1" x14ac:dyDescent="0.25">
      <c r="A63" s="4">
        <v>47</v>
      </c>
      <c r="B63" s="4" t="s">
        <v>136</v>
      </c>
      <c r="C63" s="4">
        <v>3384</v>
      </c>
      <c r="D63" s="4">
        <v>1669</v>
      </c>
      <c r="E63" s="4">
        <v>1715</v>
      </c>
    </row>
    <row r="64" spans="1:5" ht="23.1" customHeight="1" x14ac:dyDescent="0.25">
      <c r="A64" s="4">
        <v>48</v>
      </c>
      <c r="B64" s="4" t="s">
        <v>842</v>
      </c>
      <c r="C64" s="4">
        <v>1665</v>
      </c>
      <c r="D64" s="4">
        <v>810</v>
      </c>
      <c r="E64" s="4">
        <v>855</v>
      </c>
    </row>
    <row r="65" spans="1:5" ht="23.1" customHeight="1" x14ac:dyDescent="0.25">
      <c r="A65" s="4">
        <v>49</v>
      </c>
      <c r="B65" s="4" t="s">
        <v>843</v>
      </c>
      <c r="C65" s="4">
        <v>1125</v>
      </c>
      <c r="D65" s="4">
        <v>526</v>
      </c>
      <c r="E65" s="4">
        <v>599</v>
      </c>
    </row>
    <row r="66" spans="1:5" ht="23.1" customHeight="1" x14ac:dyDescent="0.25">
      <c r="A66" s="4">
        <v>50</v>
      </c>
      <c r="B66" s="4" t="s">
        <v>844</v>
      </c>
      <c r="C66" s="4">
        <v>1345</v>
      </c>
      <c r="D66" s="4">
        <v>670</v>
      </c>
      <c r="E66" s="4">
        <v>675</v>
      </c>
    </row>
    <row r="67" spans="1:5" ht="23.1" customHeight="1" x14ac:dyDescent="0.25">
      <c r="A67" s="4">
        <v>51</v>
      </c>
      <c r="B67" s="4" t="s">
        <v>845</v>
      </c>
      <c r="C67" s="4">
        <v>1319</v>
      </c>
      <c r="D67" s="4">
        <v>602</v>
      </c>
      <c r="E67" s="4">
        <v>717</v>
      </c>
    </row>
    <row r="68" spans="1:5" ht="23.1" customHeight="1" x14ac:dyDescent="0.25">
      <c r="A68" s="4">
        <v>52</v>
      </c>
      <c r="B68" s="4" t="s">
        <v>846</v>
      </c>
      <c r="C68" s="4">
        <v>1045</v>
      </c>
      <c r="D68" s="4">
        <v>517</v>
      </c>
      <c r="E68" s="4">
        <v>528</v>
      </c>
    </row>
    <row r="69" spans="1:5" ht="23.1" customHeight="1" x14ac:dyDescent="0.25">
      <c r="A69" s="4">
        <v>53</v>
      </c>
      <c r="B69" s="4" t="s">
        <v>847</v>
      </c>
      <c r="C69" s="4">
        <v>816</v>
      </c>
      <c r="D69" s="4">
        <v>401</v>
      </c>
      <c r="E69" s="4">
        <v>415</v>
      </c>
    </row>
    <row r="70" spans="1:5" ht="23.1" customHeight="1" x14ac:dyDescent="0.25">
      <c r="A70" s="4">
        <v>54</v>
      </c>
      <c r="B70" s="4" t="s">
        <v>848</v>
      </c>
      <c r="C70" s="4">
        <v>1222</v>
      </c>
      <c r="D70" s="4">
        <v>621</v>
      </c>
      <c r="E70" s="4">
        <v>601</v>
      </c>
    </row>
    <row r="71" spans="1:5" ht="23.1" customHeight="1" x14ac:dyDescent="0.25">
      <c r="A71" s="10">
        <v>55</v>
      </c>
      <c r="B71" s="10" t="s">
        <v>849</v>
      </c>
      <c r="C71" s="10">
        <v>1267</v>
      </c>
      <c r="D71" s="10">
        <v>631</v>
      </c>
      <c r="E71" s="10">
        <v>636</v>
      </c>
    </row>
    <row r="72" spans="1:5" ht="23.1" customHeight="1" x14ac:dyDescent="0.25"/>
    <row r="73" spans="1:5" ht="23.1" customHeight="1" x14ac:dyDescent="0.25"/>
    <row r="74" spans="1:5" ht="23.1" customHeight="1" x14ac:dyDescent="0.25"/>
    <row r="75" spans="1:5" ht="23.1" customHeight="1" x14ac:dyDescent="0.25"/>
    <row r="76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 Kawhmu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selection sqref="A1:E1"/>
    </sheetView>
  </sheetViews>
  <sheetFormatPr defaultRowHeight="15" x14ac:dyDescent="0.25"/>
  <cols>
    <col min="2" max="2" width="23.5703125" customWidth="1"/>
    <col min="3" max="5" width="15.7109375" customWidth="1"/>
  </cols>
  <sheetData>
    <row r="1" spans="1:5" ht="23.45" customHeight="1" x14ac:dyDescent="0.25">
      <c r="A1" s="80" t="s">
        <v>1072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6"/>
      <c r="B5" s="57" t="s">
        <v>0</v>
      </c>
      <c r="C5" s="57">
        <f>C7+C16</f>
        <v>111632</v>
      </c>
      <c r="D5" s="57">
        <f t="shared" ref="D5:E5" si="0">D7+D16</f>
        <v>54107</v>
      </c>
      <c r="E5" s="57">
        <f t="shared" si="0"/>
        <v>57525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SUM(C8:C14)</f>
        <v>16627</v>
      </c>
      <c r="D7" s="15">
        <f t="shared" ref="D7:E7" si="1">SUM(D8:D14)</f>
        <v>7931</v>
      </c>
      <c r="E7" s="15">
        <f t="shared" si="1"/>
        <v>8696</v>
      </c>
    </row>
    <row r="8" spans="1:5" ht="23.1" customHeight="1" x14ac:dyDescent="0.25">
      <c r="A8" s="4">
        <v>1</v>
      </c>
      <c r="B8" s="4" t="s">
        <v>101</v>
      </c>
      <c r="C8" s="4">
        <v>3283</v>
      </c>
      <c r="D8" s="4">
        <v>1509</v>
      </c>
      <c r="E8" s="4">
        <v>1774</v>
      </c>
    </row>
    <row r="9" spans="1:5" ht="23.1" customHeight="1" x14ac:dyDescent="0.25">
      <c r="A9" s="4">
        <v>2</v>
      </c>
      <c r="B9" s="4" t="s">
        <v>850</v>
      </c>
      <c r="C9" s="4">
        <v>3343</v>
      </c>
      <c r="D9" s="4">
        <v>1647</v>
      </c>
      <c r="E9" s="4">
        <v>1696</v>
      </c>
    </row>
    <row r="10" spans="1:5" ht="23.1" customHeight="1" x14ac:dyDescent="0.25">
      <c r="A10" s="4">
        <v>3</v>
      </c>
      <c r="B10" s="4" t="s">
        <v>34</v>
      </c>
      <c r="C10" s="4">
        <v>629</v>
      </c>
      <c r="D10" s="4">
        <v>294</v>
      </c>
      <c r="E10" s="4">
        <v>335</v>
      </c>
    </row>
    <row r="11" spans="1:5" ht="23.1" customHeight="1" x14ac:dyDescent="0.25">
      <c r="A11" s="4">
        <v>4</v>
      </c>
      <c r="B11" s="4" t="s">
        <v>851</v>
      </c>
      <c r="C11" s="4">
        <v>4038</v>
      </c>
      <c r="D11" s="4">
        <v>1932</v>
      </c>
      <c r="E11" s="4">
        <v>2106</v>
      </c>
    </row>
    <row r="12" spans="1:5" ht="23.1" customHeight="1" x14ac:dyDescent="0.25">
      <c r="A12" s="4">
        <v>5</v>
      </c>
      <c r="B12" s="4" t="s">
        <v>739</v>
      </c>
      <c r="C12" s="4">
        <v>1443</v>
      </c>
      <c r="D12" s="4">
        <v>673</v>
      </c>
      <c r="E12" s="4">
        <v>770</v>
      </c>
    </row>
    <row r="13" spans="1:5" ht="23.1" customHeight="1" x14ac:dyDescent="0.25">
      <c r="A13" s="4">
        <v>6</v>
      </c>
      <c r="B13" s="4" t="s">
        <v>852</v>
      </c>
      <c r="C13" s="4">
        <v>1208</v>
      </c>
      <c r="D13" s="4">
        <v>595</v>
      </c>
      <c r="E13" s="4">
        <v>613</v>
      </c>
    </row>
    <row r="14" spans="1:5" ht="23.1" customHeight="1" x14ac:dyDescent="0.25">
      <c r="A14" s="4">
        <v>7</v>
      </c>
      <c r="B14" s="4" t="s">
        <v>346</v>
      </c>
      <c r="C14" s="4">
        <v>2683</v>
      </c>
      <c r="D14" s="4">
        <v>1281</v>
      </c>
      <c r="E14" s="4">
        <v>1402</v>
      </c>
    </row>
    <row r="15" spans="1:5" ht="23.1" customHeight="1" x14ac:dyDescent="0.25">
      <c r="A15" s="4"/>
      <c r="B15" s="4"/>
      <c r="C15" s="4"/>
      <c r="D15" s="4"/>
      <c r="E15" s="4"/>
    </row>
    <row r="16" spans="1:5" ht="23.1" customHeight="1" x14ac:dyDescent="0.25">
      <c r="A16" s="4"/>
      <c r="B16" s="15" t="s">
        <v>1032</v>
      </c>
      <c r="C16" s="15">
        <f>SUM(C17:C59)</f>
        <v>95005</v>
      </c>
      <c r="D16" s="15">
        <f t="shared" ref="D16:E16" si="2">SUM(D17:D59)</f>
        <v>46176</v>
      </c>
      <c r="E16" s="15">
        <f t="shared" si="2"/>
        <v>48829</v>
      </c>
    </row>
    <row r="17" spans="1:5" ht="23.1" customHeight="1" x14ac:dyDescent="0.25">
      <c r="A17" s="4">
        <v>1</v>
      </c>
      <c r="B17" s="4" t="s">
        <v>853</v>
      </c>
      <c r="C17" s="4">
        <v>4913</v>
      </c>
      <c r="D17" s="4">
        <v>2356</v>
      </c>
      <c r="E17" s="4">
        <v>2557</v>
      </c>
    </row>
    <row r="18" spans="1:5" ht="23.1" customHeight="1" x14ac:dyDescent="0.25">
      <c r="A18" s="4">
        <v>2</v>
      </c>
      <c r="B18" s="4" t="s">
        <v>854</v>
      </c>
      <c r="C18" s="4">
        <v>1392</v>
      </c>
      <c r="D18" s="4">
        <v>665</v>
      </c>
      <c r="E18" s="4">
        <v>727</v>
      </c>
    </row>
    <row r="19" spans="1:5" ht="23.1" customHeight="1" x14ac:dyDescent="0.25">
      <c r="A19" s="4">
        <v>3</v>
      </c>
      <c r="B19" s="4" t="s">
        <v>855</v>
      </c>
      <c r="C19" s="4">
        <v>3436</v>
      </c>
      <c r="D19" s="4">
        <v>1651</v>
      </c>
      <c r="E19" s="4">
        <v>1785</v>
      </c>
    </row>
    <row r="20" spans="1:5" ht="23.1" customHeight="1" x14ac:dyDescent="0.25">
      <c r="A20" s="4">
        <v>4</v>
      </c>
      <c r="B20" s="4" t="s">
        <v>608</v>
      </c>
      <c r="C20" s="4">
        <v>1188</v>
      </c>
      <c r="D20" s="4">
        <v>601</v>
      </c>
      <c r="E20" s="4">
        <v>587</v>
      </c>
    </row>
    <row r="21" spans="1:5" ht="23.1" customHeight="1" x14ac:dyDescent="0.25">
      <c r="A21" s="4">
        <v>5</v>
      </c>
      <c r="B21" s="4" t="s">
        <v>856</v>
      </c>
      <c r="C21" s="4">
        <v>3825</v>
      </c>
      <c r="D21" s="4">
        <v>1932</v>
      </c>
      <c r="E21" s="4">
        <v>1893</v>
      </c>
    </row>
    <row r="22" spans="1:5" ht="23.1" customHeight="1" x14ac:dyDescent="0.25">
      <c r="A22" s="4">
        <v>6</v>
      </c>
      <c r="B22" s="4" t="s">
        <v>857</v>
      </c>
      <c r="C22" s="4">
        <v>2348</v>
      </c>
      <c r="D22" s="4">
        <v>1115</v>
      </c>
      <c r="E22" s="4">
        <v>1233</v>
      </c>
    </row>
    <row r="23" spans="1:5" ht="23.1" customHeight="1" x14ac:dyDescent="0.25">
      <c r="A23" s="4">
        <v>7</v>
      </c>
      <c r="B23" s="4" t="s">
        <v>858</v>
      </c>
      <c r="C23" s="4">
        <v>2172</v>
      </c>
      <c r="D23" s="4">
        <v>1108</v>
      </c>
      <c r="E23" s="4">
        <v>1064</v>
      </c>
    </row>
    <row r="24" spans="1:5" ht="23.1" customHeight="1" x14ac:dyDescent="0.25">
      <c r="A24" s="4">
        <v>8</v>
      </c>
      <c r="B24" s="4" t="s">
        <v>859</v>
      </c>
      <c r="C24" s="4">
        <v>1335</v>
      </c>
      <c r="D24" s="4">
        <v>638</v>
      </c>
      <c r="E24" s="4">
        <v>697</v>
      </c>
    </row>
    <row r="25" spans="1:5" ht="23.1" customHeight="1" x14ac:dyDescent="0.25">
      <c r="A25" s="4">
        <v>9</v>
      </c>
      <c r="B25" s="4" t="s">
        <v>860</v>
      </c>
      <c r="C25" s="4">
        <v>3423</v>
      </c>
      <c r="D25" s="4">
        <v>1676</v>
      </c>
      <c r="E25" s="4">
        <v>1747</v>
      </c>
    </row>
    <row r="26" spans="1:5" ht="23.1" customHeight="1" x14ac:dyDescent="0.25">
      <c r="A26" s="4">
        <v>10</v>
      </c>
      <c r="B26" s="4" t="s">
        <v>861</v>
      </c>
      <c r="C26" s="4">
        <v>1181</v>
      </c>
      <c r="D26" s="4">
        <v>579</v>
      </c>
      <c r="E26" s="4">
        <v>602</v>
      </c>
    </row>
    <row r="27" spans="1:5" ht="23.1" customHeight="1" x14ac:dyDescent="0.25">
      <c r="A27" s="4">
        <v>11</v>
      </c>
      <c r="B27" s="4" t="s">
        <v>862</v>
      </c>
      <c r="C27" s="4">
        <v>2043</v>
      </c>
      <c r="D27" s="4">
        <v>992</v>
      </c>
      <c r="E27" s="4">
        <v>1051</v>
      </c>
    </row>
    <row r="28" spans="1:5" ht="23.1" customHeight="1" x14ac:dyDescent="0.25">
      <c r="A28" s="4">
        <v>12</v>
      </c>
      <c r="B28" s="4" t="s">
        <v>863</v>
      </c>
      <c r="C28" s="4">
        <v>1033</v>
      </c>
      <c r="D28" s="4">
        <v>495</v>
      </c>
      <c r="E28" s="4">
        <v>538</v>
      </c>
    </row>
    <row r="29" spans="1:5" ht="23.1" customHeight="1" x14ac:dyDescent="0.25">
      <c r="A29" s="4">
        <v>13</v>
      </c>
      <c r="B29" s="4" t="s">
        <v>864</v>
      </c>
      <c r="C29" s="4">
        <v>1305</v>
      </c>
      <c r="D29" s="4">
        <v>658</v>
      </c>
      <c r="E29" s="4">
        <v>647</v>
      </c>
    </row>
    <row r="30" spans="1:5" ht="23.1" customHeight="1" x14ac:dyDescent="0.25">
      <c r="A30" s="4">
        <v>14</v>
      </c>
      <c r="B30" s="4" t="s">
        <v>865</v>
      </c>
      <c r="C30" s="4">
        <v>1008</v>
      </c>
      <c r="D30" s="4">
        <v>499</v>
      </c>
      <c r="E30" s="4">
        <v>509</v>
      </c>
    </row>
    <row r="31" spans="1:5" ht="23.1" customHeight="1" x14ac:dyDescent="0.25">
      <c r="A31" s="4">
        <v>15</v>
      </c>
      <c r="B31" s="4" t="s">
        <v>866</v>
      </c>
      <c r="C31" s="4">
        <v>2710</v>
      </c>
      <c r="D31" s="4">
        <v>1302</v>
      </c>
      <c r="E31" s="4">
        <v>1408</v>
      </c>
    </row>
    <row r="32" spans="1:5" ht="23.1" customHeight="1" x14ac:dyDescent="0.25">
      <c r="A32" s="4">
        <v>16</v>
      </c>
      <c r="B32" s="4" t="s">
        <v>867</v>
      </c>
      <c r="C32" s="4">
        <v>4214</v>
      </c>
      <c r="D32" s="4">
        <v>2029</v>
      </c>
      <c r="E32" s="4">
        <v>2185</v>
      </c>
    </row>
    <row r="33" spans="1:5" ht="23.1" customHeight="1" x14ac:dyDescent="0.25">
      <c r="A33" s="4">
        <v>17</v>
      </c>
      <c r="B33" s="4" t="s">
        <v>868</v>
      </c>
      <c r="C33" s="4">
        <v>2222</v>
      </c>
      <c r="D33" s="4">
        <v>1072</v>
      </c>
      <c r="E33" s="4">
        <v>1150</v>
      </c>
    </row>
    <row r="34" spans="1:5" ht="23.1" customHeight="1" x14ac:dyDescent="0.25">
      <c r="A34" s="4">
        <v>18</v>
      </c>
      <c r="B34" s="4" t="s">
        <v>869</v>
      </c>
      <c r="C34" s="4">
        <v>2213</v>
      </c>
      <c r="D34" s="4">
        <v>1066</v>
      </c>
      <c r="E34" s="4">
        <v>1147</v>
      </c>
    </row>
    <row r="35" spans="1:5" ht="23.1" customHeight="1" x14ac:dyDescent="0.25">
      <c r="A35" s="4">
        <v>19</v>
      </c>
      <c r="B35" s="4" t="s">
        <v>870</v>
      </c>
      <c r="C35" s="4">
        <v>2167</v>
      </c>
      <c r="D35" s="4">
        <v>1077</v>
      </c>
      <c r="E35" s="4">
        <v>1090</v>
      </c>
    </row>
    <row r="36" spans="1:5" ht="23.1" customHeight="1" x14ac:dyDescent="0.25">
      <c r="A36" s="4">
        <v>20</v>
      </c>
      <c r="B36" s="4" t="s">
        <v>871</v>
      </c>
      <c r="C36" s="4">
        <v>2536</v>
      </c>
      <c r="D36" s="4">
        <v>1233</v>
      </c>
      <c r="E36" s="4">
        <v>1303</v>
      </c>
    </row>
    <row r="37" spans="1:5" ht="23.1" customHeight="1" x14ac:dyDescent="0.25">
      <c r="A37" s="4">
        <v>21</v>
      </c>
      <c r="B37" s="4" t="s">
        <v>872</v>
      </c>
      <c r="C37" s="4">
        <v>810</v>
      </c>
      <c r="D37" s="4">
        <v>382</v>
      </c>
      <c r="E37" s="4">
        <v>428</v>
      </c>
    </row>
    <row r="38" spans="1:5" ht="23.1" customHeight="1" x14ac:dyDescent="0.25">
      <c r="A38" s="4">
        <v>22</v>
      </c>
      <c r="B38" s="4" t="s">
        <v>873</v>
      </c>
      <c r="C38" s="4">
        <v>2155</v>
      </c>
      <c r="D38" s="4">
        <v>1031</v>
      </c>
      <c r="E38" s="4">
        <v>1124</v>
      </c>
    </row>
    <row r="39" spans="1:5" ht="23.1" customHeight="1" x14ac:dyDescent="0.25">
      <c r="A39" s="4">
        <v>23</v>
      </c>
      <c r="B39" s="4" t="s">
        <v>874</v>
      </c>
      <c r="C39" s="4">
        <v>1872</v>
      </c>
      <c r="D39" s="4">
        <v>924</v>
      </c>
      <c r="E39" s="4">
        <v>948</v>
      </c>
    </row>
    <row r="40" spans="1:5" ht="23.1" customHeight="1" x14ac:dyDescent="0.25">
      <c r="A40" s="4">
        <v>24</v>
      </c>
      <c r="B40" s="4" t="s">
        <v>875</v>
      </c>
      <c r="C40" s="4">
        <v>4283</v>
      </c>
      <c r="D40" s="4">
        <v>2121</v>
      </c>
      <c r="E40" s="4">
        <v>2162</v>
      </c>
    </row>
    <row r="41" spans="1:5" ht="23.1" customHeight="1" x14ac:dyDescent="0.25">
      <c r="A41" s="4">
        <v>25</v>
      </c>
      <c r="B41" s="4" t="s">
        <v>876</v>
      </c>
      <c r="C41" s="4">
        <v>1658</v>
      </c>
      <c r="D41" s="4">
        <v>802</v>
      </c>
      <c r="E41" s="4">
        <v>856</v>
      </c>
    </row>
    <row r="42" spans="1:5" ht="23.1" customHeight="1" x14ac:dyDescent="0.25">
      <c r="A42" s="4">
        <v>26</v>
      </c>
      <c r="B42" s="4" t="s">
        <v>877</v>
      </c>
      <c r="C42" s="4">
        <v>2503</v>
      </c>
      <c r="D42" s="4">
        <v>1180</v>
      </c>
      <c r="E42" s="4">
        <v>1323</v>
      </c>
    </row>
    <row r="43" spans="1:5" ht="23.1" customHeight="1" x14ac:dyDescent="0.25">
      <c r="A43" s="4">
        <v>27</v>
      </c>
      <c r="B43" s="4" t="s">
        <v>878</v>
      </c>
      <c r="C43" s="4">
        <v>1944</v>
      </c>
      <c r="D43" s="4">
        <v>915</v>
      </c>
      <c r="E43" s="4">
        <v>1029</v>
      </c>
    </row>
    <row r="44" spans="1:5" ht="23.1" customHeight="1" x14ac:dyDescent="0.25">
      <c r="A44" s="4">
        <v>28</v>
      </c>
      <c r="B44" s="4" t="s">
        <v>602</v>
      </c>
      <c r="C44" s="4">
        <v>4141</v>
      </c>
      <c r="D44" s="4">
        <v>2030</v>
      </c>
      <c r="E44" s="4">
        <v>2111</v>
      </c>
    </row>
    <row r="45" spans="1:5" ht="23.1" customHeight="1" x14ac:dyDescent="0.25">
      <c r="A45" s="4">
        <v>29</v>
      </c>
      <c r="B45" s="4" t="s">
        <v>879</v>
      </c>
      <c r="C45" s="4">
        <v>1293</v>
      </c>
      <c r="D45" s="4">
        <v>604</v>
      </c>
      <c r="E45" s="4">
        <v>689</v>
      </c>
    </row>
    <row r="46" spans="1:5" ht="23.1" customHeight="1" x14ac:dyDescent="0.25">
      <c r="A46" s="4">
        <v>30</v>
      </c>
      <c r="B46" s="4" t="s">
        <v>880</v>
      </c>
      <c r="C46" s="4">
        <v>911</v>
      </c>
      <c r="D46" s="4">
        <v>444</v>
      </c>
      <c r="E46" s="4">
        <v>467</v>
      </c>
    </row>
    <row r="47" spans="1:5" ht="23.1" customHeight="1" x14ac:dyDescent="0.25">
      <c r="A47" s="4">
        <v>31</v>
      </c>
      <c r="B47" s="4" t="s">
        <v>881</v>
      </c>
      <c r="C47" s="4">
        <v>1676</v>
      </c>
      <c r="D47" s="4">
        <v>800</v>
      </c>
      <c r="E47" s="4">
        <v>876</v>
      </c>
    </row>
    <row r="48" spans="1:5" ht="23.1" customHeight="1" x14ac:dyDescent="0.25">
      <c r="A48" s="4">
        <v>32</v>
      </c>
      <c r="B48" s="4" t="s">
        <v>882</v>
      </c>
      <c r="C48" s="4">
        <v>774</v>
      </c>
      <c r="D48" s="4">
        <v>378</v>
      </c>
      <c r="E48" s="4">
        <v>396</v>
      </c>
    </row>
    <row r="49" spans="1:5" ht="23.1" customHeight="1" x14ac:dyDescent="0.25">
      <c r="A49" s="4">
        <v>33</v>
      </c>
      <c r="B49" s="4" t="s">
        <v>883</v>
      </c>
      <c r="C49" s="4">
        <v>2739</v>
      </c>
      <c r="D49" s="4">
        <v>1300</v>
      </c>
      <c r="E49" s="4">
        <v>1439</v>
      </c>
    </row>
    <row r="50" spans="1:5" ht="23.1" customHeight="1" x14ac:dyDescent="0.25">
      <c r="A50" s="4">
        <v>34</v>
      </c>
      <c r="B50" s="4" t="s">
        <v>884</v>
      </c>
      <c r="C50" s="4">
        <v>1893</v>
      </c>
      <c r="D50" s="4">
        <v>931</v>
      </c>
      <c r="E50" s="4">
        <v>962</v>
      </c>
    </row>
    <row r="51" spans="1:5" ht="23.1" customHeight="1" x14ac:dyDescent="0.25">
      <c r="A51" s="4">
        <v>35</v>
      </c>
      <c r="B51" s="4" t="s">
        <v>885</v>
      </c>
      <c r="C51" s="4">
        <v>883</v>
      </c>
      <c r="D51" s="4">
        <v>428</v>
      </c>
      <c r="E51" s="4">
        <v>455</v>
      </c>
    </row>
    <row r="52" spans="1:5" ht="23.1" customHeight="1" x14ac:dyDescent="0.25">
      <c r="A52" s="4">
        <v>36</v>
      </c>
      <c r="B52" s="4" t="s">
        <v>886</v>
      </c>
      <c r="C52" s="4">
        <v>2440</v>
      </c>
      <c r="D52" s="4">
        <v>1218</v>
      </c>
      <c r="E52" s="4">
        <v>1222</v>
      </c>
    </row>
    <row r="53" spans="1:5" ht="23.1" customHeight="1" x14ac:dyDescent="0.25">
      <c r="A53" s="4">
        <v>37</v>
      </c>
      <c r="B53" s="4" t="s">
        <v>887</v>
      </c>
      <c r="C53" s="4">
        <v>4633</v>
      </c>
      <c r="D53" s="4">
        <v>2282</v>
      </c>
      <c r="E53" s="4">
        <v>2351</v>
      </c>
    </row>
    <row r="54" spans="1:5" ht="23.1" customHeight="1" x14ac:dyDescent="0.25">
      <c r="A54" s="4">
        <v>38</v>
      </c>
      <c r="B54" s="4" t="s">
        <v>888</v>
      </c>
      <c r="C54" s="4">
        <v>1734</v>
      </c>
      <c r="D54" s="4">
        <v>826</v>
      </c>
      <c r="E54" s="4">
        <v>908</v>
      </c>
    </row>
    <row r="55" spans="1:5" ht="23.1" customHeight="1" x14ac:dyDescent="0.25">
      <c r="A55" s="4">
        <v>39</v>
      </c>
      <c r="B55" s="4" t="s">
        <v>889</v>
      </c>
      <c r="C55" s="4">
        <v>2052</v>
      </c>
      <c r="D55" s="4">
        <v>1054</v>
      </c>
      <c r="E55" s="4">
        <v>998</v>
      </c>
    </row>
    <row r="56" spans="1:5" ht="23.1" customHeight="1" x14ac:dyDescent="0.25">
      <c r="A56" s="4">
        <v>40</v>
      </c>
      <c r="B56" s="4" t="s">
        <v>890</v>
      </c>
      <c r="C56" s="4">
        <v>1570</v>
      </c>
      <c r="D56" s="4">
        <v>777</v>
      </c>
      <c r="E56" s="4">
        <v>793</v>
      </c>
    </row>
    <row r="57" spans="1:5" ht="23.1" customHeight="1" x14ac:dyDescent="0.25">
      <c r="A57" s="4">
        <v>41</v>
      </c>
      <c r="B57" s="4" t="s">
        <v>891</v>
      </c>
      <c r="C57" s="4">
        <v>762</v>
      </c>
      <c r="D57" s="4">
        <v>368</v>
      </c>
      <c r="E57" s="4">
        <v>394</v>
      </c>
    </row>
    <row r="58" spans="1:5" ht="23.1" customHeight="1" x14ac:dyDescent="0.25">
      <c r="A58" s="4">
        <v>42</v>
      </c>
      <c r="B58" s="4" t="s">
        <v>868</v>
      </c>
      <c r="C58" s="4">
        <v>2449</v>
      </c>
      <c r="D58" s="4">
        <v>1154</v>
      </c>
      <c r="E58" s="4">
        <v>1295</v>
      </c>
    </row>
    <row r="59" spans="1:5" ht="23.1" customHeight="1" x14ac:dyDescent="0.25">
      <c r="A59" s="10">
        <v>43</v>
      </c>
      <c r="B59" s="10" t="s">
        <v>892</v>
      </c>
      <c r="C59" s="10">
        <v>3166</v>
      </c>
      <c r="D59" s="10">
        <v>1483</v>
      </c>
      <c r="E59" s="10">
        <v>1683</v>
      </c>
    </row>
    <row r="60" spans="1:5" ht="23.1" customHeight="1" x14ac:dyDescent="0.25"/>
    <row r="61" spans="1:5" ht="23.1" customHeight="1" x14ac:dyDescent="0.25"/>
    <row r="62" spans="1:5" ht="23.1" customHeight="1" x14ac:dyDescent="0.25"/>
    <row r="63" spans="1:5" ht="23.1" customHeight="1" x14ac:dyDescent="0.25"/>
    <row r="64" spans="1:5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45" customHeight="1" x14ac:dyDescent="0.25"/>
    <row r="69" ht="23.45" customHeight="1" x14ac:dyDescent="0.25"/>
    <row r="70" ht="23.45" customHeight="1" x14ac:dyDescent="0.25"/>
    <row r="71" ht="23.45" customHeight="1" x14ac:dyDescent="0.25"/>
    <row r="72" ht="23.45" customHeight="1" x14ac:dyDescent="0.25"/>
    <row r="73" ht="23.45" customHeight="1" x14ac:dyDescent="0.25"/>
    <row r="74" ht="23.45" customHeight="1" x14ac:dyDescent="0.25"/>
    <row r="75" ht="23.45" customHeight="1" x14ac:dyDescent="0.25"/>
    <row r="76" ht="23.45" customHeight="1" x14ac:dyDescent="0.25"/>
    <row r="77" ht="23.45" customHeight="1" x14ac:dyDescent="0.25"/>
    <row r="78" ht="23.45" customHeight="1" x14ac:dyDescent="0.25"/>
    <row r="79" ht="23.45" customHeight="1" x14ac:dyDescent="0.25"/>
    <row r="80" ht="23.45" customHeight="1" x14ac:dyDescent="0.25"/>
    <row r="81" ht="23.45" customHeight="1" x14ac:dyDescent="0.25"/>
    <row r="82" ht="23.45" customHeight="1" x14ac:dyDescent="0.25"/>
    <row r="83" ht="23.45" customHeight="1" x14ac:dyDescent="0.25"/>
    <row r="84" ht="23.45" customHeight="1" x14ac:dyDescent="0.25"/>
    <row r="85" ht="23.45" customHeight="1" x14ac:dyDescent="0.25"/>
    <row r="86" ht="23.45" customHeight="1" x14ac:dyDescent="0.25"/>
    <row r="87" ht="23.45" customHeight="1" x14ac:dyDescent="0.25"/>
    <row r="88" ht="23.45" customHeight="1" x14ac:dyDescent="0.25"/>
    <row r="89" ht="23.45" customHeight="1" x14ac:dyDescent="0.25"/>
    <row r="90" ht="23.45" customHeight="1" x14ac:dyDescent="0.25"/>
    <row r="91" ht="23.45" customHeight="1" x14ac:dyDescent="0.25"/>
    <row r="92" ht="23.45" customHeight="1" x14ac:dyDescent="0.25"/>
    <row r="93" ht="23.45" customHeight="1" x14ac:dyDescent="0.25"/>
    <row r="94" ht="23.45" customHeight="1" x14ac:dyDescent="0.25"/>
    <row r="95" ht="23.45" customHeight="1" x14ac:dyDescent="0.25"/>
    <row r="96" ht="23.45" customHeight="1" x14ac:dyDescent="0.25"/>
    <row r="97" ht="23.45" customHeight="1" x14ac:dyDescent="0.25"/>
    <row r="98" ht="23.45" customHeight="1" x14ac:dyDescent="0.25"/>
    <row r="99" ht="23.45" customHeight="1" x14ac:dyDescent="0.25"/>
    <row r="100" ht="23.45" customHeight="1" x14ac:dyDescent="0.25"/>
    <row r="101" ht="23.45" customHeight="1" x14ac:dyDescent="0.25"/>
    <row r="102" ht="23.45" customHeight="1" x14ac:dyDescent="0.25"/>
    <row r="103" ht="23.45" customHeight="1" x14ac:dyDescent="0.25"/>
    <row r="104" ht="23.45" customHeight="1" x14ac:dyDescent="0.25"/>
    <row r="105" ht="23.45" customHeight="1" x14ac:dyDescent="0.25"/>
    <row r="106" ht="23.45" customHeight="1" x14ac:dyDescent="0.25"/>
    <row r="107" ht="23.45" customHeight="1" x14ac:dyDescent="0.25"/>
    <row r="108" ht="23.45" customHeight="1" x14ac:dyDescent="0.25"/>
    <row r="109" ht="23.45" customHeight="1" x14ac:dyDescent="0.25"/>
    <row r="110" ht="23.45" customHeight="1" x14ac:dyDescent="0.25"/>
    <row r="111" ht="23.45" customHeight="1" x14ac:dyDescent="0.25"/>
    <row r="112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Kungyangon Township"/>
  </hyperlinks>
  <pageMargins left="0.75" right="0.5" top="0.5" bottom="0.2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"/>
    </sheetView>
  </sheetViews>
  <sheetFormatPr defaultRowHeight="15" x14ac:dyDescent="0.25"/>
  <cols>
    <col min="1" max="1" width="5.140625" style="26" customWidth="1"/>
    <col min="2" max="2" width="32.42578125" customWidth="1"/>
    <col min="3" max="5" width="15.7109375" customWidth="1"/>
  </cols>
  <sheetData>
    <row r="1" spans="1:5" ht="23.45" customHeight="1" x14ac:dyDescent="0.25">
      <c r="A1" s="80" t="s">
        <v>1073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9"/>
      <c r="B5" s="57" t="s">
        <v>0</v>
      </c>
      <c r="C5" s="57">
        <f>C7+C32</f>
        <v>172857</v>
      </c>
      <c r="D5" s="57">
        <f t="shared" ref="D5:E5" si="0">D7+D32</f>
        <v>84671</v>
      </c>
      <c r="E5" s="57">
        <f t="shared" si="0"/>
        <v>88186</v>
      </c>
    </row>
    <row r="6" spans="1:5" ht="23.1" customHeight="1" x14ac:dyDescent="0.25">
      <c r="A6" s="27"/>
      <c r="B6" s="4"/>
      <c r="C6" s="4"/>
      <c r="D6" s="4"/>
      <c r="E6" s="4"/>
    </row>
    <row r="7" spans="1:5" ht="23.1" customHeight="1" x14ac:dyDescent="0.25">
      <c r="A7" s="27"/>
      <c r="B7" s="15" t="s">
        <v>1028</v>
      </c>
      <c r="C7" s="15">
        <f>SUM(C8:C30)</f>
        <v>119366</v>
      </c>
      <c r="D7" s="15">
        <f t="shared" ref="D7:E7" si="1">SUM(D8:D30)</f>
        <v>58358</v>
      </c>
      <c r="E7" s="15">
        <f t="shared" si="1"/>
        <v>61008</v>
      </c>
    </row>
    <row r="8" spans="1:5" ht="23.1" customHeight="1" x14ac:dyDescent="0.25">
      <c r="A8" s="27">
        <v>1</v>
      </c>
      <c r="B8" s="4" t="s">
        <v>893</v>
      </c>
      <c r="C8" s="4">
        <v>4149</v>
      </c>
      <c r="D8" s="4">
        <v>2002</v>
      </c>
      <c r="E8" s="4">
        <v>2147</v>
      </c>
    </row>
    <row r="9" spans="1:5" ht="23.1" customHeight="1" x14ac:dyDescent="0.25">
      <c r="A9" s="27">
        <v>2</v>
      </c>
      <c r="B9" s="4" t="s">
        <v>894</v>
      </c>
      <c r="C9" s="4">
        <v>5324</v>
      </c>
      <c r="D9" s="4">
        <v>2513</v>
      </c>
      <c r="E9" s="4">
        <v>2811</v>
      </c>
    </row>
    <row r="10" spans="1:5" ht="23.1" customHeight="1" x14ac:dyDescent="0.25">
      <c r="A10" s="27">
        <v>3</v>
      </c>
      <c r="B10" s="4" t="s">
        <v>895</v>
      </c>
      <c r="C10" s="4">
        <v>5623</v>
      </c>
      <c r="D10" s="4">
        <v>2727</v>
      </c>
      <c r="E10" s="4">
        <v>2896</v>
      </c>
    </row>
    <row r="11" spans="1:5" ht="23.1" customHeight="1" x14ac:dyDescent="0.25">
      <c r="A11" s="27">
        <v>4</v>
      </c>
      <c r="B11" s="4" t="s">
        <v>294</v>
      </c>
      <c r="C11" s="4">
        <v>2139</v>
      </c>
      <c r="D11" s="4">
        <v>1044</v>
      </c>
      <c r="E11" s="4">
        <v>1095</v>
      </c>
    </row>
    <row r="12" spans="1:5" ht="23.1" customHeight="1" x14ac:dyDescent="0.25">
      <c r="A12" s="27">
        <v>5</v>
      </c>
      <c r="B12" s="4" t="s">
        <v>896</v>
      </c>
      <c r="C12" s="4">
        <v>5610</v>
      </c>
      <c r="D12" s="4">
        <v>2687</v>
      </c>
      <c r="E12" s="4">
        <v>2923</v>
      </c>
    </row>
    <row r="13" spans="1:5" ht="23.1" customHeight="1" x14ac:dyDescent="0.25">
      <c r="A13" s="27">
        <v>6</v>
      </c>
      <c r="B13" s="4" t="s">
        <v>897</v>
      </c>
      <c r="C13" s="4">
        <v>5847</v>
      </c>
      <c r="D13" s="4">
        <v>2862</v>
      </c>
      <c r="E13" s="4">
        <v>2985</v>
      </c>
    </row>
    <row r="14" spans="1:5" ht="23.1" customHeight="1" x14ac:dyDescent="0.25">
      <c r="A14" s="27">
        <v>7</v>
      </c>
      <c r="B14" s="4" t="s">
        <v>898</v>
      </c>
      <c r="C14" s="4">
        <v>1067</v>
      </c>
      <c r="D14" s="4">
        <v>487</v>
      </c>
      <c r="E14" s="4">
        <v>580</v>
      </c>
    </row>
    <row r="15" spans="1:5" ht="23.1" customHeight="1" x14ac:dyDescent="0.25">
      <c r="A15" s="27">
        <v>8</v>
      </c>
      <c r="B15" s="4" t="s">
        <v>899</v>
      </c>
      <c r="C15" s="4">
        <v>1423</v>
      </c>
      <c r="D15" s="4">
        <v>641</v>
      </c>
      <c r="E15" s="4">
        <v>782</v>
      </c>
    </row>
    <row r="16" spans="1:5" ht="23.1" customHeight="1" x14ac:dyDescent="0.25">
      <c r="A16" s="27">
        <v>9</v>
      </c>
      <c r="B16" s="4" t="s">
        <v>900</v>
      </c>
      <c r="C16" s="4">
        <v>571</v>
      </c>
      <c r="D16" s="4">
        <v>277</v>
      </c>
      <c r="E16" s="4">
        <v>294</v>
      </c>
    </row>
    <row r="17" spans="1:5" ht="23.1" customHeight="1" x14ac:dyDescent="0.25">
      <c r="A17" s="27">
        <v>10</v>
      </c>
      <c r="B17" s="4" t="s">
        <v>901</v>
      </c>
      <c r="C17" s="4">
        <v>4901</v>
      </c>
      <c r="D17" s="4">
        <v>2357</v>
      </c>
      <c r="E17" s="4">
        <v>2544</v>
      </c>
    </row>
    <row r="18" spans="1:5" ht="23.1" customHeight="1" x14ac:dyDescent="0.25">
      <c r="A18" s="27">
        <v>11</v>
      </c>
      <c r="B18" s="4" t="s">
        <v>99</v>
      </c>
      <c r="C18" s="4">
        <v>3025</v>
      </c>
      <c r="D18" s="4">
        <v>1436</v>
      </c>
      <c r="E18" s="4">
        <v>1589</v>
      </c>
    </row>
    <row r="19" spans="1:5" ht="23.1" customHeight="1" x14ac:dyDescent="0.25">
      <c r="A19" s="27">
        <v>12</v>
      </c>
      <c r="B19" s="4" t="s">
        <v>902</v>
      </c>
      <c r="C19" s="4">
        <v>3699</v>
      </c>
      <c r="D19" s="4">
        <v>1788</v>
      </c>
      <c r="E19" s="4">
        <v>1911</v>
      </c>
    </row>
    <row r="20" spans="1:5" ht="23.1" customHeight="1" x14ac:dyDescent="0.25">
      <c r="A20" s="27">
        <v>13</v>
      </c>
      <c r="B20" s="4" t="s">
        <v>903</v>
      </c>
      <c r="C20" s="4">
        <v>5143</v>
      </c>
      <c r="D20" s="4">
        <v>2577</v>
      </c>
      <c r="E20" s="4">
        <v>2566</v>
      </c>
    </row>
    <row r="21" spans="1:5" ht="23.1" customHeight="1" x14ac:dyDescent="0.25">
      <c r="A21" s="27">
        <v>14</v>
      </c>
      <c r="B21" s="4" t="s">
        <v>904</v>
      </c>
      <c r="C21" s="4">
        <v>12578</v>
      </c>
      <c r="D21" s="4">
        <v>6280</v>
      </c>
      <c r="E21" s="4">
        <v>6298</v>
      </c>
    </row>
    <row r="22" spans="1:5" ht="23.1" customHeight="1" x14ac:dyDescent="0.25">
      <c r="A22" s="27">
        <v>15</v>
      </c>
      <c r="B22" s="4" t="s">
        <v>905</v>
      </c>
      <c r="C22" s="4">
        <v>7453</v>
      </c>
      <c r="D22" s="4">
        <v>3768</v>
      </c>
      <c r="E22" s="4">
        <v>3685</v>
      </c>
    </row>
    <row r="23" spans="1:5" ht="23.1" customHeight="1" x14ac:dyDescent="0.25">
      <c r="A23" s="27">
        <v>16</v>
      </c>
      <c r="B23" s="4" t="s">
        <v>906</v>
      </c>
      <c r="C23" s="4">
        <v>4121</v>
      </c>
      <c r="D23" s="4">
        <v>2032</v>
      </c>
      <c r="E23" s="4">
        <v>2089</v>
      </c>
    </row>
    <row r="24" spans="1:5" ht="23.1" customHeight="1" x14ac:dyDescent="0.25">
      <c r="A24" s="27">
        <v>17</v>
      </c>
      <c r="B24" s="4" t="s">
        <v>161</v>
      </c>
      <c r="C24" s="4">
        <v>15802</v>
      </c>
      <c r="D24" s="4">
        <v>7792</v>
      </c>
      <c r="E24" s="4">
        <v>8010</v>
      </c>
    </row>
    <row r="25" spans="1:5" ht="23.1" customHeight="1" x14ac:dyDescent="0.25">
      <c r="A25" s="27">
        <v>18</v>
      </c>
      <c r="B25" s="4" t="s">
        <v>907</v>
      </c>
      <c r="C25" s="4">
        <v>7663</v>
      </c>
      <c r="D25" s="4">
        <v>3718</v>
      </c>
      <c r="E25" s="4">
        <v>3945</v>
      </c>
    </row>
    <row r="26" spans="1:5" ht="23.1" customHeight="1" x14ac:dyDescent="0.25">
      <c r="A26" s="27">
        <v>19</v>
      </c>
      <c r="B26" s="4" t="s">
        <v>167</v>
      </c>
      <c r="C26" s="4">
        <v>3563</v>
      </c>
      <c r="D26" s="4">
        <v>1667</v>
      </c>
      <c r="E26" s="4">
        <v>1896</v>
      </c>
    </row>
    <row r="27" spans="1:5" ht="23.1" customHeight="1" x14ac:dyDescent="0.25">
      <c r="A27" s="27">
        <v>20</v>
      </c>
      <c r="B27" s="4" t="s">
        <v>908</v>
      </c>
      <c r="C27" s="4">
        <v>4206</v>
      </c>
      <c r="D27" s="4">
        <v>2127</v>
      </c>
      <c r="E27" s="4">
        <v>2079</v>
      </c>
    </row>
    <row r="28" spans="1:5" ht="23.1" customHeight="1" x14ac:dyDescent="0.25">
      <c r="A28" s="27">
        <v>21</v>
      </c>
      <c r="B28" s="4" t="s">
        <v>909</v>
      </c>
      <c r="C28" s="4">
        <v>7375</v>
      </c>
      <c r="D28" s="4">
        <v>3634</v>
      </c>
      <c r="E28" s="4">
        <v>3741</v>
      </c>
    </row>
    <row r="29" spans="1:5" ht="23.1" customHeight="1" x14ac:dyDescent="0.25">
      <c r="A29" s="27">
        <v>22</v>
      </c>
      <c r="B29" s="4" t="s">
        <v>910</v>
      </c>
      <c r="C29" s="4">
        <v>3892</v>
      </c>
      <c r="D29" s="4">
        <v>1856</v>
      </c>
      <c r="E29" s="4">
        <v>2036</v>
      </c>
    </row>
    <row r="30" spans="1:5" ht="23.1" customHeight="1" x14ac:dyDescent="0.25">
      <c r="A30" s="27">
        <v>23</v>
      </c>
      <c r="B30" s="4" t="s">
        <v>911</v>
      </c>
      <c r="C30" s="4">
        <v>4192</v>
      </c>
      <c r="D30" s="4">
        <v>2086</v>
      </c>
      <c r="E30" s="4">
        <v>2106</v>
      </c>
    </row>
    <row r="31" spans="1:5" ht="23.1" customHeight="1" x14ac:dyDescent="0.25">
      <c r="A31" s="27"/>
      <c r="B31" s="4"/>
      <c r="C31" s="4"/>
      <c r="D31" s="4"/>
      <c r="E31" s="4"/>
    </row>
    <row r="32" spans="1:5" ht="23.1" customHeight="1" x14ac:dyDescent="0.25">
      <c r="A32" s="27"/>
      <c r="B32" s="15" t="s">
        <v>1032</v>
      </c>
      <c r="C32" s="15">
        <f>SUM(C33:C55)</f>
        <v>53491</v>
      </c>
      <c r="D32" s="15">
        <f t="shared" ref="D32:E32" si="2">SUM(D33:D55)</f>
        <v>26313</v>
      </c>
      <c r="E32" s="15">
        <f t="shared" si="2"/>
        <v>27178</v>
      </c>
    </row>
    <row r="33" spans="1:5" ht="23.1" customHeight="1" x14ac:dyDescent="0.25">
      <c r="A33" s="27">
        <v>1</v>
      </c>
      <c r="B33" s="4" t="s">
        <v>912</v>
      </c>
      <c r="C33" s="4">
        <v>1725</v>
      </c>
      <c r="D33" s="4">
        <v>856</v>
      </c>
      <c r="E33" s="4">
        <v>869</v>
      </c>
    </row>
    <row r="34" spans="1:5" ht="23.1" customHeight="1" x14ac:dyDescent="0.25">
      <c r="A34" s="27">
        <v>2</v>
      </c>
      <c r="B34" s="4" t="s">
        <v>913</v>
      </c>
      <c r="C34" s="4">
        <v>1911</v>
      </c>
      <c r="D34" s="4">
        <v>912</v>
      </c>
      <c r="E34" s="4">
        <v>999</v>
      </c>
    </row>
    <row r="35" spans="1:5" ht="23.1" customHeight="1" x14ac:dyDescent="0.25">
      <c r="A35" s="27">
        <v>3</v>
      </c>
      <c r="B35" s="4" t="s">
        <v>914</v>
      </c>
      <c r="C35" s="4">
        <v>1871</v>
      </c>
      <c r="D35" s="4">
        <v>913</v>
      </c>
      <c r="E35" s="4">
        <v>958</v>
      </c>
    </row>
    <row r="36" spans="1:5" ht="23.1" customHeight="1" x14ac:dyDescent="0.25">
      <c r="A36" s="27">
        <v>4</v>
      </c>
      <c r="B36" s="4" t="s">
        <v>915</v>
      </c>
      <c r="C36" s="4">
        <v>1474</v>
      </c>
      <c r="D36" s="4">
        <v>741</v>
      </c>
      <c r="E36" s="4">
        <v>733</v>
      </c>
    </row>
    <row r="37" spans="1:5" ht="23.1" customHeight="1" x14ac:dyDescent="0.25">
      <c r="A37" s="27">
        <v>5</v>
      </c>
      <c r="B37" s="4" t="s">
        <v>916</v>
      </c>
      <c r="C37" s="4">
        <v>2887</v>
      </c>
      <c r="D37" s="4">
        <v>1470</v>
      </c>
      <c r="E37" s="4">
        <v>1417</v>
      </c>
    </row>
    <row r="38" spans="1:5" ht="23.1" customHeight="1" x14ac:dyDescent="0.25">
      <c r="A38" s="27">
        <v>6</v>
      </c>
      <c r="B38" s="4" t="s">
        <v>917</v>
      </c>
      <c r="C38" s="4">
        <v>425</v>
      </c>
      <c r="D38" s="4">
        <v>199</v>
      </c>
      <c r="E38" s="4">
        <v>226</v>
      </c>
    </row>
    <row r="39" spans="1:5" ht="23.1" customHeight="1" x14ac:dyDescent="0.25">
      <c r="A39" s="27">
        <v>7</v>
      </c>
      <c r="B39" s="4" t="s">
        <v>918</v>
      </c>
      <c r="C39" s="4">
        <v>1152</v>
      </c>
      <c r="D39" s="4">
        <v>560</v>
      </c>
      <c r="E39" s="4">
        <v>592</v>
      </c>
    </row>
    <row r="40" spans="1:5" ht="23.1" customHeight="1" x14ac:dyDescent="0.25">
      <c r="A40" s="27">
        <v>8</v>
      </c>
      <c r="B40" s="4" t="s">
        <v>919</v>
      </c>
      <c r="C40" s="4">
        <v>3042</v>
      </c>
      <c r="D40" s="4">
        <v>1513</v>
      </c>
      <c r="E40" s="4">
        <v>1529</v>
      </c>
    </row>
    <row r="41" spans="1:5" ht="23.1" customHeight="1" x14ac:dyDescent="0.25">
      <c r="A41" s="27">
        <v>9</v>
      </c>
      <c r="B41" s="4" t="s">
        <v>920</v>
      </c>
      <c r="C41" s="4">
        <v>759</v>
      </c>
      <c r="D41" s="4">
        <v>389</v>
      </c>
      <c r="E41" s="4">
        <v>370</v>
      </c>
    </row>
    <row r="42" spans="1:5" ht="23.1" customHeight="1" x14ac:dyDescent="0.25">
      <c r="A42" s="27">
        <v>10</v>
      </c>
      <c r="B42" s="4" t="s">
        <v>921</v>
      </c>
      <c r="C42" s="4">
        <v>623</v>
      </c>
      <c r="D42" s="4">
        <v>312</v>
      </c>
      <c r="E42" s="4">
        <v>311</v>
      </c>
    </row>
    <row r="43" spans="1:5" ht="23.1" customHeight="1" x14ac:dyDescent="0.25">
      <c r="A43" s="27">
        <v>11</v>
      </c>
      <c r="B43" s="4" t="s">
        <v>922</v>
      </c>
      <c r="C43" s="4">
        <v>7240</v>
      </c>
      <c r="D43" s="4">
        <v>3536</v>
      </c>
      <c r="E43" s="4">
        <v>3704</v>
      </c>
    </row>
    <row r="44" spans="1:5" ht="23.1" customHeight="1" x14ac:dyDescent="0.25">
      <c r="A44" s="27">
        <v>12</v>
      </c>
      <c r="B44" s="4" t="s">
        <v>923</v>
      </c>
      <c r="C44" s="4">
        <v>1424</v>
      </c>
      <c r="D44" s="4">
        <v>708</v>
      </c>
      <c r="E44" s="4">
        <v>716</v>
      </c>
    </row>
    <row r="45" spans="1:5" ht="23.1" customHeight="1" x14ac:dyDescent="0.25">
      <c r="A45" s="27">
        <v>13</v>
      </c>
      <c r="B45" s="4" t="s">
        <v>207</v>
      </c>
      <c r="C45" s="4">
        <v>8342</v>
      </c>
      <c r="D45" s="4">
        <v>4152</v>
      </c>
      <c r="E45" s="4">
        <v>4190</v>
      </c>
    </row>
    <row r="46" spans="1:5" ht="23.1" customHeight="1" x14ac:dyDescent="0.25">
      <c r="A46" s="27">
        <v>14</v>
      </c>
      <c r="B46" s="4" t="s">
        <v>924</v>
      </c>
      <c r="C46" s="4">
        <v>1256</v>
      </c>
      <c r="D46" s="4">
        <v>620</v>
      </c>
      <c r="E46" s="4">
        <v>636</v>
      </c>
    </row>
    <row r="47" spans="1:5" ht="23.1" customHeight="1" x14ac:dyDescent="0.25">
      <c r="A47" s="27">
        <v>15</v>
      </c>
      <c r="B47" s="4" t="s">
        <v>925</v>
      </c>
      <c r="C47" s="4">
        <v>2365</v>
      </c>
      <c r="D47" s="4">
        <v>1145</v>
      </c>
      <c r="E47" s="4">
        <v>1220</v>
      </c>
    </row>
    <row r="48" spans="1:5" ht="23.1" customHeight="1" x14ac:dyDescent="0.25">
      <c r="A48" s="27">
        <v>16</v>
      </c>
      <c r="B48" s="4" t="s">
        <v>926</v>
      </c>
      <c r="C48" s="4">
        <v>848</v>
      </c>
      <c r="D48" s="4">
        <v>427</v>
      </c>
      <c r="E48" s="4">
        <v>421</v>
      </c>
    </row>
    <row r="49" spans="1:5" ht="23.1" customHeight="1" x14ac:dyDescent="0.25">
      <c r="A49" s="27">
        <v>17</v>
      </c>
      <c r="B49" s="4" t="s">
        <v>927</v>
      </c>
      <c r="C49" s="4">
        <v>5438</v>
      </c>
      <c r="D49" s="4">
        <v>2620</v>
      </c>
      <c r="E49" s="4">
        <v>2818</v>
      </c>
    </row>
    <row r="50" spans="1:5" ht="23.1" customHeight="1" x14ac:dyDescent="0.25">
      <c r="A50" s="27">
        <v>18</v>
      </c>
      <c r="B50" s="4" t="s">
        <v>928</v>
      </c>
      <c r="C50" s="4">
        <v>1410</v>
      </c>
      <c r="D50" s="4">
        <v>695</v>
      </c>
      <c r="E50" s="4">
        <v>715</v>
      </c>
    </row>
    <row r="51" spans="1:5" ht="23.1" customHeight="1" x14ac:dyDescent="0.25">
      <c r="A51" s="27">
        <v>19</v>
      </c>
      <c r="B51" s="4" t="s">
        <v>530</v>
      </c>
      <c r="C51" s="4">
        <v>1141</v>
      </c>
      <c r="D51" s="4">
        <v>557</v>
      </c>
      <c r="E51" s="4">
        <v>584</v>
      </c>
    </row>
    <row r="52" spans="1:5" ht="23.1" customHeight="1" x14ac:dyDescent="0.25">
      <c r="A52" s="27">
        <v>20</v>
      </c>
      <c r="B52" s="4" t="s">
        <v>840</v>
      </c>
      <c r="C52" s="4">
        <v>1858</v>
      </c>
      <c r="D52" s="4">
        <v>892</v>
      </c>
      <c r="E52" s="4">
        <v>966</v>
      </c>
    </row>
    <row r="53" spans="1:5" ht="23.1" customHeight="1" x14ac:dyDescent="0.25">
      <c r="A53" s="27">
        <v>21</v>
      </c>
      <c r="B53" s="4" t="s">
        <v>929</v>
      </c>
      <c r="C53" s="4">
        <v>2290</v>
      </c>
      <c r="D53" s="4">
        <v>1107</v>
      </c>
      <c r="E53" s="4">
        <v>1183</v>
      </c>
    </row>
    <row r="54" spans="1:5" ht="23.1" customHeight="1" x14ac:dyDescent="0.25">
      <c r="A54" s="27">
        <v>22</v>
      </c>
      <c r="B54" s="4" t="s">
        <v>930</v>
      </c>
      <c r="C54" s="4">
        <v>2337</v>
      </c>
      <c r="D54" s="4">
        <v>1172</v>
      </c>
      <c r="E54" s="4">
        <v>1165</v>
      </c>
    </row>
    <row r="55" spans="1:5" ht="23.1" customHeight="1" x14ac:dyDescent="0.25">
      <c r="A55" s="33">
        <v>23</v>
      </c>
      <c r="B55" s="10" t="s">
        <v>931</v>
      </c>
      <c r="C55" s="10">
        <v>1673</v>
      </c>
      <c r="D55" s="10">
        <v>817</v>
      </c>
      <c r="E55" s="10">
        <v>856</v>
      </c>
    </row>
    <row r="56" spans="1:5" ht="23.1" customHeight="1" x14ac:dyDescent="0.25"/>
    <row r="57" spans="1:5" ht="23.1" customHeight="1" x14ac:dyDescent="0.25"/>
    <row r="58" spans="1:5" ht="23.1" customHeight="1" x14ac:dyDescent="0.25"/>
    <row r="59" spans="1:5" ht="23.1" customHeight="1" x14ac:dyDescent="0.25"/>
    <row r="60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Dala Township"/>
  </hyperlinks>
  <pageMargins left="0.75" right="0.5" top="0.5" bottom="0.2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defaultRowHeight="15" x14ac:dyDescent="0.25"/>
  <cols>
    <col min="1" max="1" width="9.140625" style="28"/>
    <col min="2" max="2" width="28.42578125" style="29" bestFit="1" customWidth="1"/>
    <col min="3" max="5" width="15.7109375" style="28" customWidth="1"/>
  </cols>
  <sheetData>
    <row r="1" spans="1:5" ht="23.45" customHeight="1" x14ac:dyDescent="0.25">
      <c r="A1" s="80" t="s">
        <v>1074</v>
      </c>
      <c r="B1" s="80"/>
      <c r="C1" s="80"/>
      <c r="D1" s="80"/>
      <c r="E1" s="80"/>
    </row>
    <row r="2" spans="1:5" ht="23.45" customHeight="1" x14ac:dyDescent="0.25">
      <c r="E2" s="48" t="s">
        <v>1031</v>
      </c>
    </row>
    <row r="3" spans="1:5" ht="23.45" customHeight="1" x14ac:dyDescent="0.25">
      <c r="A3" s="84" t="s">
        <v>1029</v>
      </c>
      <c r="B3" s="84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4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70"/>
      <c r="B5" s="64" t="s">
        <v>0</v>
      </c>
      <c r="C5" s="71">
        <v>34003</v>
      </c>
      <c r="D5" s="71">
        <v>17068</v>
      </c>
      <c r="E5" s="71">
        <v>16935</v>
      </c>
    </row>
    <row r="6" spans="1:5" ht="23.1" customHeight="1" x14ac:dyDescent="0.25">
      <c r="A6" s="30"/>
      <c r="B6" s="31"/>
      <c r="C6" s="43"/>
      <c r="D6" s="43"/>
      <c r="E6" s="43"/>
    </row>
    <row r="7" spans="1:5" ht="23.1" customHeight="1" x14ac:dyDescent="0.25">
      <c r="A7" s="30"/>
      <c r="B7" s="24" t="s">
        <v>1028</v>
      </c>
      <c r="C7" s="39">
        <f>SUM(C8:C16)</f>
        <v>34003</v>
      </c>
      <c r="D7" s="39">
        <f t="shared" ref="D7:E7" si="0">SUM(D8:D16)</f>
        <v>17068</v>
      </c>
      <c r="E7" s="39">
        <f t="shared" si="0"/>
        <v>16935</v>
      </c>
    </row>
    <row r="8" spans="1:5" ht="23.1" customHeight="1" x14ac:dyDescent="0.25">
      <c r="A8" s="43">
        <v>1</v>
      </c>
      <c r="B8" s="31" t="s">
        <v>932</v>
      </c>
      <c r="C8" s="43">
        <v>7238</v>
      </c>
      <c r="D8" s="43">
        <v>3726</v>
      </c>
      <c r="E8" s="43">
        <v>3512</v>
      </c>
    </row>
    <row r="9" spans="1:5" ht="23.1" customHeight="1" x14ac:dyDescent="0.25">
      <c r="A9" s="43">
        <v>2</v>
      </c>
      <c r="B9" s="31" t="s">
        <v>933</v>
      </c>
      <c r="C9" s="43">
        <v>6252</v>
      </c>
      <c r="D9" s="43">
        <v>3103</v>
      </c>
      <c r="E9" s="43">
        <v>3149</v>
      </c>
    </row>
    <row r="10" spans="1:5" ht="23.1" customHeight="1" x14ac:dyDescent="0.25">
      <c r="A10" s="43">
        <v>3</v>
      </c>
      <c r="B10" s="31" t="s">
        <v>934</v>
      </c>
      <c r="C10" s="43">
        <v>7204</v>
      </c>
      <c r="D10" s="43">
        <v>3637</v>
      </c>
      <c r="E10" s="43">
        <v>3567</v>
      </c>
    </row>
    <row r="11" spans="1:5" ht="23.1" customHeight="1" x14ac:dyDescent="0.25">
      <c r="A11" s="43">
        <v>4</v>
      </c>
      <c r="B11" s="31" t="s">
        <v>935</v>
      </c>
      <c r="C11" s="43">
        <v>2780</v>
      </c>
      <c r="D11" s="43">
        <v>1387</v>
      </c>
      <c r="E11" s="43">
        <v>1393</v>
      </c>
    </row>
    <row r="12" spans="1:5" ht="23.1" customHeight="1" x14ac:dyDescent="0.25">
      <c r="A12" s="43">
        <v>5</v>
      </c>
      <c r="B12" s="31" t="s">
        <v>936</v>
      </c>
      <c r="C12" s="43">
        <v>2101</v>
      </c>
      <c r="D12" s="43">
        <v>1043</v>
      </c>
      <c r="E12" s="43">
        <v>1058</v>
      </c>
    </row>
    <row r="13" spans="1:5" ht="23.1" customHeight="1" x14ac:dyDescent="0.25">
      <c r="A13" s="43">
        <v>6</v>
      </c>
      <c r="B13" s="31" t="s">
        <v>937</v>
      </c>
      <c r="C13" s="43">
        <v>1618</v>
      </c>
      <c r="D13" s="43">
        <v>784</v>
      </c>
      <c r="E13" s="43">
        <v>834</v>
      </c>
    </row>
    <row r="14" spans="1:5" ht="23.1" customHeight="1" x14ac:dyDescent="0.25">
      <c r="A14" s="43">
        <v>7</v>
      </c>
      <c r="B14" s="31" t="s">
        <v>938</v>
      </c>
      <c r="C14" s="43">
        <v>4176</v>
      </c>
      <c r="D14" s="43">
        <v>2082</v>
      </c>
      <c r="E14" s="43">
        <v>2094</v>
      </c>
    </row>
    <row r="15" spans="1:5" ht="23.1" customHeight="1" x14ac:dyDescent="0.25">
      <c r="A15" s="43">
        <v>8</v>
      </c>
      <c r="B15" s="31" t="s">
        <v>939</v>
      </c>
      <c r="C15" s="43">
        <v>1245</v>
      </c>
      <c r="D15" s="43">
        <v>596</v>
      </c>
      <c r="E15" s="43">
        <v>649</v>
      </c>
    </row>
    <row r="16" spans="1:5" ht="23.1" customHeight="1" x14ac:dyDescent="0.25">
      <c r="A16" s="44">
        <v>9</v>
      </c>
      <c r="B16" s="32" t="s">
        <v>940</v>
      </c>
      <c r="C16" s="44">
        <v>1389</v>
      </c>
      <c r="D16" s="44">
        <v>710</v>
      </c>
      <c r="E16" s="44">
        <v>679</v>
      </c>
    </row>
    <row r="17" ht="23.1" customHeight="1" x14ac:dyDescent="0.25"/>
    <row r="18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Seikkyi/ Khanaungto Township"/>
  </hyperlinks>
  <pageMargins left="0.75" right="0.5" top="0.5" bottom="0.2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"/>
    </sheetView>
  </sheetViews>
  <sheetFormatPr defaultRowHeight="15" x14ac:dyDescent="0.25"/>
  <cols>
    <col min="1" max="1" width="7" style="28" customWidth="1"/>
    <col min="2" max="2" width="21.140625" customWidth="1"/>
    <col min="3" max="5" width="15.7109375" customWidth="1"/>
  </cols>
  <sheetData>
    <row r="1" spans="1:5" ht="23.45" customHeight="1" x14ac:dyDescent="0.25">
      <c r="A1" s="80" t="s">
        <v>1075</v>
      </c>
      <c r="B1" s="80"/>
      <c r="C1" s="80"/>
      <c r="D1" s="80"/>
      <c r="E1" s="80"/>
    </row>
    <row r="2" spans="1:5" ht="23.45" customHeight="1" x14ac:dyDescent="0.25">
      <c r="E2" s="47" t="s">
        <v>1031</v>
      </c>
    </row>
    <row r="3" spans="1:5" ht="23.45" customHeight="1" x14ac:dyDescent="0.25">
      <c r="A3" s="85" t="s">
        <v>1029</v>
      </c>
      <c r="B3" s="87" t="s">
        <v>1090</v>
      </c>
      <c r="C3" s="85" t="s">
        <v>1030</v>
      </c>
      <c r="D3" s="85"/>
      <c r="E3" s="85"/>
    </row>
    <row r="4" spans="1:5" ht="23.45" customHeight="1" x14ac:dyDescent="0.25">
      <c r="A4" s="85"/>
      <c r="B4" s="87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70"/>
      <c r="B5" s="57" t="s">
        <v>0</v>
      </c>
      <c r="C5" s="57">
        <v>1940</v>
      </c>
      <c r="D5" s="57">
        <v>1294</v>
      </c>
      <c r="E5" s="57">
        <v>646</v>
      </c>
    </row>
    <row r="6" spans="1:5" ht="23.1" customHeight="1" x14ac:dyDescent="0.25">
      <c r="A6" s="30"/>
      <c r="B6" s="4"/>
      <c r="C6" s="4"/>
      <c r="D6" s="4"/>
      <c r="E6" s="4"/>
    </row>
    <row r="7" spans="1:5" ht="23.1" customHeight="1" x14ac:dyDescent="0.25">
      <c r="A7" s="30"/>
      <c r="B7" s="15" t="s">
        <v>1028</v>
      </c>
      <c r="C7" s="15">
        <f>SUM(C8:C9)</f>
        <v>1940</v>
      </c>
      <c r="D7" s="15">
        <f t="shared" ref="D7:E7" si="0">SUM(D8:D9)</f>
        <v>1294</v>
      </c>
      <c r="E7" s="15">
        <f t="shared" si="0"/>
        <v>646</v>
      </c>
    </row>
    <row r="8" spans="1:5" ht="23.1" customHeight="1" x14ac:dyDescent="0.25">
      <c r="A8" s="43">
        <v>1</v>
      </c>
      <c r="B8" s="4" t="s">
        <v>56</v>
      </c>
      <c r="C8" s="4">
        <v>1552</v>
      </c>
      <c r="D8" s="4">
        <v>1093</v>
      </c>
      <c r="E8" s="4">
        <v>459</v>
      </c>
    </row>
    <row r="9" spans="1:5" ht="23.1" customHeight="1" x14ac:dyDescent="0.25">
      <c r="A9" s="44">
        <v>2</v>
      </c>
      <c r="B9" s="10" t="s">
        <v>57</v>
      </c>
      <c r="C9" s="10">
        <v>388</v>
      </c>
      <c r="D9" s="10">
        <v>201</v>
      </c>
      <c r="E9" s="10">
        <v>187</v>
      </c>
    </row>
    <row r="10" spans="1:5" ht="23.45" customHeight="1" x14ac:dyDescent="0.25"/>
    <row r="11" spans="1:5" ht="23.45" customHeight="1" x14ac:dyDescent="0.25"/>
    <row r="12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Cocogyun Township"/>
  </hyperlinks>
  <pageMargins left="0.75" right="0.5" top="0.5" bottom="0.2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5" x14ac:dyDescent="0.25"/>
  <cols>
    <col min="1" max="1" width="9.140625" style="26"/>
    <col min="2" max="2" width="21.42578125" style="29" customWidth="1"/>
    <col min="3" max="5" width="15.7109375" customWidth="1"/>
  </cols>
  <sheetData>
    <row r="1" spans="1:5" ht="23.45" customHeight="1" x14ac:dyDescent="0.25">
      <c r="A1" s="80" t="s">
        <v>1076</v>
      </c>
      <c r="B1" s="80"/>
      <c r="C1" s="80"/>
      <c r="D1" s="80"/>
      <c r="E1" s="80"/>
    </row>
    <row r="2" spans="1:5" ht="23.45" customHeight="1" x14ac:dyDescent="0.25">
      <c r="E2" s="47" t="s">
        <v>1031</v>
      </c>
    </row>
    <row r="3" spans="1:5" ht="23.45" customHeight="1" x14ac:dyDescent="0.25">
      <c r="A3" s="84" t="s">
        <v>1029</v>
      </c>
      <c r="B3" s="87" t="s">
        <v>1090</v>
      </c>
      <c r="C3" s="85" t="s">
        <v>1030</v>
      </c>
      <c r="D3" s="85"/>
      <c r="E3" s="85"/>
    </row>
    <row r="4" spans="1:5" ht="23.45" customHeight="1" x14ac:dyDescent="0.25">
      <c r="A4" s="84"/>
      <c r="B4" s="87"/>
      <c r="C4" s="58" t="s">
        <v>0</v>
      </c>
      <c r="D4" s="58" t="s">
        <v>1</v>
      </c>
      <c r="E4" s="58" t="s">
        <v>2</v>
      </c>
    </row>
    <row r="5" spans="1:5" ht="23.1" customHeight="1" x14ac:dyDescent="0.25">
      <c r="A5" s="69"/>
      <c r="B5" s="64" t="s">
        <v>0</v>
      </c>
      <c r="C5" s="57">
        <f>C7+C13</f>
        <v>34683</v>
      </c>
      <c r="D5" s="57">
        <f>D7+D13</f>
        <v>17078</v>
      </c>
      <c r="E5" s="57">
        <f t="shared" ref="E5" si="0">E7+E13</f>
        <v>17605</v>
      </c>
    </row>
    <row r="6" spans="1:5" ht="23.1" customHeight="1" x14ac:dyDescent="0.25">
      <c r="A6" s="27"/>
      <c r="B6" s="31"/>
      <c r="C6" s="4"/>
      <c r="D6" s="4"/>
      <c r="E6" s="4"/>
    </row>
    <row r="7" spans="1:5" ht="23.1" customHeight="1" x14ac:dyDescent="0.25">
      <c r="A7" s="27"/>
      <c r="B7" s="24" t="s">
        <v>1028</v>
      </c>
      <c r="C7" s="15">
        <f>SUM(C8:C11)</f>
        <v>8834</v>
      </c>
      <c r="D7" s="15">
        <f t="shared" ref="D7:E7" si="1">SUM(D8:D11)</f>
        <v>4302</v>
      </c>
      <c r="E7" s="15">
        <f t="shared" si="1"/>
        <v>4532</v>
      </c>
    </row>
    <row r="8" spans="1:5" ht="23.1" customHeight="1" x14ac:dyDescent="0.25">
      <c r="A8" s="45">
        <v>1</v>
      </c>
      <c r="B8" s="31" t="s">
        <v>56</v>
      </c>
      <c r="C8" s="4">
        <v>2009</v>
      </c>
      <c r="D8" s="4">
        <v>986</v>
      </c>
      <c r="E8" s="4">
        <v>1023</v>
      </c>
    </row>
    <row r="9" spans="1:5" ht="23.1" customHeight="1" x14ac:dyDescent="0.25">
      <c r="A9" s="45">
        <v>2</v>
      </c>
      <c r="B9" s="31" t="s">
        <v>57</v>
      </c>
      <c r="C9" s="4">
        <v>2813</v>
      </c>
      <c r="D9" s="4">
        <v>1340</v>
      </c>
      <c r="E9" s="4">
        <v>1473</v>
      </c>
    </row>
    <row r="10" spans="1:5" ht="23.1" customHeight="1" x14ac:dyDescent="0.25">
      <c r="A10" s="45">
        <v>3</v>
      </c>
      <c r="B10" s="31" t="s">
        <v>58</v>
      </c>
      <c r="C10" s="4">
        <v>1790</v>
      </c>
      <c r="D10" s="4">
        <v>880</v>
      </c>
      <c r="E10" s="4">
        <v>910</v>
      </c>
    </row>
    <row r="11" spans="1:5" ht="23.1" customHeight="1" x14ac:dyDescent="0.25">
      <c r="A11" s="45">
        <v>4</v>
      </c>
      <c r="B11" s="31" t="s">
        <v>59</v>
      </c>
      <c r="C11" s="4">
        <v>2222</v>
      </c>
      <c r="D11" s="4">
        <v>1096</v>
      </c>
      <c r="E11" s="4">
        <v>1126</v>
      </c>
    </row>
    <row r="12" spans="1:5" ht="23.1" customHeight="1" x14ac:dyDescent="0.25">
      <c r="A12" s="45"/>
      <c r="B12" s="31"/>
      <c r="C12" s="4"/>
      <c r="D12" s="4"/>
      <c r="E12" s="4"/>
    </row>
    <row r="13" spans="1:5" ht="23.1" customHeight="1" x14ac:dyDescent="0.25">
      <c r="A13" s="45"/>
      <c r="B13" s="24" t="s">
        <v>1032</v>
      </c>
      <c r="C13" s="15">
        <f>SUM(C14:C25)</f>
        <v>25849</v>
      </c>
      <c r="D13" s="15">
        <f t="shared" ref="D13:E13" si="2">SUM(D14:D25)</f>
        <v>12776</v>
      </c>
      <c r="E13" s="15">
        <f t="shared" si="2"/>
        <v>13073</v>
      </c>
    </row>
    <row r="14" spans="1:5" ht="23.1" customHeight="1" x14ac:dyDescent="0.25">
      <c r="A14" s="45">
        <v>1</v>
      </c>
      <c r="B14" s="31" t="s">
        <v>941</v>
      </c>
      <c r="C14" s="4">
        <v>1582</v>
      </c>
      <c r="D14" s="4">
        <v>798</v>
      </c>
      <c r="E14" s="4">
        <v>784</v>
      </c>
    </row>
    <row r="15" spans="1:5" ht="23.1" customHeight="1" x14ac:dyDescent="0.25">
      <c r="A15" s="45">
        <v>2</v>
      </c>
      <c r="B15" s="31" t="s">
        <v>942</v>
      </c>
      <c r="C15" s="4">
        <v>874</v>
      </c>
      <c r="D15" s="4">
        <v>431</v>
      </c>
      <c r="E15" s="4">
        <v>443</v>
      </c>
    </row>
    <row r="16" spans="1:5" ht="23.1" customHeight="1" x14ac:dyDescent="0.25">
      <c r="A16" s="45">
        <v>3</v>
      </c>
      <c r="B16" s="31" t="s">
        <v>943</v>
      </c>
      <c r="C16" s="4">
        <v>2186</v>
      </c>
      <c r="D16" s="4">
        <v>1060</v>
      </c>
      <c r="E16" s="4">
        <v>1126</v>
      </c>
    </row>
    <row r="17" spans="1:5" ht="23.1" customHeight="1" x14ac:dyDescent="0.25">
      <c r="A17" s="45">
        <v>4</v>
      </c>
      <c r="B17" s="31" t="s">
        <v>647</v>
      </c>
      <c r="C17" s="4">
        <v>1685</v>
      </c>
      <c r="D17" s="4">
        <v>803</v>
      </c>
      <c r="E17" s="4">
        <v>882</v>
      </c>
    </row>
    <row r="18" spans="1:5" ht="23.1" customHeight="1" x14ac:dyDescent="0.25">
      <c r="A18" s="45">
        <v>5</v>
      </c>
      <c r="B18" s="31" t="s">
        <v>944</v>
      </c>
      <c r="C18" s="4">
        <v>1953</v>
      </c>
      <c r="D18" s="4">
        <v>945</v>
      </c>
      <c r="E18" s="4">
        <v>1008</v>
      </c>
    </row>
    <row r="19" spans="1:5" ht="23.1" customHeight="1" x14ac:dyDescent="0.25">
      <c r="A19" s="45">
        <v>6</v>
      </c>
      <c r="B19" s="31" t="s">
        <v>945</v>
      </c>
      <c r="C19" s="4">
        <v>2979</v>
      </c>
      <c r="D19" s="4">
        <v>1432</v>
      </c>
      <c r="E19" s="4">
        <v>1547</v>
      </c>
    </row>
    <row r="20" spans="1:5" ht="23.1" customHeight="1" x14ac:dyDescent="0.25">
      <c r="A20" s="45">
        <v>7</v>
      </c>
      <c r="B20" s="31" t="s">
        <v>946</v>
      </c>
      <c r="C20" s="4">
        <v>3770</v>
      </c>
      <c r="D20" s="4">
        <v>1775</v>
      </c>
      <c r="E20" s="4">
        <v>1995</v>
      </c>
    </row>
    <row r="21" spans="1:5" ht="23.1" customHeight="1" x14ac:dyDescent="0.25">
      <c r="A21" s="45">
        <v>8</v>
      </c>
      <c r="B21" s="31" t="s">
        <v>947</v>
      </c>
      <c r="C21" s="4">
        <v>2495</v>
      </c>
      <c r="D21" s="4">
        <v>1210</v>
      </c>
      <c r="E21" s="4">
        <v>1285</v>
      </c>
    </row>
    <row r="22" spans="1:5" ht="23.1" customHeight="1" x14ac:dyDescent="0.25">
      <c r="A22" s="45">
        <v>9</v>
      </c>
      <c r="B22" s="31" t="s">
        <v>317</v>
      </c>
      <c r="C22" s="4">
        <v>2541</v>
      </c>
      <c r="D22" s="4">
        <v>1228</v>
      </c>
      <c r="E22" s="4">
        <v>1313</v>
      </c>
    </row>
    <row r="23" spans="1:5" ht="23.1" customHeight="1" x14ac:dyDescent="0.25">
      <c r="A23" s="45">
        <v>10</v>
      </c>
      <c r="B23" s="31" t="s">
        <v>948</v>
      </c>
      <c r="C23" s="4">
        <v>1155</v>
      </c>
      <c r="D23" s="4">
        <v>591</v>
      </c>
      <c r="E23" s="4">
        <v>564</v>
      </c>
    </row>
    <row r="24" spans="1:5" ht="23.1" customHeight="1" x14ac:dyDescent="0.25">
      <c r="A24" s="45">
        <v>11</v>
      </c>
      <c r="B24" s="31" t="s">
        <v>949</v>
      </c>
      <c r="C24" s="4">
        <v>2752</v>
      </c>
      <c r="D24" s="4">
        <v>1380</v>
      </c>
      <c r="E24" s="4">
        <v>1372</v>
      </c>
    </row>
    <row r="25" spans="1:5" ht="23.1" customHeight="1" x14ac:dyDescent="0.25">
      <c r="A25" s="46">
        <v>12</v>
      </c>
      <c r="B25" s="32" t="s">
        <v>725</v>
      </c>
      <c r="C25" s="10">
        <v>1877</v>
      </c>
      <c r="D25" s="10">
        <v>1123</v>
      </c>
      <c r="E25" s="10">
        <v>754</v>
      </c>
    </row>
    <row r="26" spans="1:5" ht="23.1" customHeight="1" x14ac:dyDescent="0.25"/>
    <row r="27" spans="1:5" ht="23.1" customHeight="1" x14ac:dyDescent="0.25"/>
    <row r="28" spans="1:5" ht="23.1" customHeight="1" x14ac:dyDescent="0.25"/>
    <row r="29" spans="1:5" ht="23.1" customHeight="1" x14ac:dyDescent="0.25"/>
    <row r="30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South District, Tada (Sub- Township)"/>
  </hyperlinks>
  <pageMargins left="0.75" right="0.5" top="0.5" bottom="0.2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1" max="1" width="7" customWidth="1"/>
    <col min="2" max="2" width="22.5703125" customWidth="1"/>
    <col min="3" max="5" width="15.7109375" customWidth="1"/>
  </cols>
  <sheetData>
    <row r="1" spans="1:5" s="6" customFormat="1" ht="23.45" customHeight="1" x14ac:dyDescent="0.4">
      <c r="A1" s="80" t="s">
        <v>1077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7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7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6"/>
      <c r="B5" s="57" t="s">
        <v>0</v>
      </c>
      <c r="C5" s="57">
        <v>29853</v>
      </c>
      <c r="D5" s="57">
        <v>13777</v>
      </c>
      <c r="E5" s="57">
        <v>16076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SUM(C8:C16)</f>
        <v>29853</v>
      </c>
      <c r="D7" s="15">
        <f t="shared" ref="D7:E7" si="0">SUM(D8:D16)</f>
        <v>13777</v>
      </c>
      <c r="E7" s="15">
        <f t="shared" si="0"/>
        <v>16076</v>
      </c>
    </row>
    <row r="8" spans="1:5" ht="23.1" customHeight="1" x14ac:dyDescent="0.25">
      <c r="A8" s="4">
        <v>1</v>
      </c>
      <c r="B8" s="4" t="s">
        <v>56</v>
      </c>
      <c r="C8" s="4">
        <v>2773</v>
      </c>
      <c r="D8" s="4">
        <v>1371</v>
      </c>
      <c r="E8" s="4">
        <v>1402</v>
      </c>
    </row>
    <row r="9" spans="1:5" ht="23.1" customHeight="1" x14ac:dyDescent="0.25">
      <c r="A9" s="4">
        <v>2</v>
      </c>
      <c r="B9" s="4" t="s">
        <v>57</v>
      </c>
      <c r="C9" s="4">
        <v>3494</v>
      </c>
      <c r="D9" s="4">
        <v>1748</v>
      </c>
      <c r="E9" s="4">
        <v>1746</v>
      </c>
    </row>
    <row r="10" spans="1:5" ht="23.1" customHeight="1" x14ac:dyDescent="0.25">
      <c r="A10" s="4">
        <v>3</v>
      </c>
      <c r="B10" s="4" t="s">
        <v>58</v>
      </c>
      <c r="C10" s="4">
        <v>3429</v>
      </c>
      <c r="D10" s="4">
        <v>1537</v>
      </c>
      <c r="E10" s="4">
        <v>1892</v>
      </c>
    </row>
    <row r="11" spans="1:5" ht="23.1" customHeight="1" x14ac:dyDescent="0.25">
      <c r="A11" s="4">
        <v>4</v>
      </c>
      <c r="B11" s="4" t="s">
        <v>59</v>
      </c>
      <c r="C11" s="4">
        <v>1601</v>
      </c>
      <c r="D11" s="4">
        <v>792</v>
      </c>
      <c r="E11" s="4">
        <v>809</v>
      </c>
    </row>
    <row r="12" spans="1:5" ht="23.1" customHeight="1" x14ac:dyDescent="0.25">
      <c r="A12" s="4">
        <v>5</v>
      </c>
      <c r="B12" s="4" t="s">
        <v>242</v>
      </c>
      <c r="C12" s="4">
        <v>2666</v>
      </c>
      <c r="D12" s="4">
        <v>1249</v>
      </c>
      <c r="E12" s="4">
        <v>1417</v>
      </c>
    </row>
    <row r="13" spans="1:5" ht="23.1" customHeight="1" x14ac:dyDescent="0.25">
      <c r="A13" s="4">
        <v>6</v>
      </c>
      <c r="B13" s="4" t="s">
        <v>294</v>
      </c>
      <c r="C13" s="4">
        <v>3293</v>
      </c>
      <c r="D13" s="4">
        <v>1507</v>
      </c>
      <c r="E13" s="4">
        <v>1786</v>
      </c>
    </row>
    <row r="14" spans="1:5" ht="23.1" customHeight="1" x14ac:dyDescent="0.25">
      <c r="A14" s="4">
        <v>7</v>
      </c>
      <c r="B14" s="4" t="s">
        <v>295</v>
      </c>
      <c r="C14" s="4">
        <v>3645</v>
      </c>
      <c r="D14" s="4">
        <v>1697</v>
      </c>
      <c r="E14" s="4">
        <v>1948</v>
      </c>
    </row>
    <row r="15" spans="1:5" ht="23.1" customHeight="1" x14ac:dyDescent="0.25">
      <c r="A15" s="4">
        <v>8</v>
      </c>
      <c r="B15" s="4" t="s">
        <v>296</v>
      </c>
      <c r="C15" s="4">
        <v>4057</v>
      </c>
      <c r="D15" s="4">
        <v>1792</v>
      </c>
      <c r="E15" s="4">
        <v>2265</v>
      </c>
    </row>
    <row r="16" spans="1:5" ht="23.1" customHeight="1" x14ac:dyDescent="0.25">
      <c r="A16" s="10">
        <v>9</v>
      </c>
      <c r="B16" s="10" t="s">
        <v>297</v>
      </c>
      <c r="C16" s="10">
        <v>4895</v>
      </c>
      <c r="D16" s="10">
        <v>2084</v>
      </c>
      <c r="E16" s="10">
        <v>2811</v>
      </c>
    </row>
    <row r="17" ht="23.45" customHeight="1" x14ac:dyDescent="0.25"/>
    <row r="18" ht="23.45" customHeight="1" x14ac:dyDescent="0.25"/>
    <row r="19" ht="23.45" customHeight="1" x14ac:dyDescent="0.25"/>
    <row r="20" ht="23.45" customHeight="1" x14ac:dyDescent="0.25"/>
    <row r="21" ht="23.45" customHeight="1" x14ac:dyDescent="0.25"/>
    <row r="22" ht="23.45" customHeight="1" x14ac:dyDescent="0.25"/>
    <row r="23" ht="23.45" customHeight="1" x14ac:dyDescent="0.25"/>
    <row r="24" ht="23.45" customHeight="1" x14ac:dyDescent="0.25"/>
    <row r="25" ht="23.45" customHeight="1" x14ac:dyDescent="0.25"/>
    <row r="26" ht="23.45" customHeight="1" x14ac:dyDescent="0.25"/>
    <row r="27" ht="23.45" customHeight="1" x14ac:dyDescent="0.25"/>
    <row r="28" ht="23.45" customHeight="1" x14ac:dyDescent="0.25"/>
    <row r="29" ht="23.45" customHeight="1" x14ac:dyDescent="0.25"/>
    <row r="30" ht="23.45" customHeight="1" x14ac:dyDescent="0.25"/>
    <row r="31" ht="23.45" customHeight="1" x14ac:dyDescent="0.25"/>
    <row r="32" ht="23.45" customHeight="1" x14ac:dyDescent="0.25"/>
    <row r="33" ht="23.45" customHeight="1" x14ac:dyDescent="0.25"/>
    <row r="34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KyauktadaTownship"/>
  </hyperlinks>
  <pageMargins left="0.75" right="0.5" top="0.5" bottom="0.2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defaultRowHeight="15" x14ac:dyDescent="0.25"/>
  <cols>
    <col min="2" max="2" width="20.5703125" bestFit="1" customWidth="1"/>
    <col min="3" max="5" width="15.7109375" customWidth="1"/>
  </cols>
  <sheetData>
    <row r="1" spans="1:5" s="6" customFormat="1" ht="23.45" customHeight="1" x14ac:dyDescent="0.4">
      <c r="A1" s="80" t="s">
        <v>1078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7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7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33336</v>
      </c>
      <c r="D5" s="57">
        <v>15171</v>
      </c>
      <c r="E5" s="57">
        <v>18165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SUM(C8:C18)</f>
        <v>33336</v>
      </c>
      <c r="D7" s="15">
        <f>SUM(D8:D18)</f>
        <v>15171</v>
      </c>
      <c r="E7" s="15">
        <f t="shared" ref="E7" si="0">SUM(E8:E18)</f>
        <v>18165</v>
      </c>
    </row>
    <row r="8" spans="1:5" ht="23.1" customHeight="1" x14ac:dyDescent="0.25">
      <c r="A8" s="4">
        <v>1</v>
      </c>
      <c r="B8" s="4" t="s">
        <v>56</v>
      </c>
      <c r="C8" s="4">
        <v>2834</v>
      </c>
      <c r="D8" s="4">
        <v>1210</v>
      </c>
      <c r="E8" s="4">
        <v>1624</v>
      </c>
    </row>
    <row r="9" spans="1:5" ht="23.1" customHeight="1" x14ac:dyDescent="0.25">
      <c r="A9" s="4">
        <v>2</v>
      </c>
      <c r="B9" s="4" t="s">
        <v>57</v>
      </c>
      <c r="C9" s="4">
        <v>2680</v>
      </c>
      <c r="D9" s="4">
        <v>1193</v>
      </c>
      <c r="E9" s="4">
        <v>1487</v>
      </c>
    </row>
    <row r="10" spans="1:5" ht="23.1" customHeight="1" x14ac:dyDescent="0.25">
      <c r="A10" s="4">
        <v>3</v>
      </c>
      <c r="B10" s="4" t="s">
        <v>58</v>
      </c>
      <c r="C10" s="4">
        <v>3783</v>
      </c>
      <c r="D10" s="4">
        <v>1717</v>
      </c>
      <c r="E10" s="4">
        <v>2066</v>
      </c>
    </row>
    <row r="11" spans="1:5" ht="23.1" customHeight="1" x14ac:dyDescent="0.25">
      <c r="A11" s="4">
        <v>4</v>
      </c>
      <c r="B11" s="4" t="s">
        <v>59</v>
      </c>
      <c r="C11" s="4">
        <v>3312</v>
      </c>
      <c r="D11" s="4">
        <v>1420</v>
      </c>
      <c r="E11" s="4">
        <v>1892</v>
      </c>
    </row>
    <row r="12" spans="1:5" ht="23.1" customHeight="1" x14ac:dyDescent="0.25">
      <c r="A12" s="4">
        <v>5</v>
      </c>
      <c r="B12" s="4" t="s">
        <v>242</v>
      </c>
      <c r="C12" s="4">
        <v>2820</v>
      </c>
      <c r="D12" s="4">
        <v>1214</v>
      </c>
      <c r="E12" s="4">
        <v>1606</v>
      </c>
    </row>
    <row r="13" spans="1:5" ht="23.1" customHeight="1" x14ac:dyDescent="0.25">
      <c r="A13" s="4">
        <v>6</v>
      </c>
      <c r="B13" s="4" t="s">
        <v>294</v>
      </c>
      <c r="C13" s="4">
        <v>2971</v>
      </c>
      <c r="D13" s="4">
        <v>1450</v>
      </c>
      <c r="E13" s="4">
        <v>1521</v>
      </c>
    </row>
    <row r="14" spans="1:5" ht="23.1" customHeight="1" x14ac:dyDescent="0.25">
      <c r="A14" s="4">
        <v>7</v>
      </c>
      <c r="B14" s="4" t="s">
        <v>295</v>
      </c>
      <c r="C14" s="4">
        <v>4207</v>
      </c>
      <c r="D14" s="4">
        <v>1980</v>
      </c>
      <c r="E14" s="4">
        <v>2227</v>
      </c>
    </row>
    <row r="15" spans="1:5" ht="23.1" customHeight="1" x14ac:dyDescent="0.25">
      <c r="A15" s="4">
        <v>8</v>
      </c>
      <c r="B15" s="4" t="s">
        <v>296</v>
      </c>
      <c r="C15" s="4">
        <v>3944</v>
      </c>
      <c r="D15" s="4">
        <v>1825</v>
      </c>
      <c r="E15" s="4">
        <v>2119</v>
      </c>
    </row>
    <row r="16" spans="1:5" ht="23.1" customHeight="1" x14ac:dyDescent="0.25">
      <c r="A16" s="4">
        <v>9</v>
      </c>
      <c r="B16" s="4" t="s">
        <v>297</v>
      </c>
      <c r="C16" s="4">
        <v>1688</v>
      </c>
      <c r="D16" s="4">
        <v>790</v>
      </c>
      <c r="E16" s="4">
        <v>898</v>
      </c>
    </row>
    <row r="17" spans="1:5" ht="23.1" customHeight="1" x14ac:dyDescent="0.25">
      <c r="A17" s="4">
        <v>10</v>
      </c>
      <c r="B17" s="4" t="s">
        <v>298</v>
      </c>
      <c r="C17" s="4">
        <v>2599</v>
      </c>
      <c r="D17" s="4">
        <v>1161</v>
      </c>
      <c r="E17" s="4">
        <v>1438</v>
      </c>
    </row>
    <row r="18" spans="1:5" ht="23.1" customHeight="1" x14ac:dyDescent="0.25">
      <c r="A18" s="10">
        <v>11</v>
      </c>
      <c r="B18" s="10" t="s">
        <v>299</v>
      </c>
      <c r="C18" s="10">
        <v>2498</v>
      </c>
      <c r="D18" s="10">
        <v>1211</v>
      </c>
      <c r="E18" s="10">
        <v>1287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 Pabedan Township"/>
  </hyperlinks>
  <pageMargins left="0.75" right="0.5" top="0.5" bottom="0.2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E1"/>
    </sheetView>
  </sheetViews>
  <sheetFormatPr defaultRowHeight="15" x14ac:dyDescent="0.25"/>
  <cols>
    <col min="2" max="2" width="20" customWidth="1"/>
    <col min="3" max="5" width="15.7109375" customWidth="1"/>
  </cols>
  <sheetData>
    <row r="1" spans="1:5" s="6" customFormat="1" ht="23.45" customHeight="1" x14ac:dyDescent="0.4">
      <c r="A1" s="80" t="s">
        <v>1079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7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7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47160</v>
      </c>
      <c r="D5" s="57">
        <v>20180</v>
      </c>
      <c r="E5" s="57">
        <v>26980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SUM(C8:C19)</f>
        <v>47160</v>
      </c>
      <c r="D7" s="15">
        <f t="shared" ref="D7:E7" si="0">SUM(D8:D19)</f>
        <v>20180</v>
      </c>
      <c r="E7" s="15">
        <f t="shared" si="0"/>
        <v>26980</v>
      </c>
    </row>
    <row r="8" spans="1:5" ht="23.1" customHeight="1" x14ac:dyDescent="0.25">
      <c r="A8" s="4">
        <v>1</v>
      </c>
      <c r="B8" s="4" t="s">
        <v>56</v>
      </c>
      <c r="C8" s="4">
        <v>4059</v>
      </c>
      <c r="D8" s="4">
        <v>1775</v>
      </c>
      <c r="E8" s="4">
        <v>2284</v>
      </c>
    </row>
    <row r="9" spans="1:5" ht="23.1" customHeight="1" x14ac:dyDescent="0.25">
      <c r="A9" s="4">
        <v>2</v>
      </c>
      <c r="B9" s="4" t="s">
        <v>57</v>
      </c>
      <c r="C9" s="4">
        <v>4962</v>
      </c>
      <c r="D9" s="4">
        <v>1985</v>
      </c>
      <c r="E9" s="4">
        <v>2977</v>
      </c>
    </row>
    <row r="10" spans="1:5" ht="23.1" customHeight="1" x14ac:dyDescent="0.25">
      <c r="A10" s="4">
        <v>3</v>
      </c>
      <c r="B10" s="4" t="s">
        <v>58</v>
      </c>
      <c r="C10" s="4">
        <v>4082</v>
      </c>
      <c r="D10" s="4">
        <v>1708</v>
      </c>
      <c r="E10" s="4">
        <v>2374</v>
      </c>
    </row>
    <row r="11" spans="1:5" ht="23.1" customHeight="1" x14ac:dyDescent="0.25">
      <c r="A11" s="4">
        <v>4</v>
      </c>
      <c r="B11" s="4" t="s">
        <v>59</v>
      </c>
      <c r="C11" s="4">
        <v>4156</v>
      </c>
      <c r="D11" s="4">
        <v>1629</v>
      </c>
      <c r="E11" s="4">
        <v>2527</v>
      </c>
    </row>
    <row r="12" spans="1:5" ht="23.1" customHeight="1" x14ac:dyDescent="0.25">
      <c r="A12" s="4">
        <v>5</v>
      </c>
      <c r="B12" s="4" t="s">
        <v>242</v>
      </c>
      <c r="C12" s="4">
        <v>4199</v>
      </c>
      <c r="D12" s="4">
        <v>1766</v>
      </c>
      <c r="E12" s="4">
        <v>2433</v>
      </c>
    </row>
    <row r="13" spans="1:5" ht="23.1" customHeight="1" x14ac:dyDescent="0.25">
      <c r="A13" s="4">
        <v>6</v>
      </c>
      <c r="B13" s="4" t="s">
        <v>294</v>
      </c>
      <c r="C13" s="4">
        <v>5549</v>
      </c>
      <c r="D13" s="4">
        <v>2272</v>
      </c>
      <c r="E13" s="4">
        <v>3277</v>
      </c>
    </row>
    <row r="14" spans="1:5" ht="23.1" customHeight="1" x14ac:dyDescent="0.25">
      <c r="A14" s="4">
        <v>7</v>
      </c>
      <c r="B14" s="4" t="s">
        <v>295</v>
      </c>
      <c r="C14" s="4">
        <v>7626</v>
      </c>
      <c r="D14" s="4">
        <v>3149</v>
      </c>
      <c r="E14" s="4">
        <v>4477</v>
      </c>
    </row>
    <row r="15" spans="1:5" ht="23.1" customHeight="1" x14ac:dyDescent="0.25">
      <c r="A15" s="4">
        <v>8</v>
      </c>
      <c r="B15" s="4" t="s">
        <v>296</v>
      </c>
      <c r="C15" s="4">
        <v>2612</v>
      </c>
      <c r="D15" s="4">
        <v>1104</v>
      </c>
      <c r="E15" s="4">
        <v>1508</v>
      </c>
    </row>
    <row r="16" spans="1:5" ht="23.1" customHeight="1" x14ac:dyDescent="0.25">
      <c r="A16" s="4">
        <v>9</v>
      </c>
      <c r="B16" s="4" t="s">
        <v>297</v>
      </c>
      <c r="C16" s="4">
        <v>3788</v>
      </c>
      <c r="D16" s="4">
        <v>1757</v>
      </c>
      <c r="E16" s="4">
        <v>2031</v>
      </c>
    </row>
    <row r="17" spans="1:5" ht="23.1" customHeight="1" x14ac:dyDescent="0.25">
      <c r="A17" s="4">
        <v>10</v>
      </c>
      <c r="B17" s="4" t="s">
        <v>298</v>
      </c>
      <c r="C17" s="4">
        <v>1589</v>
      </c>
      <c r="D17" s="4">
        <v>583</v>
      </c>
      <c r="E17" s="4">
        <v>1006</v>
      </c>
    </row>
    <row r="18" spans="1:5" ht="23.1" customHeight="1" x14ac:dyDescent="0.25">
      <c r="A18" s="4">
        <v>11</v>
      </c>
      <c r="B18" s="4" t="s">
        <v>299</v>
      </c>
      <c r="C18" s="4">
        <v>1838</v>
      </c>
      <c r="D18" s="4">
        <v>754</v>
      </c>
      <c r="E18" s="4">
        <v>1084</v>
      </c>
    </row>
    <row r="19" spans="1:5" ht="23.1" customHeight="1" x14ac:dyDescent="0.25">
      <c r="A19" s="10">
        <v>12</v>
      </c>
      <c r="B19" s="10" t="s">
        <v>300</v>
      </c>
      <c r="C19" s="10">
        <v>2700</v>
      </c>
      <c r="D19" s="10">
        <v>1698</v>
      </c>
      <c r="E19" s="10">
        <v>1002</v>
      </c>
    </row>
    <row r="20" spans="1:5" ht="23.45" customHeight="1" x14ac:dyDescent="0.25"/>
    <row r="21" spans="1:5" ht="23.45" customHeight="1" x14ac:dyDescent="0.25"/>
    <row r="22" spans="1:5" ht="23.45" customHeight="1" x14ac:dyDescent="0.25"/>
    <row r="23" spans="1:5" ht="23.45" customHeight="1" x14ac:dyDescent="0.25"/>
    <row r="24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 LanmadawTownship"/>
  </hyperlinks>
  <pageMargins left="0.75" right="0.5" top="0.5" bottom="0.2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>
      <selection activeCell="B21" sqref="B21"/>
    </sheetView>
  </sheetViews>
  <sheetFormatPr defaultRowHeight="15" x14ac:dyDescent="0.25"/>
  <cols>
    <col min="2" max="2" width="20.5703125" bestFit="1" customWidth="1"/>
    <col min="3" max="5" width="15.7109375" customWidth="1"/>
  </cols>
  <sheetData>
    <row r="1" spans="1:5" s="6" customFormat="1" ht="23.45" customHeight="1" x14ac:dyDescent="0.4">
      <c r="A1" s="80" t="s">
        <v>1080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7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7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25057</v>
      </c>
      <c r="D5" s="57">
        <v>10728</v>
      </c>
      <c r="E5" s="57">
        <v>14329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SUM(C8:C17)</f>
        <v>25057</v>
      </c>
      <c r="D7" s="15">
        <f t="shared" ref="D7:E7" si="0">SUM(D8:D17)</f>
        <v>10728</v>
      </c>
      <c r="E7" s="15">
        <f t="shared" si="0"/>
        <v>14329</v>
      </c>
    </row>
    <row r="8" spans="1:5" ht="23.1" customHeight="1" x14ac:dyDescent="0.25">
      <c r="A8" s="4">
        <v>1</v>
      </c>
      <c r="B8" s="4" t="s">
        <v>56</v>
      </c>
      <c r="C8" s="4">
        <v>2488</v>
      </c>
      <c r="D8" s="4">
        <v>1104</v>
      </c>
      <c r="E8" s="4">
        <v>1384</v>
      </c>
    </row>
    <row r="9" spans="1:5" ht="23.1" customHeight="1" x14ac:dyDescent="0.25">
      <c r="A9" s="4">
        <v>2</v>
      </c>
      <c r="B9" s="4" t="s">
        <v>57</v>
      </c>
      <c r="C9" s="4">
        <v>3520</v>
      </c>
      <c r="D9" s="4">
        <v>1513</v>
      </c>
      <c r="E9" s="4">
        <v>2007</v>
      </c>
    </row>
    <row r="10" spans="1:5" ht="23.1" customHeight="1" x14ac:dyDescent="0.25">
      <c r="A10" s="4">
        <v>3</v>
      </c>
      <c r="B10" s="4" t="s">
        <v>58</v>
      </c>
      <c r="C10" s="4">
        <v>2438</v>
      </c>
      <c r="D10" s="4">
        <v>988</v>
      </c>
      <c r="E10" s="4">
        <v>1450</v>
      </c>
    </row>
    <row r="11" spans="1:5" ht="23.1" customHeight="1" x14ac:dyDescent="0.25">
      <c r="A11" s="4">
        <v>4</v>
      </c>
      <c r="B11" s="4" t="s">
        <v>59</v>
      </c>
      <c r="C11" s="4">
        <v>3367</v>
      </c>
      <c r="D11" s="4">
        <v>1479</v>
      </c>
      <c r="E11" s="4">
        <v>1888</v>
      </c>
    </row>
    <row r="12" spans="1:5" ht="23.1" customHeight="1" x14ac:dyDescent="0.25">
      <c r="A12" s="4">
        <v>5</v>
      </c>
      <c r="B12" s="4" t="s">
        <v>242</v>
      </c>
      <c r="C12" s="4">
        <v>2758</v>
      </c>
      <c r="D12" s="4">
        <v>1181</v>
      </c>
      <c r="E12" s="4">
        <v>1577</v>
      </c>
    </row>
    <row r="13" spans="1:5" ht="23.1" customHeight="1" x14ac:dyDescent="0.25">
      <c r="A13" s="4">
        <v>6</v>
      </c>
      <c r="B13" s="4" t="s">
        <v>294</v>
      </c>
      <c r="C13" s="4">
        <v>2567</v>
      </c>
      <c r="D13" s="4">
        <v>1158</v>
      </c>
      <c r="E13" s="4">
        <v>1409</v>
      </c>
    </row>
    <row r="14" spans="1:5" ht="23.1" customHeight="1" x14ac:dyDescent="0.25">
      <c r="A14" s="4">
        <v>7</v>
      </c>
      <c r="B14" s="4" t="s">
        <v>295</v>
      </c>
      <c r="C14" s="4">
        <v>2428</v>
      </c>
      <c r="D14" s="4">
        <v>957</v>
      </c>
      <c r="E14" s="4">
        <v>1471</v>
      </c>
    </row>
    <row r="15" spans="1:5" ht="23.1" customHeight="1" x14ac:dyDescent="0.25">
      <c r="A15" s="4">
        <v>8</v>
      </c>
      <c r="B15" s="4" t="s">
        <v>296</v>
      </c>
      <c r="C15" s="4">
        <v>2596</v>
      </c>
      <c r="D15" s="4">
        <v>1104</v>
      </c>
      <c r="E15" s="4">
        <v>1492</v>
      </c>
    </row>
    <row r="16" spans="1:5" ht="23.1" customHeight="1" x14ac:dyDescent="0.25">
      <c r="A16" s="4">
        <v>9</v>
      </c>
      <c r="B16" s="4" t="s">
        <v>297</v>
      </c>
      <c r="C16" s="4">
        <v>2237</v>
      </c>
      <c r="D16" s="4">
        <v>976</v>
      </c>
      <c r="E16" s="4">
        <v>1261</v>
      </c>
    </row>
    <row r="17" spans="1:5" ht="23.1" customHeight="1" x14ac:dyDescent="0.25">
      <c r="A17" s="10">
        <v>10</v>
      </c>
      <c r="B17" s="10" t="s">
        <v>298</v>
      </c>
      <c r="C17" s="10">
        <v>658</v>
      </c>
      <c r="D17" s="10">
        <v>268</v>
      </c>
      <c r="E17" s="10">
        <v>390</v>
      </c>
    </row>
    <row r="18" spans="1:5" ht="23.1" customHeight="1" x14ac:dyDescent="0.25"/>
    <row r="19" spans="1:5" ht="23.45" customHeight="1" x14ac:dyDescent="0.25"/>
    <row r="20" spans="1:5" ht="23.45" customHeight="1" x14ac:dyDescent="0.25"/>
    <row r="21" spans="1:5" ht="23.45" customHeight="1" x14ac:dyDescent="0.25"/>
    <row r="22" spans="1:5" ht="23.45" customHeight="1" x14ac:dyDescent="0.25"/>
    <row r="23" spans="1:5" ht="23.45" customHeight="1" x14ac:dyDescent="0.25"/>
    <row r="24" spans="1:5" ht="23.45" customHeight="1" x14ac:dyDescent="0.25"/>
    <row r="25" spans="1:5" ht="23.45" customHeight="1" x14ac:dyDescent="0.25"/>
    <row r="26" spans="1:5" ht="23.45" customHeight="1" x14ac:dyDescent="0.25"/>
    <row r="27" spans="1:5" ht="23.45" customHeight="1" x14ac:dyDescent="0.25"/>
    <row r="28" spans="1:5" ht="23.45" customHeight="1" x14ac:dyDescent="0.25"/>
    <row r="29" spans="1:5" ht="23.45" customHeight="1" x14ac:dyDescent="0.25"/>
    <row r="30" spans="1:5" ht="23.45" customHeight="1" x14ac:dyDescent="0.25"/>
    <row r="31" spans="1:5" ht="23.45" customHeight="1" x14ac:dyDescent="0.25"/>
    <row r="32" spans="1:5" ht="23.45" customHeight="1" x14ac:dyDescent="0.25"/>
    <row r="33" ht="23.45" customHeight="1" x14ac:dyDescent="0.25"/>
    <row r="34" ht="23.45" customHeight="1" x14ac:dyDescent="0.25"/>
    <row r="35" ht="23.45" customHeight="1" x14ac:dyDescent="0.25"/>
    <row r="36" ht="23.45" customHeight="1" x14ac:dyDescent="0.25"/>
    <row r="37" ht="23.45" customHeight="1" x14ac:dyDescent="0.25"/>
    <row r="38" ht="23.45" customHeight="1" x14ac:dyDescent="0.25"/>
    <row r="39" ht="23.45" customHeight="1" x14ac:dyDescent="0.25"/>
    <row r="40" ht="23.45" customHeight="1" x14ac:dyDescent="0.25"/>
    <row r="41" ht="23.45" customHeight="1" x14ac:dyDescent="0.25"/>
    <row r="42" ht="23.45" customHeight="1" x14ac:dyDescent="0.25"/>
    <row r="43" ht="23.45" customHeight="1" x14ac:dyDescent="0.25"/>
    <row r="44" ht="23.45" customHeight="1" x14ac:dyDescent="0.25"/>
    <row r="45" ht="23.45" customHeight="1" x14ac:dyDescent="0.25"/>
    <row r="46" ht="23.45" customHeight="1" x14ac:dyDescent="0.25"/>
    <row r="47" ht="23.45" customHeight="1" x14ac:dyDescent="0.25"/>
    <row r="48" ht="23.45" customHeight="1" x14ac:dyDescent="0.25"/>
    <row r="49" ht="23.45" customHeight="1" x14ac:dyDescent="0.25"/>
    <row r="50" ht="23.45" customHeight="1" x14ac:dyDescent="0.25"/>
    <row r="51" ht="23.45" customHeight="1" x14ac:dyDescent="0.25"/>
    <row r="52" ht="23.45" customHeight="1" x14ac:dyDescent="0.25"/>
    <row r="53" ht="23.45" customHeight="1" x14ac:dyDescent="0.25"/>
    <row r="54" ht="23.45" customHeight="1" x14ac:dyDescent="0.25"/>
    <row r="55" ht="23.45" customHeight="1" x14ac:dyDescent="0.25"/>
    <row r="56" ht="23.45" customHeight="1" x14ac:dyDescent="0.25"/>
    <row r="57" ht="23.45" customHeight="1" x14ac:dyDescent="0.25"/>
    <row r="58" ht="23.45" customHeight="1" x14ac:dyDescent="0.25"/>
    <row r="59" ht="23.45" customHeight="1" x14ac:dyDescent="0.25"/>
    <row r="60" ht="23.45" customHeight="1" x14ac:dyDescent="0.25"/>
    <row r="61" ht="23.45" customHeight="1" x14ac:dyDescent="0.25"/>
    <row r="62" ht="23.45" customHeight="1" x14ac:dyDescent="0.25"/>
    <row r="63" ht="23.45" customHeight="1" x14ac:dyDescent="0.25"/>
    <row r="64" ht="23.45" customHeight="1" x14ac:dyDescent="0.25"/>
    <row r="65" ht="23.45" customHeight="1" x14ac:dyDescent="0.25"/>
    <row r="66" ht="23.45" customHeight="1" x14ac:dyDescent="0.25"/>
    <row r="67" ht="23.45" customHeight="1" x14ac:dyDescent="0.25"/>
    <row r="68" ht="23.45" customHeight="1" x14ac:dyDescent="0.25"/>
    <row r="69" ht="23.45" customHeight="1" x14ac:dyDescent="0.25"/>
    <row r="70" ht="23.45" customHeight="1" x14ac:dyDescent="0.25"/>
    <row r="71" ht="23.45" customHeight="1" x14ac:dyDescent="0.25"/>
    <row r="72" ht="23.45" customHeight="1" x14ac:dyDescent="0.25"/>
    <row r="73" ht="23.45" customHeight="1" x14ac:dyDescent="0.25"/>
    <row r="74" ht="23.45" customHeight="1" x14ac:dyDescent="0.25"/>
    <row r="75" ht="23.45" customHeight="1" x14ac:dyDescent="0.25"/>
    <row r="76" ht="23.45" customHeight="1" x14ac:dyDescent="0.25"/>
    <row r="77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 Latha Township"/>
  </hyperlinks>
  <pageMargins left="0.75" right="0.5" top="0.5" bottom="0.2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1"/>
    </sheetView>
  </sheetViews>
  <sheetFormatPr defaultRowHeight="15" x14ac:dyDescent="0.25"/>
  <cols>
    <col min="1" max="1" width="6.140625" style="26" customWidth="1"/>
    <col min="2" max="2" width="33.28515625" style="29" customWidth="1"/>
    <col min="3" max="5" width="15.7109375" customWidth="1"/>
  </cols>
  <sheetData>
    <row r="1" spans="1:5" s="6" customFormat="1" ht="23.45" customHeight="1" x14ac:dyDescent="0.4">
      <c r="A1" s="80" t="s">
        <v>1081</v>
      </c>
      <c r="B1" s="80"/>
      <c r="C1" s="80"/>
      <c r="D1" s="80"/>
      <c r="E1" s="80"/>
    </row>
    <row r="2" spans="1:5" s="6" customFormat="1" ht="23.45" customHeight="1" x14ac:dyDescent="0.4">
      <c r="A2" s="35"/>
      <c r="B2" s="34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8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9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72"/>
      <c r="B5" s="64" t="s">
        <v>0</v>
      </c>
      <c r="C5" s="57">
        <v>55482</v>
      </c>
      <c r="D5" s="57">
        <v>25551</v>
      </c>
      <c r="E5" s="57">
        <v>29931</v>
      </c>
    </row>
    <row r="6" spans="1:5" ht="23.1" customHeight="1" x14ac:dyDescent="0.25">
      <c r="A6" s="27"/>
      <c r="B6" s="31"/>
      <c r="C6" s="4"/>
      <c r="D6" s="4"/>
      <c r="E6" s="4"/>
    </row>
    <row r="7" spans="1:5" ht="23.1" customHeight="1" x14ac:dyDescent="0.25">
      <c r="A7" s="27"/>
      <c r="B7" s="25" t="s">
        <v>1028</v>
      </c>
      <c r="C7" s="15">
        <f>SUM(C8:C18)</f>
        <v>55482</v>
      </c>
      <c r="D7" s="15">
        <f t="shared" ref="D7:E7" si="0">SUM(D8:D18)</f>
        <v>25551</v>
      </c>
      <c r="E7" s="15">
        <f t="shared" si="0"/>
        <v>29931</v>
      </c>
    </row>
    <row r="8" spans="1:5" ht="23.1" customHeight="1" x14ac:dyDescent="0.25">
      <c r="A8" s="27">
        <v>1</v>
      </c>
      <c r="B8" s="31" t="s">
        <v>1033</v>
      </c>
      <c r="C8" s="4">
        <v>882</v>
      </c>
      <c r="D8" s="4">
        <v>579</v>
      </c>
      <c r="E8" s="4">
        <v>303</v>
      </c>
    </row>
    <row r="9" spans="1:5" ht="23.1" customHeight="1" x14ac:dyDescent="0.25">
      <c r="A9" s="27">
        <v>2</v>
      </c>
      <c r="B9" s="36" t="s">
        <v>1034</v>
      </c>
      <c r="C9" s="4">
        <v>10839</v>
      </c>
      <c r="D9" s="4">
        <v>5173</v>
      </c>
      <c r="E9" s="4">
        <v>5666</v>
      </c>
    </row>
    <row r="10" spans="1:5" ht="23.1" customHeight="1" x14ac:dyDescent="0.25">
      <c r="A10" s="27">
        <v>3</v>
      </c>
      <c r="B10" s="36" t="s">
        <v>1035</v>
      </c>
      <c r="C10" s="4">
        <v>4171</v>
      </c>
      <c r="D10" s="4">
        <v>1873</v>
      </c>
      <c r="E10" s="4">
        <v>2298</v>
      </c>
    </row>
    <row r="11" spans="1:5" ht="23.1" customHeight="1" x14ac:dyDescent="0.25">
      <c r="A11" s="27">
        <v>4</v>
      </c>
      <c r="B11" s="36" t="s">
        <v>1036</v>
      </c>
      <c r="C11" s="4">
        <v>5241</v>
      </c>
      <c r="D11" s="4">
        <v>2348</v>
      </c>
      <c r="E11" s="4">
        <v>2893</v>
      </c>
    </row>
    <row r="12" spans="1:5" ht="23.1" customHeight="1" x14ac:dyDescent="0.25">
      <c r="A12" s="27">
        <v>5</v>
      </c>
      <c r="B12" s="36" t="s">
        <v>1037</v>
      </c>
      <c r="C12" s="4">
        <v>7660</v>
      </c>
      <c r="D12" s="4">
        <v>3243</v>
      </c>
      <c r="E12" s="4">
        <v>4417</v>
      </c>
    </row>
    <row r="13" spans="1:5" ht="23.1" customHeight="1" x14ac:dyDescent="0.25">
      <c r="A13" s="27">
        <v>6</v>
      </c>
      <c r="B13" s="36" t="s">
        <v>1038</v>
      </c>
      <c r="C13" s="4">
        <v>2347</v>
      </c>
      <c r="D13" s="4">
        <v>1045</v>
      </c>
      <c r="E13" s="4">
        <v>1302</v>
      </c>
    </row>
    <row r="14" spans="1:5" ht="23.1" customHeight="1" x14ac:dyDescent="0.25">
      <c r="A14" s="27">
        <v>7</v>
      </c>
      <c r="B14" s="36" t="s">
        <v>1039</v>
      </c>
      <c r="C14" s="4">
        <v>8257</v>
      </c>
      <c r="D14" s="4">
        <v>3664</v>
      </c>
      <c r="E14" s="4">
        <v>4593</v>
      </c>
    </row>
    <row r="15" spans="1:5" ht="23.1" customHeight="1" x14ac:dyDescent="0.25">
      <c r="A15" s="27">
        <v>8</v>
      </c>
      <c r="B15" s="36" t="s">
        <v>1040</v>
      </c>
      <c r="C15" s="4">
        <v>4336</v>
      </c>
      <c r="D15" s="4">
        <v>1867</v>
      </c>
      <c r="E15" s="4">
        <v>2469</v>
      </c>
    </row>
    <row r="16" spans="1:5" ht="23.1" customHeight="1" x14ac:dyDescent="0.25">
      <c r="A16" s="27">
        <v>9</v>
      </c>
      <c r="B16" s="36" t="s">
        <v>1041</v>
      </c>
      <c r="C16" s="4">
        <v>3020</v>
      </c>
      <c r="D16" s="4">
        <v>1411</v>
      </c>
      <c r="E16" s="4">
        <v>1609</v>
      </c>
    </row>
    <row r="17" spans="1:5" ht="23.1" customHeight="1" x14ac:dyDescent="0.25">
      <c r="A17" s="27">
        <v>10</v>
      </c>
      <c r="B17" s="36" t="s">
        <v>1042</v>
      </c>
      <c r="C17" s="4">
        <v>3936</v>
      </c>
      <c r="D17" s="4">
        <v>1845</v>
      </c>
      <c r="E17" s="4">
        <v>2091</v>
      </c>
    </row>
    <row r="18" spans="1:5" ht="23.1" customHeight="1" x14ac:dyDescent="0.25">
      <c r="A18" s="33">
        <v>11</v>
      </c>
      <c r="B18" s="37" t="s">
        <v>1043</v>
      </c>
      <c r="C18" s="10">
        <v>4793</v>
      </c>
      <c r="D18" s="10">
        <v>2503</v>
      </c>
      <c r="E18" s="10">
        <v>2290</v>
      </c>
    </row>
    <row r="19" spans="1:5" ht="23.45" customHeight="1" x14ac:dyDescent="0.25"/>
    <row r="20" spans="1:5" ht="23.45" customHeight="1" x14ac:dyDescent="0.25"/>
    <row r="21" spans="1:5" ht="23.45" customHeight="1" x14ac:dyDescent="0.25"/>
    <row r="22" spans="1:5" ht="23.45" customHeight="1" x14ac:dyDescent="0.25"/>
    <row r="23" spans="1:5" ht="23.45" customHeight="1" x14ac:dyDescent="0.25"/>
    <row r="24" spans="1:5" ht="23.45" customHeight="1" x14ac:dyDescent="0.25"/>
    <row r="25" spans="1:5" ht="23.45" customHeight="1" x14ac:dyDescent="0.25"/>
    <row r="26" spans="1:5" ht="23.45" customHeight="1" x14ac:dyDescent="0.25"/>
    <row r="27" spans="1:5" ht="23.45" customHeight="1" x14ac:dyDescent="0.25"/>
    <row r="28" spans="1:5" ht="23.45" customHeight="1" x14ac:dyDescent="0.25"/>
    <row r="29" spans="1:5" ht="23.45" customHeight="1" x14ac:dyDescent="0.25"/>
    <row r="30" spans="1:5" ht="23.45" customHeight="1" x14ac:dyDescent="0.25"/>
    <row r="31" spans="1:5" ht="23.45" customHeight="1" x14ac:dyDescent="0.25"/>
    <row r="32" spans="1:5" ht="23.45" customHeight="1" x14ac:dyDescent="0.25"/>
    <row r="33" ht="23.45" customHeight="1" x14ac:dyDescent="0.25"/>
    <row r="34" ht="23.45" customHeight="1" x14ac:dyDescent="0.25"/>
    <row r="35" ht="23.45" customHeight="1" x14ac:dyDescent="0.25"/>
    <row r="36" ht="23.45" customHeight="1" x14ac:dyDescent="0.25"/>
    <row r="37" ht="23.45" customHeight="1" x14ac:dyDescent="0.25"/>
    <row r="38" ht="23.45" customHeight="1" x14ac:dyDescent="0.25"/>
    <row r="39" ht="23.45" customHeight="1" x14ac:dyDescent="0.25"/>
    <row r="40" ht="23.45" customHeight="1" x14ac:dyDescent="0.25"/>
    <row r="41" ht="23.45" customHeight="1" x14ac:dyDescent="0.25"/>
    <row r="42" ht="23.45" customHeight="1" x14ac:dyDescent="0.25"/>
    <row r="43" ht="23.45" customHeight="1" x14ac:dyDescent="0.25"/>
    <row r="44" ht="23.45" customHeight="1" x14ac:dyDescent="0.25"/>
    <row r="45" ht="23.45" customHeight="1" x14ac:dyDescent="0.25"/>
    <row r="46" ht="23.45" customHeight="1" x14ac:dyDescent="0.25"/>
    <row r="47" ht="23.45" customHeight="1" x14ac:dyDescent="0.25"/>
    <row r="48" ht="23.45" customHeight="1" x14ac:dyDescent="0.25"/>
    <row r="49" ht="23.45" customHeight="1" x14ac:dyDescent="0.25"/>
    <row r="50" ht="23.45" customHeight="1" x14ac:dyDescent="0.25"/>
    <row r="51" ht="23.45" customHeight="1" x14ac:dyDescent="0.25"/>
    <row r="52" ht="23.45" customHeight="1" x14ac:dyDescent="0.25"/>
    <row r="53" ht="23.45" customHeight="1" x14ac:dyDescent="0.25"/>
    <row r="54" ht="23.45" customHeight="1" x14ac:dyDescent="0.25"/>
    <row r="55" ht="23.45" customHeight="1" x14ac:dyDescent="0.25"/>
    <row r="56" ht="23.45" customHeight="1" x14ac:dyDescent="0.25"/>
    <row r="57" ht="23.45" customHeight="1" x14ac:dyDescent="0.25"/>
    <row r="58" ht="23.45" customHeight="1" x14ac:dyDescent="0.25"/>
    <row r="59" ht="23.45" customHeight="1" x14ac:dyDescent="0.25"/>
    <row r="60" ht="23.45" customHeight="1" x14ac:dyDescent="0.25"/>
    <row r="61" ht="23.45" customHeight="1" x14ac:dyDescent="0.25"/>
    <row r="62" ht="23.45" customHeight="1" x14ac:dyDescent="0.25"/>
    <row r="63" ht="23.45" customHeight="1" x14ac:dyDescent="0.25"/>
    <row r="64" ht="23.45" customHeight="1" x14ac:dyDescent="0.25"/>
    <row r="65" ht="23.45" customHeight="1" x14ac:dyDescent="0.25"/>
    <row r="66" ht="23.45" customHeight="1" x14ac:dyDescent="0.25"/>
    <row r="67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Ahlon  Township"/>
  </hyperlinks>
  <pageMargins left="0.75" right="0.5" top="0.5" bottom="0.2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zoomScaleNormal="100" workbookViewId="0">
      <selection sqref="A1:E1"/>
    </sheetView>
  </sheetViews>
  <sheetFormatPr defaultRowHeight="15" x14ac:dyDescent="0.25"/>
  <cols>
    <col min="1" max="1" width="7.42578125" customWidth="1"/>
    <col min="2" max="2" width="27.85546875" customWidth="1"/>
    <col min="3" max="5" width="15.7109375" customWidth="1"/>
  </cols>
  <sheetData>
    <row r="1" spans="1:5" s="6" customFormat="1" ht="23.45" customHeight="1" x14ac:dyDescent="0.4">
      <c r="A1" s="80" t="s">
        <v>1082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111514</v>
      </c>
      <c r="D5" s="57">
        <v>52627</v>
      </c>
      <c r="E5" s="57">
        <v>58887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SUM(C8:C29)</f>
        <v>111514</v>
      </c>
      <c r="D7" s="15">
        <f t="shared" ref="D7:E7" si="0">SUM(D8:D29)</f>
        <v>52627</v>
      </c>
      <c r="E7" s="15">
        <f t="shared" si="0"/>
        <v>58887</v>
      </c>
    </row>
    <row r="8" spans="1:5" ht="23.1" customHeight="1" x14ac:dyDescent="0.25">
      <c r="A8" s="4">
        <v>1</v>
      </c>
      <c r="B8" s="4" t="s">
        <v>950</v>
      </c>
      <c r="C8" s="4">
        <v>2583</v>
      </c>
      <c r="D8" s="4">
        <v>1258</v>
      </c>
      <c r="E8" s="4">
        <v>1325</v>
      </c>
    </row>
    <row r="9" spans="1:5" ht="23.1" customHeight="1" x14ac:dyDescent="0.25">
      <c r="A9" s="4">
        <v>2</v>
      </c>
      <c r="B9" s="4" t="s">
        <v>951</v>
      </c>
      <c r="C9" s="4">
        <v>3456</v>
      </c>
      <c r="D9" s="4">
        <v>1647</v>
      </c>
      <c r="E9" s="4">
        <v>1809</v>
      </c>
    </row>
    <row r="10" spans="1:5" ht="23.1" customHeight="1" x14ac:dyDescent="0.25">
      <c r="A10" s="4">
        <v>3</v>
      </c>
      <c r="B10" s="4" t="s">
        <v>952</v>
      </c>
      <c r="C10" s="4">
        <v>2768</v>
      </c>
      <c r="D10" s="4">
        <v>1259</v>
      </c>
      <c r="E10" s="4">
        <v>1509</v>
      </c>
    </row>
    <row r="11" spans="1:5" ht="23.1" customHeight="1" x14ac:dyDescent="0.25">
      <c r="A11" s="4">
        <v>4</v>
      </c>
      <c r="B11" s="4" t="s">
        <v>953</v>
      </c>
      <c r="C11" s="4">
        <v>3155</v>
      </c>
      <c r="D11" s="4">
        <v>1626</v>
      </c>
      <c r="E11" s="4">
        <v>1529</v>
      </c>
    </row>
    <row r="12" spans="1:5" ht="23.1" customHeight="1" x14ac:dyDescent="0.25">
      <c r="A12" s="4">
        <v>5</v>
      </c>
      <c r="B12" s="4" t="s">
        <v>954</v>
      </c>
      <c r="C12" s="4">
        <v>5295</v>
      </c>
      <c r="D12" s="4">
        <v>2577</v>
      </c>
      <c r="E12" s="4">
        <v>2718</v>
      </c>
    </row>
    <row r="13" spans="1:5" ht="23.1" customHeight="1" x14ac:dyDescent="0.25">
      <c r="A13" s="4">
        <v>6</v>
      </c>
      <c r="B13" s="4" t="s">
        <v>955</v>
      </c>
      <c r="C13" s="4">
        <v>1441</v>
      </c>
      <c r="D13" s="4">
        <v>915</v>
      </c>
      <c r="E13" s="4">
        <v>526</v>
      </c>
    </row>
    <row r="14" spans="1:5" ht="23.1" customHeight="1" x14ac:dyDescent="0.25">
      <c r="A14" s="4">
        <v>7</v>
      </c>
      <c r="B14" s="4" t="s">
        <v>956</v>
      </c>
      <c r="C14" s="4">
        <v>2139</v>
      </c>
      <c r="D14" s="4">
        <v>977</v>
      </c>
      <c r="E14" s="4">
        <v>1162</v>
      </c>
    </row>
    <row r="15" spans="1:5" ht="23.1" customHeight="1" x14ac:dyDescent="0.25">
      <c r="A15" s="4">
        <v>8</v>
      </c>
      <c r="B15" s="4" t="s">
        <v>957</v>
      </c>
      <c r="C15" s="4">
        <v>3478</v>
      </c>
      <c r="D15" s="4">
        <v>1583</v>
      </c>
      <c r="E15" s="4">
        <v>1895</v>
      </c>
    </row>
    <row r="16" spans="1:5" ht="23.1" customHeight="1" x14ac:dyDescent="0.25">
      <c r="A16" s="4">
        <v>9</v>
      </c>
      <c r="B16" s="4" t="s">
        <v>958</v>
      </c>
      <c r="C16" s="4">
        <v>4914</v>
      </c>
      <c r="D16" s="4">
        <v>2073</v>
      </c>
      <c r="E16" s="4">
        <v>2841</v>
      </c>
    </row>
    <row r="17" spans="1:5" ht="23.1" customHeight="1" x14ac:dyDescent="0.25">
      <c r="A17" s="4">
        <v>10</v>
      </c>
      <c r="B17" s="4" t="s">
        <v>959</v>
      </c>
      <c r="C17" s="4">
        <v>6018</v>
      </c>
      <c r="D17" s="4">
        <v>2614</v>
      </c>
      <c r="E17" s="4">
        <v>3404</v>
      </c>
    </row>
    <row r="18" spans="1:5" ht="23.1" customHeight="1" x14ac:dyDescent="0.25">
      <c r="A18" s="4">
        <v>11</v>
      </c>
      <c r="B18" s="4" t="s">
        <v>960</v>
      </c>
      <c r="C18" s="4">
        <v>5379</v>
      </c>
      <c r="D18" s="4">
        <v>2552</v>
      </c>
      <c r="E18" s="4">
        <v>2827</v>
      </c>
    </row>
    <row r="19" spans="1:5" ht="23.1" customHeight="1" x14ac:dyDescent="0.25">
      <c r="A19" s="4">
        <v>12</v>
      </c>
      <c r="B19" s="4" t="s">
        <v>961</v>
      </c>
      <c r="C19" s="4">
        <v>2835</v>
      </c>
      <c r="D19" s="4">
        <v>1233</v>
      </c>
      <c r="E19" s="4">
        <v>1602</v>
      </c>
    </row>
    <row r="20" spans="1:5" ht="23.1" customHeight="1" x14ac:dyDescent="0.25">
      <c r="A20" s="4">
        <v>13</v>
      </c>
      <c r="B20" s="4" t="s">
        <v>962</v>
      </c>
      <c r="C20" s="4">
        <v>5491</v>
      </c>
      <c r="D20" s="4">
        <v>2439</v>
      </c>
      <c r="E20" s="4">
        <v>3052</v>
      </c>
    </row>
    <row r="21" spans="1:5" ht="23.1" customHeight="1" x14ac:dyDescent="0.25">
      <c r="A21" s="4">
        <v>14</v>
      </c>
      <c r="B21" s="4" t="s">
        <v>963</v>
      </c>
      <c r="C21" s="4">
        <v>3856</v>
      </c>
      <c r="D21" s="4">
        <v>1704</v>
      </c>
      <c r="E21" s="4">
        <v>2152</v>
      </c>
    </row>
    <row r="22" spans="1:5" ht="23.1" customHeight="1" x14ac:dyDescent="0.25">
      <c r="A22" s="4">
        <v>15</v>
      </c>
      <c r="B22" s="4" t="s">
        <v>964</v>
      </c>
      <c r="C22" s="4">
        <v>3253</v>
      </c>
      <c r="D22" s="4">
        <v>1414</v>
      </c>
      <c r="E22" s="4">
        <v>1839</v>
      </c>
    </row>
    <row r="23" spans="1:5" ht="23.1" customHeight="1" x14ac:dyDescent="0.25">
      <c r="A23" s="4">
        <v>16</v>
      </c>
      <c r="B23" s="4" t="s">
        <v>965</v>
      </c>
      <c r="C23" s="4">
        <v>4136</v>
      </c>
      <c r="D23" s="4">
        <v>1731</v>
      </c>
      <c r="E23" s="4">
        <v>2405</v>
      </c>
    </row>
    <row r="24" spans="1:5" ht="23.1" customHeight="1" x14ac:dyDescent="0.25">
      <c r="A24" s="4">
        <v>17</v>
      </c>
      <c r="B24" s="4" t="s">
        <v>966</v>
      </c>
      <c r="C24" s="4">
        <v>11342</v>
      </c>
      <c r="D24" s="4">
        <v>5648</v>
      </c>
      <c r="E24" s="4">
        <v>5694</v>
      </c>
    </row>
    <row r="25" spans="1:5" ht="23.1" customHeight="1" x14ac:dyDescent="0.25">
      <c r="A25" s="4">
        <v>18</v>
      </c>
      <c r="B25" s="4" t="s">
        <v>967</v>
      </c>
      <c r="C25" s="4">
        <v>15111</v>
      </c>
      <c r="D25" s="4">
        <v>7530</v>
      </c>
      <c r="E25" s="4">
        <v>7581</v>
      </c>
    </row>
    <row r="26" spans="1:5" ht="23.1" customHeight="1" x14ac:dyDescent="0.25">
      <c r="A26" s="4">
        <v>19</v>
      </c>
      <c r="B26" s="4" t="s">
        <v>968</v>
      </c>
      <c r="C26" s="4">
        <v>8905</v>
      </c>
      <c r="D26" s="4">
        <v>4429</v>
      </c>
      <c r="E26" s="4">
        <v>4476</v>
      </c>
    </row>
    <row r="27" spans="1:5" ht="23.1" customHeight="1" x14ac:dyDescent="0.25">
      <c r="A27" s="4">
        <v>20</v>
      </c>
      <c r="B27" s="4" t="s">
        <v>969</v>
      </c>
      <c r="C27" s="4">
        <v>7401</v>
      </c>
      <c r="D27" s="4">
        <v>3704</v>
      </c>
      <c r="E27" s="4">
        <v>3697</v>
      </c>
    </row>
    <row r="28" spans="1:5" ht="23.1" customHeight="1" x14ac:dyDescent="0.25">
      <c r="A28" s="4">
        <v>21</v>
      </c>
      <c r="B28" s="4" t="s">
        <v>970</v>
      </c>
      <c r="C28" s="4">
        <v>4060</v>
      </c>
      <c r="D28" s="4">
        <v>1790</v>
      </c>
      <c r="E28" s="4">
        <v>2270</v>
      </c>
    </row>
    <row r="29" spans="1:5" ht="23.1" customHeight="1" x14ac:dyDescent="0.25">
      <c r="A29" s="10">
        <v>22</v>
      </c>
      <c r="B29" s="10" t="s">
        <v>971</v>
      </c>
      <c r="C29" s="10">
        <v>4498</v>
      </c>
      <c r="D29" s="10">
        <v>1924</v>
      </c>
      <c r="E29" s="10">
        <v>2574</v>
      </c>
    </row>
    <row r="30" spans="1:5" ht="23.1" customHeight="1" x14ac:dyDescent="0.25"/>
    <row r="31" spans="1:5" ht="23.1" customHeight="1" x14ac:dyDescent="0.25"/>
    <row r="32" spans="1:5" ht="23.1" customHeight="1" x14ac:dyDescent="0.25"/>
    <row r="33" ht="23.1" customHeight="1" x14ac:dyDescent="0.25"/>
    <row r="34" ht="23.1" customHeight="1" x14ac:dyDescent="0.25"/>
    <row r="35" ht="23.1" customHeight="1" x14ac:dyDescent="0.25"/>
    <row r="36" ht="23.1" customHeight="1" x14ac:dyDescent="0.25"/>
    <row r="37" ht="23.1" customHeight="1" x14ac:dyDescent="0.25"/>
    <row r="38" ht="23.1" customHeight="1" x14ac:dyDescent="0.25"/>
    <row r="39" ht="23.1" customHeight="1" x14ac:dyDescent="0.25"/>
    <row r="40" ht="23.1" customHeight="1" x14ac:dyDescent="0.25"/>
    <row r="41" ht="23.1" customHeight="1" x14ac:dyDescent="0.25"/>
    <row r="42" ht="23.1" customHeight="1" x14ac:dyDescent="0.25"/>
    <row r="43" ht="23.1" customHeight="1" x14ac:dyDescent="0.25"/>
    <row r="44" ht="23.1" customHeight="1" x14ac:dyDescent="0.25"/>
    <row r="45" ht="23.1" customHeight="1" x14ac:dyDescent="0.25"/>
    <row r="46" ht="23.1" customHeight="1" x14ac:dyDescent="0.25"/>
    <row r="47" ht="23.45" customHeight="1" x14ac:dyDescent="0.25"/>
    <row r="48" ht="23.45" customHeight="1" x14ac:dyDescent="0.25"/>
    <row r="49" ht="23.45" customHeight="1" x14ac:dyDescent="0.25"/>
    <row r="50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Kyimyindine  Township"/>
  </hyperlinks>
  <pageMargins left="0.75" right="0.5" top="0.5" bottom="0.2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32.85546875" customWidth="1"/>
    <col min="3" max="5" width="15.7109375" customWidth="1"/>
  </cols>
  <sheetData>
    <row r="1" spans="1:5" s="6" customFormat="1" ht="23.45" customHeight="1" x14ac:dyDescent="0.4">
      <c r="A1" s="80" t="s">
        <v>1083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57"/>
      <c r="B5" s="57" t="s">
        <v>0</v>
      </c>
      <c r="C5" s="57">
        <v>99619</v>
      </c>
      <c r="D5" s="57">
        <v>43993</v>
      </c>
      <c r="E5" s="57">
        <v>55626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13"/>
      <c r="B7" s="15" t="s">
        <v>1028</v>
      </c>
      <c r="C7" s="15">
        <f>SUM(C8:C25)</f>
        <v>99619</v>
      </c>
      <c r="D7" s="15">
        <f t="shared" ref="D7:E7" si="0">SUM(D8:D25)</f>
        <v>43993</v>
      </c>
      <c r="E7" s="15">
        <f t="shared" si="0"/>
        <v>55626</v>
      </c>
    </row>
    <row r="8" spans="1:5" ht="23.1" customHeight="1" x14ac:dyDescent="0.25">
      <c r="A8" s="4">
        <v>1</v>
      </c>
      <c r="B8" s="4" t="s">
        <v>972</v>
      </c>
      <c r="C8" s="4">
        <v>4396</v>
      </c>
      <c r="D8" s="4">
        <v>2027</v>
      </c>
      <c r="E8" s="4">
        <v>2369</v>
      </c>
    </row>
    <row r="9" spans="1:5" ht="23.1" customHeight="1" x14ac:dyDescent="0.25">
      <c r="A9" s="4">
        <v>2</v>
      </c>
      <c r="B9" s="4" t="s">
        <v>973</v>
      </c>
      <c r="C9" s="4">
        <v>2724</v>
      </c>
      <c r="D9" s="4">
        <v>1332</v>
      </c>
      <c r="E9" s="4">
        <v>1392</v>
      </c>
    </row>
    <row r="10" spans="1:5" ht="23.1" customHeight="1" x14ac:dyDescent="0.25">
      <c r="A10" s="4">
        <v>3</v>
      </c>
      <c r="B10" s="4" t="s">
        <v>974</v>
      </c>
      <c r="C10" s="4">
        <v>3759</v>
      </c>
      <c r="D10" s="4">
        <v>1743</v>
      </c>
      <c r="E10" s="4">
        <v>2016</v>
      </c>
    </row>
    <row r="11" spans="1:5" ht="23.1" customHeight="1" x14ac:dyDescent="0.25">
      <c r="A11" s="4">
        <v>4</v>
      </c>
      <c r="B11" s="4" t="s">
        <v>975</v>
      </c>
      <c r="C11" s="4">
        <v>9555</v>
      </c>
      <c r="D11" s="4">
        <v>4626</v>
      </c>
      <c r="E11" s="4">
        <v>4929</v>
      </c>
    </row>
    <row r="12" spans="1:5" ht="23.1" customHeight="1" x14ac:dyDescent="0.25">
      <c r="A12" s="4">
        <v>5</v>
      </c>
      <c r="B12" s="4" t="s">
        <v>976</v>
      </c>
      <c r="C12" s="4">
        <v>2975</v>
      </c>
      <c r="D12" s="4">
        <v>1293</v>
      </c>
      <c r="E12" s="4">
        <v>1682</v>
      </c>
    </row>
    <row r="13" spans="1:5" ht="23.1" customHeight="1" x14ac:dyDescent="0.25">
      <c r="A13" s="4">
        <v>6</v>
      </c>
      <c r="B13" s="4" t="s">
        <v>977</v>
      </c>
      <c r="C13" s="4">
        <v>4244</v>
      </c>
      <c r="D13" s="4">
        <v>1687</v>
      </c>
      <c r="E13" s="4">
        <v>2557</v>
      </c>
    </row>
    <row r="14" spans="1:5" ht="23.1" customHeight="1" x14ac:dyDescent="0.25">
      <c r="A14" s="4">
        <v>7</v>
      </c>
      <c r="B14" s="4" t="s">
        <v>978</v>
      </c>
      <c r="C14" s="4">
        <v>8186</v>
      </c>
      <c r="D14" s="4">
        <v>3484</v>
      </c>
      <c r="E14" s="4">
        <v>4702</v>
      </c>
    </row>
    <row r="15" spans="1:5" ht="23.1" customHeight="1" x14ac:dyDescent="0.25">
      <c r="A15" s="4">
        <v>8</v>
      </c>
      <c r="B15" s="4" t="s">
        <v>979</v>
      </c>
      <c r="C15" s="4">
        <v>4294</v>
      </c>
      <c r="D15" s="4">
        <v>1859</v>
      </c>
      <c r="E15" s="4">
        <v>2435</v>
      </c>
    </row>
    <row r="16" spans="1:5" ht="23.1" customHeight="1" x14ac:dyDescent="0.25">
      <c r="A16" s="4">
        <v>9</v>
      </c>
      <c r="B16" s="4" t="s">
        <v>980</v>
      </c>
      <c r="C16" s="4">
        <v>6674</v>
      </c>
      <c r="D16" s="4">
        <v>2754</v>
      </c>
      <c r="E16" s="4">
        <v>3920</v>
      </c>
    </row>
    <row r="17" spans="1:5" ht="23.1" customHeight="1" x14ac:dyDescent="0.25">
      <c r="A17" s="4">
        <v>10</v>
      </c>
      <c r="B17" s="4" t="s">
        <v>981</v>
      </c>
      <c r="C17" s="4">
        <v>6248</v>
      </c>
      <c r="D17" s="4">
        <v>3090</v>
      </c>
      <c r="E17" s="4">
        <v>3158</v>
      </c>
    </row>
    <row r="18" spans="1:5" ht="23.1" customHeight="1" x14ac:dyDescent="0.25">
      <c r="A18" s="4">
        <v>11</v>
      </c>
      <c r="B18" s="4" t="s">
        <v>982</v>
      </c>
      <c r="C18" s="4">
        <v>7099</v>
      </c>
      <c r="D18" s="4">
        <v>2873</v>
      </c>
      <c r="E18" s="4">
        <v>4226</v>
      </c>
    </row>
    <row r="19" spans="1:5" ht="23.1" customHeight="1" x14ac:dyDescent="0.25">
      <c r="A19" s="4">
        <v>12</v>
      </c>
      <c r="B19" s="4" t="s">
        <v>983</v>
      </c>
      <c r="C19" s="4">
        <v>7040</v>
      </c>
      <c r="D19" s="4">
        <v>2868</v>
      </c>
      <c r="E19" s="4">
        <v>4172</v>
      </c>
    </row>
    <row r="20" spans="1:5" ht="23.1" customHeight="1" x14ac:dyDescent="0.25">
      <c r="A20" s="4">
        <v>13</v>
      </c>
      <c r="B20" s="4" t="s">
        <v>984</v>
      </c>
      <c r="C20" s="4">
        <v>3480</v>
      </c>
      <c r="D20" s="4">
        <v>1532</v>
      </c>
      <c r="E20" s="4">
        <v>1948</v>
      </c>
    </row>
    <row r="21" spans="1:5" ht="23.1" customHeight="1" x14ac:dyDescent="0.25">
      <c r="A21" s="4">
        <v>14</v>
      </c>
      <c r="B21" s="4" t="s">
        <v>404</v>
      </c>
      <c r="C21" s="4">
        <v>2253</v>
      </c>
      <c r="D21" s="4">
        <v>994</v>
      </c>
      <c r="E21" s="4">
        <v>1259</v>
      </c>
    </row>
    <row r="22" spans="1:5" ht="23.1" customHeight="1" x14ac:dyDescent="0.25">
      <c r="A22" s="4">
        <v>15</v>
      </c>
      <c r="B22" s="4" t="s">
        <v>985</v>
      </c>
      <c r="C22" s="4">
        <v>4647</v>
      </c>
      <c r="D22" s="4">
        <v>2456</v>
      </c>
      <c r="E22" s="4">
        <v>2191</v>
      </c>
    </row>
    <row r="23" spans="1:5" ht="23.1" customHeight="1" x14ac:dyDescent="0.25">
      <c r="A23" s="4">
        <v>16</v>
      </c>
      <c r="B23" s="4" t="s">
        <v>986</v>
      </c>
      <c r="C23" s="4">
        <v>3431</v>
      </c>
      <c r="D23" s="4">
        <v>1475</v>
      </c>
      <c r="E23" s="4">
        <v>1956</v>
      </c>
    </row>
    <row r="24" spans="1:5" ht="23.1" customHeight="1" x14ac:dyDescent="0.25">
      <c r="A24" s="4">
        <v>17</v>
      </c>
      <c r="B24" s="4" t="s">
        <v>987</v>
      </c>
      <c r="C24" s="4">
        <v>9036</v>
      </c>
      <c r="D24" s="4">
        <v>3657</v>
      </c>
      <c r="E24" s="4">
        <v>5379</v>
      </c>
    </row>
    <row r="25" spans="1:5" ht="23.1" customHeight="1" x14ac:dyDescent="0.25">
      <c r="A25" s="10">
        <v>18</v>
      </c>
      <c r="B25" s="10" t="s">
        <v>988</v>
      </c>
      <c r="C25" s="10">
        <v>9578</v>
      </c>
      <c r="D25" s="10">
        <v>4243</v>
      </c>
      <c r="E25" s="10">
        <v>5335</v>
      </c>
    </row>
    <row r="26" spans="1:5" ht="23.1" customHeight="1" x14ac:dyDescent="0.25"/>
    <row r="27" spans="1:5" ht="23.1" customHeight="1" x14ac:dyDescent="0.25"/>
    <row r="28" spans="1:5" ht="23.1" customHeight="1" x14ac:dyDescent="0.25"/>
    <row r="29" spans="1:5" ht="23.1" customHeight="1" x14ac:dyDescent="0.25"/>
    <row r="30" spans="1:5" ht="23.1" customHeight="1" x14ac:dyDescent="0.25"/>
    <row r="31" spans="1:5" ht="23.1" customHeight="1" x14ac:dyDescent="0.25"/>
    <row r="32" spans="1:5" ht="23.1" customHeight="1" x14ac:dyDescent="0.25"/>
    <row r="33" ht="23.1" customHeight="1" x14ac:dyDescent="0.25"/>
    <row r="34" ht="23.1" customHeight="1" x14ac:dyDescent="0.25"/>
    <row r="35" ht="23.1" customHeight="1" x14ac:dyDescent="0.25"/>
    <row r="36" ht="23.1" customHeight="1" x14ac:dyDescent="0.25"/>
    <row r="37" ht="23.1" customHeight="1" x14ac:dyDescent="0.25"/>
    <row r="38" ht="23.1" customHeight="1" x14ac:dyDescent="0.25"/>
    <row r="39" ht="23.1" customHeight="1" x14ac:dyDescent="0.25"/>
    <row r="40" ht="23.1" customHeight="1" x14ac:dyDescent="0.25"/>
    <row r="41" ht="23.1" customHeight="1" x14ac:dyDescent="0.25"/>
    <row r="42" ht="23.1" customHeight="1" x14ac:dyDescent="0.25"/>
    <row r="43" ht="23.1" customHeight="1" x14ac:dyDescent="0.25"/>
    <row r="44" ht="23.1" customHeight="1" x14ac:dyDescent="0.25"/>
    <row r="45" ht="23.1" customHeight="1" x14ac:dyDescent="0.25"/>
    <row r="46" ht="23.1" customHeight="1" x14ac:dyDescent="0.25"/>
    <row r="47" ht="23.1" customHeight="1" x14ac:dyDescent="0.25"/>
    <row r="48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1" customHeight="1" x14ac:dyDescent="0.25"/>
    <row r="69" ht="23.1" customHeight="1" x14ac:dyDescent="0.25"/>
    <row r="70" ht="23.1" customHeight="1" x14ac:dyDescent="0.25"/>
    <row r="71" ht="23.1" customHeight="1" x14ac:dyDescent="0.25"/>
    <row r="72" ht="23.1" customHeight="1" x14ac:dyDescent="0.25"/>
    <row r="73" ht="23.1" customHeight="1" x14ac:dyDescent="0.25"/>
    <row r="74" ht="23.1" customHeight="1" x14ac:dyDescent="0.25"/>
    <row r="75" ht="23.1" customHeight="1" x14ac:dyDescent="0.25"/>
    <row r="76" ht="23.1" customHeight="1" x14ac:dyDescent="0.25"/>
    <row r="77" ht="23.1" customHeight="1" x14ac:dyDescent="0.25"/>
    <row r="78" ht="23.1" customHeight="1" x14ac:dyDescent="0.25"/>
    <row r="79" ht="23.1" customHeight="1" x14ac:dyDescent="0.25"/>
    <row r="80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45" customHeight="1" x14ac:dyDescent="0.25"/>
    <row r="85" ht="23.45" customHeight="1" x14ac:dyDescent="0.25"/>
    <row r="86" ht="23.45" customHeight="1" x14ac:dyDescent="0.25"/>
    <row r="87" ht="23.45" customHeight="1" x14ac:dyDescent="0.25"/>
    <row r="88" ht="23.45" customHeight="1" x14ac:dyDescent="0.25"/>
    <row r="89" ht="23.45" customHeight="1" x14ac:dyDescent="0.25"/>
    <row r="90" ht="23.45" customHeight="1" x14ac:dyDescent="0.25"/>
    <row r="91" ht="23.45" customHeight="1" x14ac:dyDescent="0.25"/>
    <row r="92" ht="23.45" customHeight="1" x14ac:dyDescent="0.25"/>
    <row r="93" ht="23.45" customHeight="1" x14ac:dyDescent="0.25"/>
    <row r="94" ht="23.45" customHeight="1" x14ac:dyDescent="0.25"/>
    <row r="95" ht="23.45" customHeight="1" x14ac:dyDescent="0.25"/>
    <row r="96" ht="23.45" customHeight="1" x14ac:dyDescent="0.25"/>
    <row r="97" ht="23.45" customHeight="1" x14ac:dyDescent="0.25"/>
    <row r="98" ht="23.45" customHeight="1" x14ac:dyDescent="0.25"/>
    <row r="99" ht="23.45" customHeight="1" x14ac:dyDescent="0.25"/>
    <row r="100" ht="23.45" customHeight="1" x14ac:dyDescent="0.25"/>
    <row r="101" ht="23.45" customHeight="1" x14ac:dyDescent="0.25"/>
    <row r="102" ht="23.45" customHeight="1" x14ac:dyDescent="0.25"/>
    <row r="103" ht="23.45" customHeight="1" x14ac:dyDescent="0.25"/>
    <row r="104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 West District, Sangyoung  Township"/>
  </hyperlinks>
  <pageMargins left="0.75" right="0.5" top="0.5" bottom="0.2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sqref="A1:E1"/>
    </sheetView>
  </sheetViews>
  <sheetFormatPr defaultRowHeight="15" x14ac:dyDescent="0.25"/>
  <cols>
    <col min="1" max="1" width="7" customWidth="1"/>
    <col min="2" max="2" width="20.140625" customWidth="1"/>
    <col min="3" max="5" width="15.7109375" customWidth="1"/>
  </cols>
  <sheetData>
    <row r="1" spans="1:5" s="6" customFormat="1" ht="23.45" customHeight="1" x14ac:dyDescent="0.4">
      <c r="A1" s="80" t="s">
        <v>1084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6"/>
      <c r="B5" s="57" t="s">
        <v>0</v>
      </c>
      <c r="C5" s="57">
        <v>160307</v>
      </c>
      <c r="D5" s="57">
        <v>75029</v>
      </c>
      <c r="E5" s="57">
        <v>85278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3" t="s">
        <v>1028</v>
      </c>
      <c r="C7" s="13">
        <f>SUM(C8:C23)</f>
        <v>160307</v>
      </c>
      <c r="D7" s="13">
        <f t="shared" ref="D7:E7" si="0">SUM(D8:D23)</f>
        <v>75029</v>
      </c>
      <c r="E7" s="13">
        <f t="shared" si="0"/>
        <v>85278</v>
      </c>
    </row>
    <row r="8" spans="1:5" ht="23.1" customHeight="1" x14ac:dyDescent="0.25">
      <c r="A8" s="4">
        <v>1</v>
      </c>
      <c r="B8" s="4" t="s">
        <v>56</v>
      </c>
      <c r="C8" s="4">
        <v>13693</v>
      </c>
      <c r="D8" s="4">
        <v>6489</v>
      </c>
      <c r="E8" s="4">
        <v>7204</v>
      </c>
    </row>
    <row r="9" spans="1:5" ht="23.1" customHeight="1" x14ac:dyDescent="0.25">
      <c r="A9" s="4">
        <v>2</v>
      </c>
      <c r="B9" s="4" t="s">
        <v>57</v>
      </c>
      <c r="C9" s="4">
        <v>13251</v>
      </c>
      <c r="D9" s="4">
        <v>6486</v>
      </c>
      <c r="E9" s="4">
        <v>6765</v>
      </c>
    </row>
    <row r="10" spans="1:5" ht="23.1" customHeight="1" x14ac:dyDescent="0.25">
      <c r="A10" s="4">
        <v>3</v>
      </c>
      <c r="B10" s="4" t="s">
        <v>58</v>
      </c>
      <c r="C10" s="4">
        <v>6396</v>
      </c>
      <c r="D10" s="4">
        <v>3144</v>
      </c>
      <c r="E10" s="4">
        <v>3252</v>
      </c>
    </row>
    <row r="11" spans="1:5" ht="23.1" customHeight="1" x14ac:dyDescent="0.25">
      <c r="A11" s="4">
        <v>4</v>
      </c>
      <c r="B11" s="4" t="s">
        <v>59</v>
      </c>
      <c r="C11" s="4">
        <v>5387</v>
      </c>
      <c r="D11" s="4">
        <v>2558</v>
      </c>
      <c r="E11" s="4">
        <v>2829</v>
      </c>
    </row>
    <row r="12" spans="1:5" ht="23.1" customHeight="1" x14ac:dyDescent="0.25">
      <c r="A12" s="4">
        <v>5</v>
      </c>
      <c r="B12" s="4" t="s">
        <v>242</v>
      </c>
      <c r="C12" s="4">
        <v>8179</v>
      </c>
      <c r="D12" s="4">
        <v>3768</v>
      </c>
      <c r="E12" s="4">
        <v>4411</v>
      </c>
    </row>
    <row r="13" spans="1:5" ht="23.1" customHeight="1" x14ac:dyDescent="0.25">
      <c r="A13" s="4">
        <v>6</v>
      </c>
      <c r="B13" s="4" t="s">
        <v>294</v>
      </c>
      <c r="C13" s="4">
        <v>4817</v>
      </c>
      <c r="D13" s="4">
        <v>2284</v>
      </c>
      <c r="E13" s="4">
        <v>2533</v>
      </c>
    </row>
    <row r="14" spans="1:5" ht="23.1" customHeight="1" x14ac:dyDescent="0.25">
      <c r="A14" s="4">
        <v>7</v>
      </c>
      <c r="B14" s="4" t="s">
        <v>295</v>
      </c>
      <c r="C14" s="4">
        <v>15497</v>
      </c>
      <c r="D14" s="4">
        <v>7182</v>
      </c>
      <c r="E14" s="4">
        <v>8315</v>
      </c>
    </row>
    <row r="15" spans="1:5" ht="23.1" customHeight="1" x14ac:dyDescent="0.25">
      <c r="A15" s="4">
        <v>8</v>
      </c>
      <c r="B15" s="4" t="s">
        <v>296</v>
      </c>
      <c r="C15" s="4">
        <v>4501</v>
      </c>
      <c r="D15" s="4">
        <v>2044</v>
      </c>
      <c r="E15" s="4">
        <v>2457</v>
      </c>
    </row>
    <row r="16" spans="1:5" ht="23.1" customHeight="1" x14ac:dyDescent="0.25">
      <c r="A16" s="4">
        <v>9</v>
      </c>
      <c r="B16" s="4" t="s">
        <v>297</v>
      </c>
      <c r="C16" s="4">
        <v>9601</v>
      </c>
      <c r="D16" s="4">
        <v>4559</v>
      </c>
      <c r="E16" s="4">
        <v>5042</v>
      </c>
    </row>
    <row r="17" spans="1:5" ht="23.1" customHeight="1" x14ac:dyDescent="0.25">
      <c r="A17" s="4">
        <v>10</v>
      </c>
      <c r="B17" s="4" t="s">
        <v>298</v>
      </c>
      <c r="C17" s="4">
        <v>7681</v>
      </c>
      <c r="D17" s="4">
        <v>3414</v>
      </c>
      <c r="E17" s="4">
        <v>4267</v>
      </c>
    </row>
    <row r="18" spans="1:5" ht="23.1" customHeight="1" x14ac:dyDescent="0.25">
      <c r="A18" s="4">
        <v>11</v>
      </c>
      <c r="B18" s="4" t="s">
        <v>299</v>
      </c>
      <c r="C18" s="4">
        <v>9782</v>
      </c>
      <c r="D18" s="4">
        <v>4427</v>
      </c>
      <c r="E18" s="4">
        <v>5355</v>
      </c>
    </row>
    <row r="19" spans="1:5" ht="23.1" customHeight="1" x14ac:dyDescent="0.25">
      <c r="A19" s="4">
        <v>12</v>
      </c>
      <c r="B19" s="4" t="s">
        <v>300</v>
      </c>
      <c r="C19" s="4">
        <v>14471</v>
      </c>
      <c r="D19" s="4">
        <v>6822</v>
      </c>
      <c r="E19" s="4">
        <v>7649</v>
      </c>
    </row>
    <row r="20" spans="1:5" ht="23.1" customHeight="1" x14ac:dyDescent="0.25">
      <c r="A20" s="4">
        <v>13</v>
      </c>
      <c r="B20" s="4" t="s">
        <v>301</v>
      </c>
      <c r="C20" s="4">
        <v>21015</v>
      </c>
      <c r="D20" s="4">
        <v>9688</v>
      </c>
      <c r="E20" s="4">
        <v>11327</v>
      </c>
    </row>
    <row r="21" spans="1:5" ht="23.1" customHeight="1" x14ac:dyDescent="0.25">
      <c r="A21" s="4">
        <v>14</v>
      </c>
      <c r="B21" s="4" t="s">
        <v>302</v>
      </c>
      <c r="C21" s="4">
        <v>4832</v>
      </c>
      <c r="D21" s="4">
        <v>2251</v>
      </c>
      <c r="E21" s="4">
        <v>2581</v>
      </c>
    </row>
    <row r="22" spans="1:5" ht="23.1" customHeight="1" x14ac:dyDescent="0.25">
      <c r="A22" s="4">
        <v>15</v>
      </c>
      <c r="B22" s="4" t="s">
        <v>303</v>
      </c>
      <c r="C22" s="4">
        <v>4034</v>
      </c>
      <c r="D22" s="4">
        <v>2086</v>
      </c>
      <c r="E22" s="4">
        <v>1948</v>
      </c>
    </row>
    <row r="23" spans="1:5" ht="23.1" customHeight="1" x14ac:dyDescent="0.25">
      <c r="A23" s="10">
        <v>16</v>
      </c>
      <c r="B23" s="10" t="s">
        <v>304</v>
      </c>
      <c r="C23" s="10">
        <v>17170</v>
      </c>
      <c r="D23" s="10">
        <v>7827</v>
      </c>
      <c r="E23" s="10">
        <v>9343</v>
      </c>
    </row>
    <row r="24" spans="1:5" ht="23.1" customHeight="1" x14ac:dyDescent="0.25">
      <c r="A24" s="23"/>
      <c r="B24" s="23"/>
      <c r="C24" s="23"/>
      <c r="D24" s="23"/>
      <c r="E24" s="23"/>
    </row>
    <row r="25" spans="1:5" ht="23.1" customHeight="1" x14ac:dyDescent="0.25">
      <c r="A25" s="23"/>
      <c r="B25" s="23"/>
      <c r="C25" s="23"/>
      <c r="D25" s="23"/>
      <c r="E25" s="23"/>
    </row>
    <row r="26" spans="1:5" ht="23.1" customHeight="1" x14ac:dyDescent="0.25"/>
    <row r="27" spans="1:5" ht="23.1" customHeight="1" x14ac:dyDescent="0.25"/>
    <row r="28" spans="1:5" ht="23.1" customHeight="1" x14ac:dyDescent="0.25"/>
    <row r="29" spans="1:5" ht="23.1" customHeight="1" x14ac:dyDescent="0.25"/>
    <row r="30" spans="1:5" ht="23.1" customHeight="1" x14ac:dyDescent="0.25"/>
    <row r="31" spans="1:5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West District, Hline  Township"/>
  </hyperlinks>
  <pageMargins left="0.75" right="0.5" top="0.5" bottom="0.2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15" x14ac:dyDescent="0.25"/>
  <cols>
    <col min="2" max="2" width="19.85546875" customWidth="1"/>
    <col min="3" max="5" width="15.7109375" customWidth="1"/>
  </cols>
  <sheetData>
    <row r="1" spans="1:5" s="6" customFormat="1" ht="23.45" customHeight="1" x14ac:dyDescent="0.4">
      <c r="A1" s="80" t="s">
        <v>1085</v>
      </c>
      <c r="B1" s="80"/>
      <c r="C1" s="80"/>
      <c r="D1" s="80"/>
      <c r="E1" s="80"/>
    </row>
    <row r="2" spans="1:5" s="6" customFormat="1" ht="23.45" customHeight="1" x14ac:dyDescent="0.4">
      <c r="B2" s="1"/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84569</v>
      </c>
      <c r="D5" s="57">
        <v>36958</v>
      </c>
      <c r="E5" s="57">
        <v>47611</v>
      </c>
    </row>
    <row r="6" spans="1:5" ht="23.1" customHeight="1" x14ac:dyDescent="0.25">
      <c r="A6" s="4"/>
      <c r="B6" s="4"/>
      <c r="C6" s="4"/>
      <c r="D6" s="4"/>
      <c r="E6" s="4"/>
    </row>
    <row r="7" spans="1:5" ht="23.1" customHeight="1" x14ac:dyDescent="0.25">
      <c r="A7" s="4"/>
      <c r="B7" s="15" t="s">
        <v>1028</v>
      </c>
      <c r="C7" s="15">
        <f>SUM(C8:C17)</f>
        <v>84569</v>
      </c>
      <c r="D7" s="15">
        <f t="shared" ref="D7:E7" si="0">SUM(D8:D17)</f>
        <v>36958</v>
      </c>
      <c r="E7" s="15">
        <f t="shared" si="0"/>
        <v>47611</v>
      </c>
    </row>
    <row r="8" spans="1:5" ht="23.1" customHeight="1" x14ac:dyDescent="0.25">
      <c r="A8" s="4">
        <v>1</v>
      </c>
      <c r="B8" s="4" t="s">
        <v>56</v>
      </c>
      <c r="C8" s="4">
        <v>13291</v>
      </c>
      <c r="D8" s="4">
        <v>5889</v>
      </c>
      <c r="E8" s="4">
        <v>7402</v>
      </c>
    </row>
    <row r="9" spans="1:5" ht="23.1" customHeight="1" x14ac:dyDescent="0.25">
      <c r="A9" s="4">
        <v>2</v>
      </c>
      <c r="B9" s="4" t="s">
        <v>57</v>
      </c>
      <c r="C9" s="4">
        <v>5819</v>
      </c>
      <c r="D9" s="4">
        <v>2490</v>
      </c>
      <c r="E9" s="4">
        <v>3329</v>
      </c>
    </row>
    <row r="10" spans="1:5" ht="23.1" customHeight="1" x14ac:dyDescent="0.25">
      <c r="A10" s="4">
        <v>3</v>
      </c>
      <c r="B10" s="4" t="s">
        <v>58</v>
      </c>
      <c r="C10" s="4">
        <v>17021</v>
      </c>
      <c r="D10" s="4">
        <v>6695</v>
      </c>
      <c r="E10" s="4">
        <v>10326</v>
      </c>
    </row>
    <row r="11" spans="1:5" ht="23.1" customHeight="1" x14ac:dyDescent="0.25">
      <c r="A11" s="4">
        <v>4</v>
      </c>
      <c r="B11" s="4" t="s">
        <v>59</v>
      </c>
      <c r="C11" s="4">
        <v>11021</v>
      </c>
      <c r="D11" s="4">
        <v>4909</v>
      </c>
      <c r="E11" s="4">
        <v>6112</v>
      </c>
    </row>
    <row r="12" spans="1:5" ht="23.1" customHeight="1" x14ac:dyDescent="0.25">
      <c r="A12" s="4">
        <v>5</v>
      </c>
      <c r="B12" s="4" t="s">
        <v>242</v>
      </c>
      <c r="C12" s="4">
        <v>6863</v>
      </c>
      <c r="D12" s="4">
        <v>3086</v>
      </c>
      <c r="E12" s="4">
        <v>3777</v>
      </c>
    </row>
    <row r="13" spans="1:5" ht="23.1" customHeight="1" x14ac:dyDescent="0.25">
      <c r="A13" s="4">
        <v>6</v>
      </c>
      <c r="B13" s="4" t="s">
        <v>294</v>
      </c>
      <c r="C13" s="4">
        <v>4038</v>
      </c>
      <c r="D13" s="4">
        <v>1846</v>
      </c>
      <c r="E13" s="4">
        <v>2192</v>
      </c>
    </row>
    <row r="14" spans="1:5" ht="23.1" customHeight="1" x14ac:dyDescent="0.25">
      <c r="A14" s="4">
        <v>7</v>
      </c>
      <c r="B14" s="4" t="s">
        <v>295</v>
      </c>
      <c r="C14" s="4">
        <v>6907</v>
      </c>
      <c r="D14" s="4">
        <v>3573</v>
      </c>
      <c r="E14" s="4">
        <v>3334</v>
      </c>
    </row>
    <row r="15" spans="1:5" ht="23.1" customHeight="1" x14ac:dyDescent="0.25">
      <c r="A15" s="4">
        <v>8</v>
      </c>
      <c r="B15" s="4" t="s">
        <v>296</v>
      </c>
      <c r="C15" s="4">
        <v>8603</v>
      </c>
      <c r="D15" s="4">
        <v>3606</v>
      </c>
      <c r="E15" s="4">
        <v>4997</v>
      </c>
    </row>
    <row r="16" spans="1:5" ht="23.1" customHeight="1" x14ac:dyDescent="0.25">
      <c r="A16" s="4">
        <v>9</v>
      </c>
      <c r="B16" s="4" t="s">
        <v>297</v>
      </c>
      <c r="C16" s="4">
        <v>5083</v>
      </c>
      <c r="D16" s="4">
        <v>2240</v>
      </c>
      <c r="E16" s="4">
        <v>2843</v>
      </c>
    </row>
    <row r="17" spans="1:5" ht="23.1" customHeight="1" x14ac:dyDescent="0.25">
      <c r="A17" s="10">
        <v>10</v>
      </c>
      <c r="B17" s="10" t="s">
        <v>298</v>
      </c>
      <c r="C17" s="10">
        <v>5923</v>
      </c>
      <c r="D17" s="10">
        <v>2624</v>
      </c>
      <c r="E17" s="10">
        <v>3299</v>
      </c>
    </row>
    <row r="18" spans="1:5" ht="23.1" customHeight="1" x14ac:dyDescent="0.25"/>
    <row r="19" spans="1:5" ht="23.45" customHeight="1" x14ac:dyDescent="0.25"/>
    <row r="20" spans="1:5" ht="23.45" customHeight="1" x14ac:dyDescent="0.25"/>
    <row r="21" spans="1:5" ht="23.45" customHeight="1" x14ac:dyDescent="0.25"/>
    <row r="22" spans="1:5" ht="23.45" customHeight="1" x14ac:dyDescent="0.25"/>
    <row r="23" spans="1:5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West District,     Kamayut  Township"/>
  </hyperlinks>
  <pageMargins left="0.75" right="0.5" top="0.5" bottom="0.2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sqref="A1:E1"/>
    </sheetView>
  </sheetViews>
  <sheetFormatPr defaultRowHeight="15" x14ac:dyDescent="0.25"/>
  <cols>
    <col min="1" max="1" width="5.5703125" customWidth="1"/>
    <col min="2" max="2" width="41.140625" customWidth="1"/>
    <col min="3" max="5" width="13.7109375" customWidth="1"/>
  </cols>
  <sheetData>
    <row r="1" spans="1:5" s="6" customFormat="1" ht="23.45" customHeight="1" x14ac:dyDescent="0.4">
      <c r="A1" s="80" t="s">
        <v>1086</v>
      </c>
      <c r="B1" s="80"/>
      <c r="C1" s="80"/>
      <c r="D1" s="80"/>
      <c r="E1" s="80"/>
    </row>
    <row r="2" spans="1:5" s="6" customFormat="1" ht="23.45" customHeight="1" x14ac:dyDescent="0.4"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0"/>
      <c r="B5" s="57" t="s">
        <v>0</v>
      </c>
      <c r="C5" s="57">
        <v>198113</v>
      </c>
      <c r="D5" s="57">
        <v>93392</v>
      </c>
      <c r="E5" s="57">
        <v>104721</v>
      </c>
    </row>
    <row r="6" spans="1:5" ht="23.1" customHeight="1" x14ac:dyDescent="0.25">
      <c r="A6" s="9"/>
      <c r="B6" s="15"/>
      <c r="C6" s="15"/>
      <c r="D6" s="15"/>
      <c r="E6" s="15"/>
    </row>
    <row r="7" spans="1:5" ht="23.1" customHeight="1" x14ac:dyDescent="0.25">
      <c r="A7" s="9"/>
      <c r="B7" s="15" t="s">
        <v>1028</v>
      </c>
      <c r="C7" s="15">
        <f>SUM(C8:C17)</f>
        <v>198113</v>
      </c>
      <c r="D7" s="15">
        <f>SUM(D8:D17)</f>
        <v>93392</v>
      </c>
      <c r="E7" s="15">
        <f>SUM(E8:E17)</f>
        <v>104721</v>
      </c>
    </row>
    <row r="8" spans="1:5" ht="23.1" customHeight="1" x14ac:dyDescent="0.25">
      <c r="A8" s="9">
        <v>1</v>
      </c>
      <c r="B8" s="9" t="s">
        <v>989</v>
      </c>
      <c r="C8" s="9">
        <v>36777</v>
      </c>
      <c r="D8" s="9">
        <v>17727</v>
      </c>
      <c r="E8" s="9">
        <v>19050</v>
      </c>
    </row>
    <row r="9" spans="1:5" ht="23.1" customHeight="1" x14ac:dyDescent="0.25">
      <c r="A9" s="9">
        <v>2</v>
      </c>
      <c r="B9" s="9" t="s">
        <v>990</v>
      </c>
      <c r="C9" s="9">
        <v>34588</v>
      </c>
      <c r="D9" s="9">
        <v>15599</v>
      </c>
      <c r="E9" s="9">
        <v>18989</v>
      </c>
    </row>
    <row r="10" spans="1:5" ht="23.1" customHeight="1" x14ac:dyDescent="0.25">
      <c r="A10" s="9">
        <v>3</v>
      </c>
      <c r="B10" s="9" t="s">
        <v>991</v>
      </c>
      <c r="C10" s="9">
        <v>27885</v>
      </c>
      <c r="D10" s="9">
        <v>12736</v>
      </c>
      <c r="E10" s="9">
        <v>15149</v>
      </c>
    </row>
    <row r="11" spans="1:5" ht="23.1" customHeight="1" x14ac:dyDescent="0.25">
      <c r="A11" s="9">
        <v>4</v>
      </c>
      <c r="B11" s="9" t="s">
        <v>992</v>
      </c>
      <c r="C11" s="9">
        <v>13804</v>
      </c>
      <c r="D11" s="9">
        <v>6409</v>
      </c>
      <c r="E11" s="9">
        <v>7395</v>
      </c>
    </row>
    <row r="12" spans="1:5" ht="23.1" customHeight="1" x14ac:dyDescent="0.25">
      <c r="A12" s="9">
        <v>5</v>
      </c>
      <c r="B12" s="9" t="s">
        <v>993</v>
      </c>
      <c r="C12" s="9">
        <v>38672</v>
      </c>
      <c r="D12" s="9">
        <v>18874</v>
      </c>
      <c r="E12" s="9">
        <v>19798</v>
      </c>
    </row>
    <row r="13" spans="1:5" ht="23.1" customHeight="1" x14ac:dyDescent="0.25">
      <c r="A13" s="9">
        <v>6</v>
      </c>
      <c r="B13" s="9" t="s">
        <v>994</v>
      </c>
      <c r="C13" s="9">
        <v>9387</v>
      </c>
      <c r="D13" s="9">
        <v>4250</v>
      </c>
      <c r="E13" s="9">
        <v>5137</v>
      </c>
    </row>
    <row r="14" spans="1:5" ht="23.1" customHeight="1" x14ac:dyDescent="0.25">
      <c r="A14" s="9">
        <v>7</v>
      </c>
      <c r="B14" s="9" t="s">
        <v>995</v>
      </c>
      <c r="C14" s="9">
        <v>8475</v>
      </c>
      <c r="D14" s="9">
        <v>3977</v>
      </c>
      <c r="E14" s="9">
        <v>4498</v>
      </c>
    </row>
    <row r="15" spans="1:5" ht="23.1" customHeight="1" x14ac:dyDescent="0.25">
      <c r="A15" s="9">
        <v>8</v>
      </c>
      <c r="B15" s="9" t="s">
        <v>996</v>
      </c>
      <c r="C15" s="9">
        <v>13701</v>
      </c>
      <c r="D15" s="9">
        <v>6482</v>
      </c>
      <c r="E15" s="9">
        <v>7219</v>
      </c>
    </row>
    <row r="16" spans="1:5" ht="23.1" customHeight="1" x14ac:dyDescent="0.25">
      <c r="A16" s="9">
        <v>9</v>
      </c>
      <c r="B16" s="9" t="s">
        <v>997</v>
      </c>
      <c r="C16" s="9">
        <v>8955</v>
      </c>
      <c r="D16" s="9">
        <v>4467</v>
      </c>
      <c r="E16" s="9">
        <v>4488</v>
      </c>
    </row>
    <row r="17" spans="1:5" ht="23.1" customHeight="1" x14ac:dyDescent="0.25">
      <c r="A17" s="11">
        <v>10</v>
      </c>
      <c r="B17" s="11" t="s">
        <v>998</v>
      </c>
      <c r="C17" s="11">
        <v>5869</v>
      </c>
      <c r="D17" s="11">
        <v>2871</v>
      </c>
      <c r="E17" s="11">
        <v>2998</v>
      </c>
    </row>
    <row r="18" spans="1:5" ht="23.45" customHeight="1" x14ac:dyDescent="0.25"/>
    <row r="19" spans="1:5" ht="23.45" customHeight="1" x14ac:dyDescent="0.25"/>
    <row r="20" spans="1:5" ht="23.45" customHeight="1" x14ac:dyDescent="0.25"/>
    <row r="21" spans="1:5" ht="23.45" customHeight="1" x14ac:dyDescent="0.25"/>
    <row r="22" spans="1:5" ht="23.45" customHeight="1" x14ac:dyDescent="0.25"/>
    <row r="23" spans="1:5" ht="23.45" customHeight="1" x14ac:dyDescent="0.25"/>
    <row r="24" spans="1:5" ht="23.45" customHeight="1" x14ac:dyDescent="0.25"/>
    <row r="25" spans="1:5" ht="23.45" customHeight="1" x14ac:dyDescent="0.25"/>
    <row r="26" spans="1:5" ht="23.45" customHeight="1" x14ac:dyDescent="0.25"/>
    <row r="27" spans="1:5" ht="23.45" customHeight="1" x14ac:dyDescent="0.25"/>
    <row r="28" spans="1:5" ht="23.45" customHeight="1" x14ac:dyDescent="0.25"/>
    <row r="29" spans="1:5" ht="23.45" customHeight="1" x14ac:dyDescent="0.25"/>
    <row r="30" spans="1:5" ht="23.45" customHeight="1" x14ac:dyDescent="0.25"/>
    <row r="31" spans="1:5" ht="23.45" customHeight="1" x14ac:dyDescent="0.25"/>
    <row r="32" spans="1:5" ht="23.45" customHeight="1" x14ac:dyDescent="0.25"/>
    <row r="33" ht="23.45" customHeight="1" x14ac:dyDescent="0.25"/>
    <row r="34" ht="23.45" customHeight="1" x14ac:dyDescent="0.25"/>
    <row r="35" ht="23.45" customHeight="1" x14ac:dyDescent="0.25"/>
    <row r="36" ht="23.45" customHeight="1" x14ac:dyDescent="0.25"/>
    <row r="37" ht="23.45" customHeight="1" x14ac:dyDescent="0.25"/>
    <row r="38" ht="23.45" customHeight="1" x14ac:dyDescent="0.25"/>
    <row r="39" ht="23.45" customHeight="1" x14ac:dyDescent="0.25"/>
    <row r="40" ht="23.45" customHeight="1" x14ac:dyDescent="0.25"/>
    <row r="41" ht="23.45" customHeight="1" x14ac:dyDescent="0.25"/>
    <row r="42" ht="23.45" customHeight="1" x14ac:dyDescent="0.25"/>
    <row r="43" ht="23.45" customHeight="1" x14ac:dyDescent="0.25"/>
    <row r="44" ht="23.45" customHeight="1" x14ac:dyDescent="0.25"/>
    <row r="45" ht="23.45" customHeight="1" x14ac:dyDescent="0.25"/>
    <row r="46" ht="23.45" customHeight="1" x14ac:dyDescent="0.25"/>
    <row r="47" ht="23.45" customHeight="1" x14ac:dyDescent="0.25"/>
    <row r="48" ht="23.45" customHeight="1" x14ac:dyDescent="0.25"/>
    <row r="49" ht="23.45" customHeight="1" x14ac:dyDescent="0.25"/>
    <row r="50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West District, Mayangon   Township"/>
  </hyperlinks>
  <pageMargins left="0.75" right="0.5" top="0.5" bottom="0.2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1" max="1" width="7.140625" customWidth="1"/>
    <col min="2" max="2" width="23.85546875" customWidth="1"/>
    <col min="3" max="5" width="15.7109375" customWidth="1"/>
  </cols>
  <sheetData>
    <row r="1" spans="1:5" s="6" customFormat="1" ht="23.45" customHeight="1" x14ac:dyDescent="0.4">
      <c r="A1" s="80" t="s">
        <v>1087</v>
      </c>
      <c r="B1" s="80"/>
      <c r="C1" s="80"/>
      <c r="D1" s="80"/>
      <c r="E1" s="80"/>
    </row>
    <row r="2" spans="1:5" s="6" customFormat="1" ht="23.45" customHeight="1" x14ac:dyDescent="0.4"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58" t="s">
        <v>0</v>
      </c>
      <c r="D4" s="58" t="s">
        <v>1</v>
      </c>
      <c r="E4" s="58" t="s">
        <v>2</v>
      </c>
    </row>
    <row r="5" spans="1:5" s="3" customFormat="1" ht="23.1" customHeight="1" x14ac:dyDescent="0.4">
      <c r="A5" s="61"/>
      <c r="B5" s="57" t="s">
        <v>0</v>
      </c>
      <c r="C5" s="57">
        <v>25082</v>
      </c>
      <c r="D5" s="57">
        <v>11846</v>
      </c>
      <c r="E5" s="57">
        <v>13236</v>
      </c>
    </row>
    <row r="6" spans="1:5" ht="23.1" customHeight="1" x14ac:dyDescent="0.25">
      <c r="A6" s="4"/>
      <c r="B6" s="13"/>
      <c r="C6" s="13"/>
      <c r="D6" s="13"/>
      <c r="E6" s="13"/>
    </row>
    <row r="7" spans="1:5" ht="23.1" customHeight="1" x14ac:dyDescent="0.25">
      <c r="A7" s="4"/>
      <c r="B7" s="15" t="s">
        <v>1028</v>
      </c>
      <c r="C7" s="15">
        <f>SUM(C8:C12)</f>
        <v>25082</v>
      </c>
      <c r="D7" s="15">
        <f t="shared" ref="D7:E7" si="0">SUM(D8:D12)</f>
        <v>11846</v>
      </c>
      <c r="E7" s="15">
        <f t="shared" si="0"/>
        <v>13236</v>
      </c>
    </row>
    <row r="8" spans="1:5" ht="23.1" customHeight="1" x14ac:dyDescent="0.25">
      <c r="A8" s="4">
        <v>1</v>
      </c>
      <c r="B8" s="4" t="s">
        <v>999</v>
      </c>
      <c r="C8" s="4">
        <v>7336</v>
      </c>
      <c r="D8" s="4">
        <v>3205</v>
      </c>
      <c r="E8" s="4">
        <v>4131</v>
      </c>
    </row>
    <row r="9" spans="1:5" ht="23.1" customHeight="1" x14ac:dyDescent="0.25">
      <c r="A9" s="4">
        <v>2</v>
      </c>
      <c r="B9" s="4" t="s">
        <v>1000</v>
      </c>
      <c r="C9" s="4">
        <v>3459</v>
      </c>
      <c r="D9" s="4">
        <v>1455</v>
      </c>
      <c r="E9" s="4">
        <v>2004</v>
      </c>
    </row>
    <row r="10" spans="1:5" ht="23.1" customHeight="1" x14ac:dyDescent="0.25">
      <c r="A10" s="4">
        <v>3</v>
      </c>
      <c r="B10" s="4" t="s">
        <v>1001</v>
      </c>
      <c r="C10" s="4">
        <v>7959</v>
      </c>
      <c r="D10" s="4">
        <v>4182</v>
      </c>
      <c r="E10" s="4">
        <v>3777</v>
      </c>
    </row>
    <row r="11" spans="1:5" ht="23.1" customHeight="1" x14ac:dyDescent="0.25">
      <c r="A11" s="4">
        <v>4</v>
      </c>
      <c r="B11" s="4" t="s">
        <v>1002</v>
      </c>
      <c r="C11" s="4">
        <v>3928</v>
      </c>
      <c r="D11" s="4">
        <v>1687</v>
      </c>
      <c r="E11" s="4">
        <v>2241</v>
      </c>
    </row>
    <row r="12" spans="1:5" ht="23.1" customHeight="1" x14ac:dyDescent="0.25">
      <c r="A12" s="10">
        <v>5</v>
      </c>
      <c r="B12" s="10" t="s">
        <v>1003</v>
      </c>
      <c r="C12" s="10">
        <v>2400</v>
      </c>
      <c r="D12" s="10">
        <v>1317</v>
      </c>
      <c r="E12" s="10">
        <v>1083</v>
      </c>
    </row>
    <row r="13" spans="1:5" ht="23.45" customHeight="1" x14ac:dyDescent="0.25"/>
    <row r="14" spans="1:5" ht="23.45" customHeight="1" x14ac:dyDescent="0.25"/>
    <row r="15" spans="1:5" ht="23.45" customHeight="1" x14ac:dyDescent="0.25"/>
    <row r="16" spans="1:5" ht="23.45" customHeight="1" x14ac:dyDescent="0.25"/>
    <row r="17" ht="23.45" customHeight="1" x14ac:dyDescent="0.25"/>
    <row r="18" ht="23.45" customHeight="1" x14ac:dyDescent="0.25"/>
    <row r="19" ht="23.45" customHeight="1" x14ac:dyDescent="0.25"/>
    <row r="20" ht="23.45" customHeight="1" x14ac:dyDescent="0.25"/>
    <row r="21" ht="23.45" customHeight="1" x14ac:dyDescent="0.25"/>
    <row r="22" ht="23.45" customHeight="1" x14ac:dyDescent="0.25"/>
    <row r="23" ht="23.45" customHeight="1" x14ac:dyDescent="0.25"/>
    <row r="24" ht="23.45" customHeight="1" x14ac:dyDescent="0.25"/>
    <row r="25" ht="23.45" customHeight="1" x14ac:dyDescent="0.25"/>
    <row r="26" ht="23.45" customHeight="1" x14ac:dyDescent="0.25"/>
    <row r="27" ht="23.45" customHeight="1" x14ac:dyDescent="0.25"/>
    <row r="28" ht="23.45" customHeight="1" x14ac:dyDescent="0.25"/>
    <row r="29" ht="23.45" customHeight="1" x14ac:dyDescent="0.25"/>
    <row r="30" ht="23.45" customHeight="1" x14ac:dyDescent="0.25"/>
    <row r="31" ht="23.45" customHeight="1" x14ac:dyDescent="0.25"/>
    <row r="32" ht="23.45" customHeight="1" x14ac:dyDescent="0.25"/>
    <row r="33" ht="23.45" customHeight="1" x14ac:dyDescent="0.25"/>
    <row r="34" ht="23.45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West District,  Dagon Township"/>
  </hyperlinks>
  <pageMargins left="0.75" right="0.5" top="0.5" bottom="0.2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defaultRowHeight="15" x14ac:dyDescent="0.25"/>
  <cols>
    <col min="1" max="1" width="6" customWidth="1"/>
    <col min="2" max="2" width="48.85546875" customWidth="1"/>
    <col min="3" max="4" width="13.7109375" customWidth="1"/>
    <col min="5" max="5" width="13.28515625" customWidth="1"/>
  </cols>
  <sheetData>
    <row r="1" spans="1:5" s="6" customFormat="1" ht="23.45" customHeight="1" x14ac:dyDescent="0.4">
      <c r="A1" s="80" t="s">
        <v>1088</v>
      </c>
      <c r="B1" s="80"/>
      <c r="C1" s="80"/>
      <c r="D1" s="80"/>
      <c r="E1" s="80"/>
    </row>
    <row r="2" spans="1:5" s="6" customFormat="1" ht="23.45" customHeight="1" x14ac:dyDescent="0.4">
      <c r="C2" s="1"/>
      <c r="D2" s="1"/>
      <c r="E2" s="47" t="s">
        <v>1031</v>
      </c>
    </row>
    <row r="3" spans="1:5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5" s="7" customFormat="1" ht="23.45" customHeight="1" x14ac:dyDescent="0.35">
      <c r="A4" s="84"/>
      <c r="B4" s="84"/>
      <c r="C4" s="73" t="s">
        <v>0</v>
      </c>
      <c r="D4" s="73" t="s">
        <v>1</v>
      </c>
      <c r="E4" s="73" t="s">
        <v>2</v>
      </c>
    </row>
    <row r="5" spans="1:5" s="3" customFormat="1" ht="23.1" customHeight="1" x14ac:dyDescent="0.4">
      <c r="A5" s="60"/>
      <c r="B5" s="57" t="s">
        <v>0</v>
      </c>
      <c r="C5" s="57">
        <v>96732</v>
      </c>
      <c r="D5" s="57">
        <v>45518</v>
      </c>
      <c r="E5" s="57">
        <v>51214</v>
      </c>
    </row>
    <row r="6" spans="1:5" ht="23.1" customHeight="1" x14ac:dyDescent="0.25">
      <c r="A6" s="9"/>
      <c r="B6" s="15"/>
      <c r="C6" s="15"/>
      <c r="D6" s="15"/>
      <c r="E6" s="15"/>
    </row>
    <row r="7" spans="1:5" ht="23.1" customHeight="1" x14ac:dyDescent="0.25">
      <c r="A7" s="9"/>
      <c r="B7" s="15" t="s">
        <v>1028</v>
      </c>
      <c r="C7" s="15">
        <f>SUM(C8:C29)</f>
        <v>96732</v>
      </c>
      <c r="D7" s="15">
        <f>SUM(D8:D29)</f>
        <v>45518</v>
      </c>
      <c r="E7" s="15">
        <f>SUM(E8:E29)</f>
        <v>51214</v>
      </c>
    </row>
    <row r="8" spans="1:5" ht="23.1" customHeight="1" x14ac:dyDescent="0.25">
      <c r="A8" s="9">
        <v>1</v>
      </c>
      <c r="B8" s="9" t="s">
        <v>1004</v>
      </c>
      <c r="C8" s="9">
        <v>4369</v>
      </c>
      <c r="D8" s="9">
        <v>2122</v>
      </c>
      <c r="E8" s="9">
        <v>2247</v>
      </c>
    </row>
    <row r="9" spans="1:5" ht="23.1" customHeight="1" x14ac:dyDescent="0.25">
      <c r="A9" s="9">
        <v>2</v>
      </c>
      <c r="B9" s="9" t="s">
        <v>1005</v>
      </c>
      <c r="C9" s="9">
        <v>1606</v>
      </c>
      <c r="D9" s="9">
        <v>1110</v>
      </c>
      <c r="E9" s="9">
        <v>496</v>
      </c>
    </row>
    <row r="10" spans="1:5" ht="23.1" customHeight="1" x14ac:dyDescent="0.25">
      <c r="A10" s="9">
        <v>3</v>
      </c>
      <c r="B10" s="9" t="s">
        <v>1006</v>
      </c>
      <c r="C10" s="9">
        <v>5878</v>
      </c>
      <c r="D10" s="9">
        <v>2986</v>
      </c>
      <c r="E10" s="9">
        <v>2892</v>
      </c>
    </row>
    <row r="11" spans="1:5" ht="23.1" customHeight="1" x14ac:dyDescent="0.25">
      <c r="A11" s="9">
        <v>4</v>
      </c>
      <c r="B11" s="9" t="s">
        <v>1007</v>
      </c>
      <c r="C11" s="9">
        <v>3705</v>
      </c>
      <c r="D11" s="9">
        <v>1839</v>
      </c>
      <c r="E11" s="9">
        <v>1866</v>
      </c>
    </row>
    <row r="12" spans="1:5" ht="23.1" customHeight="1" x14ac:dyDescent="0.25">
      <c r="A12" s="9">
        <v>5</v>
      </c>
      <c r="B12" s="9" t="s">
        <v>1008</v>
      </c>
      <c r="C12" s="9">
        <v>3814</v>
      </c>
      <c r="D12" s="9">
        <v>1793</v>
      </c>
      <c r="E12" s="9">
        <v>2021</v>
      </c>
    </row>
    <row r="13" spans="1:5" ht="23.1" customHeight="1" x14ac:dyDescent="0.25">
      <c r="A13" s="9">
        <v>6</v>
      </c>
      <c r="B13" s="9" t="s">
        <v>1009</v>
      </c>
      <c r="C13" s="9">
        <v>6088</v>
      </c>
      <c r="D13" s="9">
        <v>2782</v>
      </c>
      <c r="E13" s="9">
        <v>3306</v>
      </c>
    </row>
    <row r="14" spans="1:5" ht="23.1" customHeight="1" x14ac:dyDescent="0.25">
      <c r="A14" s="9">
        <v>7</v>
      </c>
      <c r="B14" s="9" t="s">
        <v>1010</v>
      </c>
      <c r="C14" s="9">
        <v>7203</v>
      </c>
      <c r="D14" s="9">
        <v>3273</v>
      </c>
      <c r="E14" s="9">
        <v>3930</v>
      </c>
    </row>
    <row r="15" spans="1:5" ht="23.1" customHeight="1" x14ac:dyDescent="0.25">
      <c r="A15" s="9">
        <v>8</v>
      </c>
      <c r="B15" s="9" t="s">
        <v>1011</v>
      </c>
      <c r="C15" s="9">
        <v>6474</v>
      </c>
      <c r="D15" s="9">
        <v>2790</v>
      </c>
      <c r="E15" s="9">
        <v>3684</v>
      </c>
    </row>
    <row r="16" spans="1:5" ht="23.1" customHeight="1" x14ac:dyDescent="0.25">
      <c r="A16" s="9">
        <v>9</v>
      </c>
      <c r="B16" s="9" t="s">
        <v>1012</v>
      </c>
      <c r="C16" s="9">
        <v>7264</v>
      </c>
      <c r="D16" s="9">
        <v>3309</v>
      </c>
      <c r="E16" s="9">
        <v>3955</v>
      </c>
    </row>
    <row r="17" spans="1:5" ht="23.1" customHeight="1" x14ac:dyDescent="0.25">
      <c r="A17" s="9">
        <v>10</v>
      </c>
      <c r="B17" s="9" t="s">
        <v>100</v>
      </c>
      <c r="C17" s="9">
        <v>2499</v>
      </c>
      <c r="D17" s="9">
        <v>1248</v>
      </c>
      <c r="E17" s="9">
        <v>1251</v>
      </c>
    </row>
    <row r="18" spans="1:5" ht="23.1" customHeight="1" x14ac:dyDescent="0.25">
      <c r="A18" s="9">
        <v>11</v>
      </c>
      <c r="B18" s="9" t="s">
        <v>1013</v>
      </c>
      <c r="C18" s="9">
        <v>9070</v>
      </c>
      <c r="D18" s="9">
        <v>4106</v>
      </c>
      <c r="E18" s="9">
        <v>4964</v>
      </c>
    </row>
    <row r="19" spans="1:5" ht="23.1" customHeight="1" x14ac:dyDescent="0.25">
      <c r="A19" s="9">
        <v>12</v>
      </c>
      <c r="B19" s="9" t="s">
        <v>1014</v>
      </c>
      <c r="C19" s="9">
        <v>3870</v>
      </c>
      <c r="D19" s="9">
        <v>1632</v>
      </c>
      <c r="E19" s="9">
        <v>2238</v>
      </c>
    </row>
    <row r="20" spans="1:5" ht="23.1" customHeight="1" x14ac:dyDescent="0.25">
      <c r="A20" s="9">
        <v>13</v>
      </c>
      <c r="B20" s="9" t="s">
        <v>1015</v>
      </c>
      <c r="C20" s="9">
        <v>2010</v>
      </c>
      <c r="D20" s="9">
        <v>729</v>
      </c>
      <c r="E20" s="9">
        <v>1281</v>
      </c>
    </row>
    <row r="21" spans="1:5" ht="23.1" customHeight="1" x14ac:dyDescent="0.25">
      <c r="A21" s="9">
        <v>14</v>
      </c>
      <c r="B21" s="9" t="s">
        <v>1016</v>
      </c>
      <c r="C21" s="9">
        <v>2879</v>
      </c>
      <c r="D21" s="9">
        <v>1499</v>
      </c>
      <c r="E21" s="9">
        <v>1380</v>
      </c>
    </row>
    <row r="22" spans="1:5" ht="23.1" customHeight="1" x14ac:dyDescent="0.25">
      <c r="A22" s="9">
        <v>15</v>
      </c>
      <c r="B22" s="9" t="s">
        <v>1017</v>
      </c>
      <c r="C22" s="9">
        <v>3993</v>
      </c>
      <c r="D22" s="9">
        <v>1864</v>
      </c>
      <c r="E22" s="9">
        <v>2129</v>
      </c>
    </row>
    <row r="23" spans="1:5" ht="23.1" customHeight="1" x14ac:dyDescent="0.25">
      <c r="A23" s="9">
        <v>16</v>
      </c>
      <c r="B23" s="9" t="s">
        <v>1018</v>
      </c>
      <c r="C23" s="9">
        <v>1597</v>
      </c>
      <c r="D23" s="9">
        <v>682</v>
      </c>
      <c r="E23" s="9">
        <v>915</v>
      </c>
    </row>
    <row r="24" spans="1:5" ht="23.1" customHeight="1" x14ac:dyDescent="0.25">
      <c r="A24" s="9">
        <v>17</v>
      </c>
      <c r="B24" s="9" t="s">
        <v>1019</v>
      </c>
      <c r="C24" s="9">
        <v>1602</v>
      </c>
      <c r="D24" s="9">
        <v>1018</v>
      </c>
      <c r="E24" s="9">
        <v>584</v>
      </c>
    </row>
    <row r="25" spans="1:5" ht="23.1" customHeight="1" x14ac:dyDescent="0.25">
      <c r="A25" s="9">
        <v>18</v>
      </c>
      <c r="B25" s="9" t="s">
        <v>1020</v>
      </c>
      <c r="C25" s="9">
        <v>5309</v>
      </c>
      <c r="D25" s="9">
        <v>2501</v>
      </c>
      <c r="E25" s="9">
        <v>2808</v>
      </c>
    </row>
    <row r="26" spans="1:5" ht="23.1" customHeight="1" x14ac:dyDescent="0.25">
      <c r="A26" s="9">
        <v>19</v>
      </c>
      <c r="B26" s="9" t="s">
        <v>1021</v>
      </c>
      <c r="C26" s="9">
        <v>3177</v>
      </c>
      <c r="D26" s="9">
        <v>1498</v>
      </c>
      <c r="E26" s="9">
        <v>1679</v>
      </c>
    </row>
    <row r="27" spans="1:5" ht="23.1" customHeight="1" x14ac:dyDescent="0.25">
      <c r="A27" s="9">
        <v>20</v>
      </c>
      <c r="B27" s="9" t="s">
        <v>1022</v>
      </c>
      <c r="C27" s="9">
        <v>4806</v>
      </c>
      <c r="D27" s="9">
        <v>2270</v>
      </c>
      <c r="E27" s="9">
        <v>2536</v>
      </c>
    </row>
    <row r="28" spans="1:5" ht="23.1" customHeight="1" x14ac:dyDescent="0.25">
      <c r="A28" s="9">
        <v>21</v>
      </c>
      <c r="B28" s="9" t="s">
        <v>1023</v>
      </c>
      <c r="C28" s="9">
        <v>5838</v>
      </c>
      <c r="D28" s="9">
        <v>2650</v>
      </c>
      <c r="E28" s="9">
        <v>3188</v>
      </c>
    </row>
    <row r="29" spans="1:5" ht="23.1" customHeight="1" x14ac:dyDescent="0.25">
      <c r="A29" s="11">
        <v>22</v>
      </c>
      <c r="B29" s="11" t="s">
        <v>1024</v>
      </c>
      <c r="C29" s="11">
        <v>3681</v>
      </c>
      <c r="D29" s="11">
        <v>1817</v>
      </c>
      <c r="E29" s="11">
        <v>1864</v>
      </c>
    </row>
    <row r="30" spans="1:5" ht="23.1" customHeight="1" x14ac:dyDescent="0.25"/>
    <row r="31" spans="1:5" ht="23.1" customHeight="1" x14ac:dyDescent="0.25"/>
    <row r="32" spans="1:5" ht="23.1" customHeight="1" x14ac:dyDescent="0.25"/>
    <row r="33" ht="23.1" customHeight="1" x14ac:dyDescent="0.25"/>
    <row r="34" ht="23.1" customHeight="1" x14ac:dyDescent="0.25"/>
    <row r="35" ht="23.1" customHeight="1" x14ac:dyDescent="0.25"/>
    <row r="36" ht="23.1" customHeight="1" x14ac:dyDescent="0.25"/>
    <row r="37" ht="23.1" customHeight="1" x14ac:dyDescent="0.25"/>
    <row r="38" ht="23.1" customHeight="1" x14ac:dyDescent="0.25"/>
    <row r="39" ht="23.1" customHeight="1" x14ac:dyDescent="0.25"/>
    <row r="40" ht="23.1" customHeight="1" x14ac:dyDescent="0.25"/>
    <row r="41" ht="23.1" customHeight="1" x14ac:dyDescent="0.25"/>
    <row r="42" ht="23.1" customHeight="1" x14ac:dyDescent="0.25"/>
    <row r="43" ht="23.1" customHeight="1" x14ac:dyDescent="0.25"/>
    <row r="44" ht="23.1" customHeight="1" x14ac:dyDescent="0.25"/>
    <row r="45" ht="23.1" customHeight="1" x14ac:dyDescent="0.25"/>
    <row r="46" ht="23.1" customHeight="1" x14ac:dyDescent="0.25"/>
    <row r="47" ht="23.1" customHeight="1" x14ac:dyDescent="0.25"/>
    <row r="48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1" customHeight="1" x14ac:dyDescent="0.25"/>
    <row r="69" ht="23.1" customHeight="1" x14ac:dyDescent="0.25"/>
    <row r="70" ht="23.1" customHeight="1" x14ac:dyDescent="0.25"/>
    <row r="71" ht="23.1" customHeight="1" x14ac:dyDescent="0.25"/>
    <row r="72" ht="23.1" customHeight="1" x14ac:dyDescent="0.25"/>
    <row r="73" ht="23.1" customHeight="1" x14ac:dyDescent="0.25"/>
    <row r="74" ht="23.1" customHeight="1" x14ac:dyDescent="0.25"/>
    <row r="75" ht="23.1" customHeight="1" x14ac:dyDescent="0.25"/>
    <row r="76" ht="23.1" customHeight="1" x14ac:dyDescent="0.25"/>
    <row r="77" ht="23.1" customHeight="1" x14ac:dyDescent="0.25"/>
    <row r="78" ht="23.1" customHeight="1" x14ac:dyDescent="0.25"/>
    <row r="79" ht="23.1" customHeight="1" x14ac:dyDescent="0.25"/>
    <row r="80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</sheetData>
  <mergeCells count="4">
    <mergeCell ref="A1:E1"/>
    <mergeCell ref="A3:A4"/>
    <mergeCell ref="B3:B4"/>
    <mergeCell ref="C3:E3"/>
  </mergeCells>
  <hyperlinks>
    <hyperlink ref="A1:E1" location="'List of Township'!A1" display="Yangon Region,West District, Bahan  Township"/>
  </hyperlinks>
  <pageMargins left="0.75" right="0.5" top="0.5" bottom="0.25" header="0.3" footer="0.3"/>
  <pageSetup paperSize="9" scale="9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B1" sqref="B1:E1"/>
    </sheetView>
  </sheetViews>
  <sheetFormatPr defaultRowHeight="15" x14ac:dyDescent="0.25"/>
  <cols>
    <col min="2" max="2" width="39" customWidth="1"/>
    <col min="3" max="5" width="13.7109375" customWidth="1"/>
  </cols>
  <sheetData>
    <row r="1" spans="1:6" s="6" customFormat="1" ht="23.45" customHeight="1" x14ac:dyDescent="0.4">
      <c r="A1" s="12"/>
      <c r="B1" s="80" t="s">
        <v>1089</v>
      </c>
      <c r="C1" s="80"/>
      <c r="D1" s="80"/>
      <c r="E1" s="80"/>
    </row>
    <row r="2" spans="1:6" s="6" customFormat="1" ht="23.45" customHeight="1" x14ac:dyDescent="0.4">
      <c r="C2" s="1"/>
      <c r="D2" s="1"/>
      <c r="E2" s="47" t="s">
        <v>1031</v>
      </c>
      <c r="F2" s="50"/>
    </row>
    <row r="3" spans="1:6" s="6" customFormat="1" ht="23.45" customHeight="1" x14ac:dyDescent="0.4">
      <c r="A3" s="84" t="s">
        <v>1029</v>
      </c>
      <c r="B3" s="84" t="s">
        <v>1090</v>
      </c>
      <c r="C3" s="85" t="s">
        <v>1030</v>
      </c>
      <c r="D3" s="85"/>
      <c r="E3" s="85"/>
    </row>
    <row r="4" spans="1:6" s="7" customFormat="1" ht="23.45" customHeight="1" x14ac:dyDescent="0.35">
      <c r="A4" s="84"/>
      <c r="B4" s="84"/>
      <c r="C4" s="74" t="s">
        <v>0</v>
      </c>
      <c r="D4" s="74" t="s">
        <v>1</v>
      </c>
      <c r="E4" s="74" t="s">
        <v>2</v>
      </c>
    </row>
    <row r="5" spans="1:6" s="3" customFormat="1" ht="23.1" customHeight="1" x14ac:dyDescent="0.4">
      <c r="A5" s="61"/>
      <c r="B5" s="57" t="s">
        <v>0</v>
      </c>
      <c r="C5" s="57">
        <v>2826</v>
      </c>
      <c r="D5" s="57">
        <v>1697</v>
      </c>
      <c r="E5" s="57">
        <v>1129</v>
      </c>
    </row>
    <row r="6" spans="1:6" ht="23.1" customHeight="1" x14ac:dyDescent="0.25">
      <c r="A6" s="4"/>
      <c r="B6" s="9"/>
      <c r="C6" s="9"/>
      <c r="D6" s="9"/>
      <c r="E6" s="9"/>
    </row>
    <row r="7" spans="1:6" ht="23.1" customHeight="1" x14ac:dyDescent="0.25">
      <c r="A7" s="4"/>
      <c r="B7" s="15" t="s">
        <v>1028</v>
      </c>
      <c r="C7" s="13">
        <v>2826</v>
      </c>
      <c r="D7" s="13">
        <v>1697</v>
      </c>
      <c r="E7" s="13">
        <v>1129</v>
      </c>
    </row>
    <row r="8" spans="1:6" ht="23.1" customHeight="1" x14ac:dyDescent="0.25">
      <c r="A8" s="4">
        <v>1</v>
      </c>
      <c r="B8" s="9" t="s">
        <v>1025</v>
      </c>
      <c r="C8" s="9">
        <v>1047</v>
      </c>
      <c r="D8" s="9">
        <v>653</v>
      </c>
      <c r="E8" s="9">
        <v>394</v>
      </c>
    </row>
    <row r="9" spans="1:6" ht="23.1" customHeight="1" x14ac:dyDescent="0.25">
      <c r="A9" s="4">
        <v>2</v>
      </c>
      <c r="B9" s="9" t="s">
        <v>1026</v>
      </c>
      <c r="C9" s="9">
        <v>920</v>
      </c>
      <c r="D9" s="9">
        <v>514</v>
      </c>
      <c r="E9" s="9">
        <v>406</v>
      </c>
    </row>
    <row r="10" spans="1:6" ht="23.1" customHeight="1" x14ac:dyDescent="0.25">
      <c r="A10" s="10">
        <v>3</v>
      </c>
      <c r="B10" s="11" t="s">
        <v>1027</v>
      </c>
      <c r="C10" s="11">
        <v>859</v>
      </c>
      <c r="D10" s="11">
        <v>530</v>
      </c>
      <c r="E10" s="11">
        <v>329</v>
      </c>
    </row>
    <row r="11" spans="1:6" ht="23.1" customHeight="1" x14ac:dyDescent="0.25"/>
    <row r="12" spans="1:6" ht="23.45" customHeight="1" x14ac:dyDescent="0.25"/>
    <row r="13" spans="1:6" ht="23.45" customHeight="1" x14ac:dyDescent="0.25"/>
    <row r="14" spans="1:6" ht="23.45" customHeight="1" x14ac:dyDescent="0.25"/>
    <row r="15" spans="1:6" ht="23.45" customHeight="1" x14ac:dyDescent="0.25"/>
    <row r="16" spans="1:6" ht="23.45" customHeight="1" x14ac:dyDescent="0.25"/>
    <row r="17" ht="23.45" customHeight="1" x14ac:dyDescent="0.25"/>
    <row r="18" ht="23.45" customHeight="1" x14ac:dyDescent="0.25"/>
    <row r="19" ht="23.45" customHeight="1" x14ac:dyDescent="0.25"/>
    <row r="20" ht="23.45" customHeight="1" x14ac:dyDescent="0.25"/>
    <row r="21" ht="23.45" customHeight="1" x14ac:dyDescent="0.25"/>
    <row r="22" ht="23.45" customHeight="1" x14ac:dyDescent="0.25"/>
    <row r="23" ht="23.45" customHeight="1" x14ac:dyDescent="0.25"/>
    <row r="24" ht="23.45" customHeight="1" x14ac:dyDescent="0.25"/>
    <row r="25" ht="23.45" customHeight="1" x14ac:dyDescent="0.25"/>
    <row r="26" ht="23.45" customHeight="1" x14ac:dyDescent="0.25"/>
    <row r="27" ht="23.45" customHeight="1" x14ac:dyDescent="0.25"/>
    <row r="28" ht="23.45" customHeight="1" x14ac:dyDescent="0.25"/>
    <row r="29" ht="23.45" customHeight="1" x14ac:dyDescent="0.25"/>
    <row r="30" ht="23.45" customHeight="1" x14ac:dyDescent="0.25"/>
    <row r="31" ht="23.45" customHeight="1" x14ac:dyDescent="0.25"/>
    <row r="32" ht="23.45" customHeight="1" x14ac:dyDescent="0.25"/>
    <row r="33" ht="23.45" customHeight="1" x14ac:dyDescent="0.25"/>
    <row r="34" ht="23.45" customHeight="1" x14ac:dyDescent="0.25"/>
    <row r="35" ht="23.45" customHeight="1" x14ac:dyDescent="0.25"/>
    <row r="36" ht="23.45" customHeight="1" x14ac:dyDescent="0.25"/>
    <row r="37" ht="23.45" customHeight="1" x14ac:dyDescent="0.25"/>
    <row r="38" ht="23.45" customHeight="1" x14ac:dyDescent="0.25"/>
    <row r="39" ht="23.45" customHeight="1" x14ac:dyDescent="0.25"/>
    <row r="40" ht="23.45" customHeight="1" x14ac:dyDescent="0.25"/>
    <row r="41" ht="23.45" customHeight="1" x14ac:dyDescent="0.25"/>
    <row r="42" ht="23.45" customHeight="1" x14ac:dyDescent="0.25"/>
    <row r="43" ht="23.45" customHeight="1" x14ac:dyDescent="0.25"/>
    <row r="44" ht="23.45" customHeight="1" x14ac:dyDescent="0.25"/>
    <row r="45" ht="23.45" customHeight="1" x14ac:dyDescent="0.25"/>
    <row r="46" ht="23.45" customHeight="1" x14ac:dyDescent="0.25"/>
    <row r="47" ht="23.45" customHeight="1" x14ac:dyDescent="0.25"/>
    <row r="48" ht="23.45" customHeight="1" x14ac:dyDescent="0.25"/>
    <row r="49" ht="23.45" customHeight="1" x14ac:dyDescent="0.25"/>
    <row r="50" ht="23.45" customHeight="1" x14ac:dyDescent="0.25"/>
    <row r="51" ht="23.45" customHeight="1" x14ac:dyDescent="0.25"/>
    <row r="52" ht="23.45" customHeight="1" x14ac:dyDescent="0.25"/>
    <row r="53" ht="23.45" customHeight="1" x14ac:dyDescent="0.25"/>
    <row r="54" ht="23.45" customHeight="1" x14ac:dyDescent="0.25"/>
    <row r="55" ht="23.45" customHeight="1" x14ac:dyDescent="0.25"/>
    <row r="56" ht="23.45" customHeight="1" x14ac:dyDescent="0.25"/>
    <row r="57" ht="23.45" customHeight="1" x14ac:dyDescent="0.25"/>
    <row r="58" ht="23.45" customHeight="1" x14ac:dyDescent="0.25"/>
    <row r="59" ht="23.45" customHeight="1" x14ac:dyDescent="0.25"/>
    <row r="60" ht="23.45" customHeight="1" x14ac:dyDescent="0.25"/>
    <row r="61" ht="23.45" customHeight="1" x14ac:dyDescent="0.25"/>
    <row r="62" ht="23.45" customHeight="1" x14ac:dyDescent="0.25"/>
    <row r="63" ht="23.45" customHeight="1" x14ac:dyDescent="0.25"/>
    <row r="64" ht="23.45" customHeight="1" x14ac:dyDescent="0.25"/>
    <row r="65" ht="23.45" customHeight="1" x14ac:dyDescent="0.25"/>
    <row r="66" ht="23.45" customHeight="1" x14ac:dyDescent="0.25"/>
    <row r="67" ht="23.45" customHeight="1" x14ac:dyDescent="0.25"/>
    <row r="68" ht="23.45" customHeight="1" x14ac:dyDescent="0.25"/>
  </sheetData>
  <mergeCells count="4">
    <mergeCell ref="B1:E1"/>
    <mergeCell ref="A3:A4"/>
    <mergeCell ref="B3:B4"/>
    <mergeCell ref="C3:E3"/>
  </mergeCells>
  <hyperlinks>
    <hyperlink ref="B1:E1" location="'List of Township'!A1" display="Yangon Region,West District, Seikkan Township"/>
  </hyperlinks>
  <pageMargins left="0.75" right="0.5" top="0.5" bottom="0.2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33</vt:i4>
      </vt:variant>
    </vt:vector>
  </HeadingPairs>
  <TitlesOfParts>
    <vt:vector size="81" baseType="lpstr">
      <vt:lpstr>List of Township</vt:lpstr>
      <vt:lpstr> Insein</vt:lpstr>
      <vt:lpstr>Mingaladon </vt:lpstr>
      <vt:lpstr>Hmawby </vt:lpstr>
      <vt:lpstr>Hlegu </vt:lpstr>
      <vt:lpstr>Taikkyi </vt:lpstr>
      <vt:lpstr>Htantabin </vt:lpstr>
      <vt:lpstr>Shwepyitha </vt:lpstr>
      <vt:lpstr>Hlinethaya</vt:lpstr>
      <vt:lpstr>Thingangyun</vt:lpstr>
      <vt:lpstr> Yankin</vt:lpstr>
      <vt:lpstr> South Okkalapa</vt:lpstr>
      <vt:lpstr> North Okkalapa</vt:lpstr>
      <vt:lpstr>Thakayta</vt:lpstr>
      <vt:lpstr>Dawbon</vt:lpstr>
      <vt:lpstr>Tamwe</vt:lpstr>
      <vt:lpstr>Pazuntaung</vt:lpstr>
      <vt:lpstr>Botahtaung</vt:lpstr>
      <vt:lpstr>Dagon Myothit(South)</vt:lpstr>
      <vt:lpstr> Dagon Myothit(North)</vt:lpstr>
      <vt:lpstr>Dagon Myothit(East)</vt:lpstr>
      <vt:lpstr>Dagon Myothit(Seikkan) </vt:lpstr>
      <vt:lpstr>Mingala Taungnyunt </vt:lpstr>
      <vt:lpstr>Thanlyin </vt:lpstr>
      <vt:lpstr>Kyauktan </vt:lpstr>
      <vt:lpstr>Thongwa </vt:lpstr>
      <vt:lpstr>Khayan </vt:lpstr>
      <vt:lpstr>Twantay</vt:lpstr>
      <vt:lpstr>Kawhmu </vt:lpstr>
      <vt:lpstr>Kungyangon </vt:lpstr>
      <vt:lpstr>Dala </vt:lpstr>
      <vt:lpstr>Seikkyi- Khanaungto </vt:lpstr>
      <vt:lpstr>Cocogyun </vt:lpstr>
      <vt:lpstr>Tada (Sub- Tsp)</vt:lpstr>
      <vt:lpstr>Kyauktada </vt:lpstr>
      <vt:lpstr>Pabedan </vt:lpstr>
      <vt:lpstr>Lanmadaw </vt:lpstr>
      <vt:lpstr>Latha </vt:lpstr>
      <vt:lpstr>Ahlon </vt:lpstr>
      <vt:lpstr>Kyimyindine </vt:lpstr>
      <vt:lpstr>Sangyoung </vt:lpstr>
      <vt:lpstr>Hline </vt:lpstr>
      <vt:lpstr>Kamayut </vt:lpstr>
      <vt:lpstr>Mayangon </vt:lpstr>
      <vt:lpstr>Dagon </vt:lpstr>
      <vt:lpstr>Bahan </vt:lpstr>
      <vt:lpstr>Seikkan </vt:lpstr>
      <vt:lpstr>Sheet2</vt:lpstr>
      <vt:lpstr>' Dagon Myothit(North)'!Print_Titles</vt:lpstr>
      <vt:lpstr>' Insein'!Print_Titles</vt:lpstr>
      <vt:lpstr>' North Okkalapa'!Print_Titles</vt:lpstr>
      <vt:lpstr>' South Okkalapa'!Print_Titles</vt:lpstr>
      <vt:lpstr>' Yankin'!Print_Titles</vt:lpstr>
      <vt:lpstr>'Ahlon '!Print_Titles</vt:lpstr>
      <vt:lpstr>Botahtaung!Print_Titles</vt:lpstr>
      <vt:lpstr>'Dagon Myothit(East)'!Print_Titles</vt:lpstr>
      <vt:lpstr>'Dagon Myothit(Seikkan) '!Print_Titles</vt:lpstr>
      <vt:lpstr>'Dagon Myothit(South)'!Print_Titles</vt:lpstr>
      <vt:lpstr>'Dala '!Print_Titles</vt:lpstr>
      <vt:lpstr>Dawbon!Print_Titles</vt:lpstr>
      <vt:lpstr>'Hlegu '!Print_Titles</vt:lpstr>
      <vt:lpstr>'Hline '!Print_Titles</vt:lpstr>
      <vt:lpstr>Hlinethaya!Print_Titles</vt:lpstr>
      <vt:lpstr>'Hmawby '!Print_Titles</vt:lpstr>
      <vt:lpstr>'Htantabin '!Print_Titles</vt:lpstr>
      <vt:lpstr>'Kawhmu '!Print_Titles</vt:lpstr>
      <vt:lpstr>'Khayan '!Print_Titles</vt:lpstr>
      <vt:lpstr>'Kungyangon '!Print_Titles</vt:lpstr>
      <vt:lpstr>'Kyauktan '!Print_Titles</vt:lpstr>
      <vt:lpstr>'Kyimyindine '!Print_Titles</vt:lpstr>
      <vt:lpstr>'Mayangon '!Print_Titles</vt:lpstr>
      <vt:lpstr>'Mingaladon '!Print_Titles</vt:lpstr>
      <vt:lpstr>Pazuntaung!Print_Titles</vt:lpstr>
      <vt:lpstr>'Shwepyitha '!Print_Titles</vt:lpstr>
      <vt:lpstr>'Taikkyi '!Print_Titles</vt:lpstr>
      <vt:lpstr>Tamwe!Print_Titles</vt:lpstr>
      <vt:lpstr>Thakayta!Print_Titles</vt:lpstr>
      <vt:lpstr>'Thanlyin '!Print_Titles</vt:lpstr>
      <vt:lpstr>Thingangyun!Print_Titles</vt:lpstr>
      <vt:lpstr>'Thongwa '!Print_Titles</vt:lpstr>
      <vt:lpstr>Twantay!Print_Titles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2015-08-31T04:13:26Z</cp:lastPrinted>
  <dcterms:created xsi:type="dcterms:W3CDTF">2015-06-01T07:42:05Z</dcterms:created>
  <dcterms:modified xsi:type="dcterms:W3CDTF">2015-09-02T05:17:49Z</dcterms:modified>
</cp:coreProperties>
</file>