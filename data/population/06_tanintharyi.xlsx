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30" windowWidth="20730" windowHeight="9330" tabRatio="804"/>
  </bookViews>
  <sheets>
    <sheet name="List of twonship" sheetId="21" r:id="rId1"/>
    <sheet name=" Dawei" sheetId="2" r:id="rId2"/>
    <sheet name=" Lounglon" sheetId="3" r:id="rId3"/>
    <sheet name="Thayetchaung" sheetId="4" r:id="rId4"/>
    <sheet name="Yebyu" sheetId="5" r:id="rId5"/>
    <sheet name="Myitta(Sub-Tsp)" sheetId="6" r:id="rId6"/>
    <sheet name=" Kaleinaung(Sub-Tsp)" sheetId="7" r:id="rId7"/>
    <sheet name=" Myeik" sheetId="8" r:id="rId8"/>
    <sheet name="Kyunsu" sheetId="9" r:id="rId9"/>
    <sheet name="Palaw" sheetId="10" r:id="rId10"/>
    <sheet name="Tanintharyi" sheetId="11" r:id="rId11"/>
    <sheet name=" Palauk(Sub-Tsp)" sheetId="12" r:id="rId12"/>
    <sheet name="Kawthoung" sheetId="13" r:id="rId13"/>
    <sheet name="Bokepyin" sheetId="14" r:id="rId14"/>
    <sheet name=" Khamaukkyi(Sub-Tsp)" sheetId="15" r:id="rId15"/>
    <sheet name="Pyigyimandaing(Sub-Tsp)" sheetId="16" r:id="rId16"/>
    <sheet name="Karathuri(Sub-Tsp)" sheetId="17" r:id="rId17"/>
    <sheet name="Sheet2" sheetId="18" r:id="rId18"/>
    <sheet name="Sheet3" sheetId="19" r:id="rId19"/>
    <sheet name="Sheet4" sheetId="20" r:id="rId20"/>
  </sheets>
  <definedNames>
    <definedName name="_xlnm.Print_Titles" localSheetId="1">' Dawei'!$1:$5</definedName>
    <definedName name="_xlnm.Print_Titles" localSheetId="2">' Lounglon'!$1:$5</definedName>
    <definedName name="_xlnm.Print_Titles" localSheetId="7">' Myeik'!$1:$5</definedName>
    <definedName name="_xlnm.Print_Titles" localSheetId="13">Bokepyin!$1:$5</definedName>
    <definedName name="_xlnm.Print_Titles" localSheetId="8">Kyunsu!$1:$5</definedName>
    <definedName name="_xlnm.Print_Titles" localSheetId="9">Palaw!$1:$5</definedName>
    <definedName name="_xlnm.Print_Titles" localSheetId="3">Thayetchaung!$1:$5</definedName>
    <definedName name="_xlnm.Print_Titles" localSheetId="4">Yebyu!$1:$5</definedName>
  </definedNames>
  <calcPr calcId="145621"/>
</workbook>
</file>

<file path=xl/calcChain.xml><?xml version="1.0" encoding="utf-8"?>
<calcChain xmlns="http://schemas.openxmlformats.org/spreadsheetml/2006/main">
  <c r="B17" i="21" l="1"/>
  <c r="B16" i="21"/>
  <c r="B15" i="21"/>
  <c r="B14" i="21"/>
  <c r="B13" i="21"/>
  <c r="B12" i="21"/>
  <c r="B11" i="21"/>
  <c r="B10" i="21"/>
  <c r="B9" i="21"/>
  <c r="B8" i="21"/>
  <c r="B7" i="21"/>
  <c r="B6" i="21"/>
  <c r="B5" i="21"/>
  <c r="B4" i="21"/>
  <c r="B3" i="21"/>
  <c r="B2" i="21"/>
  <c r="D12" i="16" l="1"/>
  <c r="E12" i="16"/>
  <c r="C12" i="16"/>
  <c r="D8" i="16"/>
  <c r="E8" i="16"/>
  <c r="C8" i="16"/>
  <c r="D14" i="15"/>
  <c r="E14" i="15"/>
  <c r="C14" i="15"/>
  <c r="D8" i="15"/>
  <c r="E8" i="15"/>
  <c r="C8" i="15"/>
  <c r="D13" i="14"/>
  <c r="E13" i="14"/>
  <c r="C13" i="14"/>
  <c r="D8" i="14"/>
  <c r="E8" i="14"/>
  <c r="C8" i="14"/>
  <c r="D19" i="13"/>
  <c r="E19" i="13"/>
  <c r="C19" i="13"/>
  <c r="D8" i="13"/>
  <c r="E8" i="13"/>
  <c r="C8" i="13"/>
  <c r="D13" i="12" l="1"/>
  <c r="E13" i="12"/>
  <c r="C13" i="12"/>
  <c r="D8" i="12"/>
  <c r="E8" i="12"/>
  <c r="C8" i="12"/>
  <c r="D8" i="11"/>
  <c r="E8" i="11"/>
  <c r="D11" i="11"/>
  <c r="E11" i="11"/>
  <c r="C11" i="11"/>
  <c r="C8" i="11"/>
  <c r="D14" i="10"/>
  <c r="E14" i="10"/>
  <c r="C14" i="10"/>
  <c r="D8" i="10"/>
  <c r="E8" i="10"/>
  <c r="C8" i="10"/>
  <c r="D13" i="9"/>
  <c r="E13" i="9"/>
  <c r="C13" i="9"/>
  <c r="D8" i="9"/>
  <c r="E8" i="9"/>
  <c r="C8" i="9"/>
  <c r="D21" i="8"/>
  <c r="E21" i="8"/>
  <c r="C21" i="8"/>
  <c r="D8" i="8"/>
  <c r="E8" i="8"/>
  <c r="C8" i="8"/>
  <c r="D13" i="7"/>
  <c r="E13" i="7"/>
  <c r="C13" i="7"/>
  <c r="D8" i="7"/>
  <c r="E8" i="7"/>
  <c r="C8" i="7"/>
  <c r="D12" i="6"/>
  <c r="E12" i="6"/>
  <c r="C12" i="6"/>
  <c r="D8" i="6"/>
  <c r="E8" i="6"/>
  <c r="C8" i="6"/>
  <c r="D13" i="5"/>
  <c r="E13" i="5"/>
  <c r="C13" i="5"/>
  <c r="D8" i="5"/>
  <c r="E8" i="5"/>
  <c r="C8" i="5"/>
  <c r="D14" i="4" l="1"/>
  <c r="E14" i="4"/>
  <c r="C14" i="4"/>
  <c r="D8" i="4"/>
  <c r="E8" i="4"/>
  <c r="C8" i="4"/>
  <c r="D13" i="3"/>
  <c r="E13" i="3"/>
  <c r="C13" i="3"/>
  <c r="D8" i="3"/>
  <c r="E8" i="3"/>
  <c r="C8" i="3"/>
  <c r="D24" i="2" l="1"/>
  <c r="E24" i="2"/>
  <c r="C24" i="2"/>
  <c r="D8" i="2"/>
  <c r="E8" i="2"/>
  <c r="C8" i="2"/>
  <c r="D12" i="17" l="1"/>
  <c r="E12" i="17"/>
  <c r="C12" i="17"/>
  <c r="D8" i="17"/>
  <c r="E8" i="17"/>
  <c r="C8" i="17"/>
</calcChain>
</file>

<file path=xl/sharedStrings.xml><?xml version="1.0" encoding="utf-8"?>
<sst xmlns="http://schemas.openxmlformats.org/spreadsheetml/2006/main" count="524" uniqueCount="349">
  <si>
    <t>Total</t>
  </si>
  <si>
    <t>Male</t>
  </si>
  <si>
    <t>Female</t>
  </si>
  <si>
    <t xml:space="preserve">            San Chi(W)</t>
  </si>
  <si>
    <t xml:space="preserve">            Oe Loke(W)</t>
  </si>
  <si>
    <t xml:space="preserve">            Ta Laing Ma(W)</t>
  </si>
  <si>
    <t xml:space="preserve">            Thin Baw Seik(W)</t>
  </si>
  <si>
    <t xml:space="preserve">            Daung Ngu(W)</t>
  </si>
  <si>
    <t xml:space="preserve">            Kyet Sa Pyin(W)</t>
  </si>
  <si>
    <t xml:space="preserve">            Bon Maw(W)</t>
  </si>
  <si>
    <t xml:space="preserve">            Za Yit(W)</t>
  </si>
  <si>
    <t xml:space="preserve">            Ka Nyon(W)</t>
  </si>
  <si>
    <t xml:space="preserve">            Pein Hne Taw(W)</t>
  </si>
  <si>
    <t xml:space="preserve">            Ah Nauk Myo Twin(W)</t>
  </si>
  <si>
    <t xml:space="preserve">            Byaw Taw Wa(W)</t>
  </si>
  <si>
    <t xml:space="preserve">            Kyauk Maw(W)</t>
  </si>
  <si>
    <t xml:space="preserve">            Htein Thit</t>
  </si>
  <si>
    <t xml:space="preserve">            Sin Seik(W)</t>
  </si>
  <si>
    <t xml:space="preserve">            Za Har(VT)</t>
  </si>
  <si>
    <t xml:space="preserve">            Tha Byay Chaung(VT)</t>
  </si>
  <si>
    <t xml:space="preserve">            Maung Mei Shaung(VT)</t>
  </si>
  <si>
    <t xml:space="preserve">            Za Lun(VT)</t>
  </si>
  <si>
    <t xml:space="preserve">            Ta Laing Taung(VT)</t>
  </si>
  <si>
    <t xml:space="preserve">            Tha Byar(VT)</t>
  </si>
  <si>
    <t xml:space="preserve">            Pa Kar Ri(VT)</t>
  </si>
  <si>
    <t xml:space="preserve">            Ah Nyar Hpyar(VT)</t>
  </si>
  <si>
    <t xml:space="preserve">            Har Myin Gyi(VT)</t>
  </si>
  <si>
    <t xml:space="preserve">            Wa Kone(VT)</t>
  </si>
  <si>
    <t xml:space="preserve">            Pyar Thar Chaung(VT)</t>
  </si>
  <si>
    <t xml:space="preserve">            Kyauk Yat(VT)</t>
  </si>
  <si>
    <t xml:space="preserve">            Shan Ma Twin(VT)</t>
  </si>
  <si>
    <t xml:space="preserve">            Ku Toet(VT)</t>
  </si>
  <si>
    <t xml:space="preserve">            Ka Naing Dar(VT)</t>
  </si>
  <si>
    <t xml:space="preserve">            Shin Moke Tee(VT)</t>
  </si>
  <si>
    <t xml:space="preserve">            Yaung Maw(VT)</t>
  </si>
  <si>
    <t xml:space="preserve">            Ka Gyi(W)</t>
  </si>
  <si>
    <t xml:space="preserve">            Kha Gway(W)</t>
  </si>
  <si>
    <t xml:space="preserve">            Ga Nge(W)</t>
  </si>
  <si>
    <t xml:space="preserve">            Ga Gyi(W)</t>
  </si>
  <si>
    <t xml:space="preserve">            Pyin Htein(VT)</t>
  </si>
  <si>
    <t xml:space="preserve">            Way Di(VT)</t>
  </si>
  <si>
    <t xml:space="preserve">            Ka Nyon Kyun(VT)</t>
  </si>
  <si>
    <t xml:space="preserve">            Inn Zauk(VT)</t>
  </si>
  <si>
    <t xml:space="preserve">            Pan Da Le(VT)</t>
  </si>
  <si>
    <t xml:space="preserve">            Ywar Haung Wa(VT)</t>
  </si>
  <si>
    <t xml:space="preserve">            Min Yat(VT)</t>
  </si>
  <si>
    <t xml:space="preserve">            Lay Thun Khan(VT)</t>
  </si>
  <si>
    <t xml:space="preserve">            Sit Pyea(VT)</t>
  </si>
  <si>
    <t xml:space="preserve">            Nyin Maw(VT)</t>
  </si>
  <si>
    <t xml:space="preserve">            Ti Zit(VT)</t>
  </si>
  <si>
    <t xml:space="preserve">            San Hlan(VT)</t>
  </si>
  <si>
    <t xml:space="preserve">            Pa Nyit(VT)</t>
  </si>
  <si>
    <t xml:space="preserve">            Auk Yae Hpyu(VT)</t>
  </si>
  <si>
    <t xml:space="preserve">            Ka Htaung Ni(VT)</t>
  </si>
  <si>
    <t xml:space="preserve">            Ka Det Gyi(Khun Hnit Thein)(VT)</t>
  </si>
  <si>
    <t xml:space="preserve">            Pyin Kyaung(VT)</t>
  </si>
  <si>
    <t xml:space="preserve">            Kyet Yet Twin(VT)</t>
  </si>
  <si>
    <t xml:space="preserve">            Maung Ma Kan(VT)</t>
  </si>
  <si>
    <t xml:space="preserve">            Ka Det Nge Seik(VT)</t>
  </si>
  <si>
    <t xml:space="preserve">            Kyauk Sin(VT)</t>
  </si>
  <si>
    <t xml:space="preserve">            Pan Det Inn(VT)</t>
  </si>
  <si>
    <t xml:space="preserve">            Thar Yar Kone(VT)</t>
  </si>
  <si>
    <t xml:space="preserve">            Ka Myaw Gyi(VT)</t>
  </si>
  <si>
    <t xml:space="preserve">            Myo Haung(VT)</t>
  </si>
  <si>
    <t xml:space="preserve">            Taung Min Pyaung(VT)</t>
  </si>
  <si>
    <t xml:space="preserve">            Kha Maung Taung(VT)</t>
  </si>
  <si>
    <t xml:space="preserve">            Sa Khan Gyi(VT)</t>
  </si>
  <si>
    <t xml:space="preserve">            Na Khan Taw(VT)</t>
  </si>
  <si>
    <t xml:space="preserve">            Ka Myaw Kin(VT)</t>
  </si>
  <si>
    <t xml:space="preserve">            Tha Kyet Taw(VT)</t>
  </si>
  <si>
    <t xml:space="preserve">            Taw Kye(VT)</t>
  </si>
  <si>
    <t xml:space="preserve">            Tha Pyay Shaung(VT)</t>
  </si>
  <si>
    <t xml:space="preserve">            Pyin Gyi Kyun(VT)</t>
  </si>
  <si>
    <t xml:space="preserve">            Za Lut(VT)</t>
  </si>
  <si>
    <t xml:space="preserve">            Kyauk Twin(VT)</t>
  </si>
  <si>
    <t xml:space="preserve">            Kyauk Mat Tat(VT)</t>
  </si>
  <si>
    <t xml:space="preserve">            Kyauk Wut Pyin(VT)</t>
  </si>
  <si>
    <t xml:space="preserve">            Kyauk Ni Maw(VT)</t>
  </si>
  <si>
    <t xml:space="preserve">            Auk Kyauk Wut(VT)</t>
  </si>
  <si>
    <t xml:space="preserve">            Maw Shi Kone(W)</t>
  </si>
  <si>
    <t xml:space="preserve">            Kyauk Myaung(W)</t>
  </si>
  <si>
    <t xml:space="preserve">            Myo Ma(Tha Yet Chaung)(W)</t>
  </si>
  <si>
    <t xml:space="preserve">            Pan Taw(W)</t>
  </si>
  <si>
    <t xml:space="preserve">            Sin Hpyu Pyin(W)</t>
  </si>
  <si>
    <t xml:space="preserve">            Ka Zi Ta Dar U(VT)</t>
  </si>
  <si>
    <t xml:space="preserve">            Pein Taw(VT)</t>
  </si>
  <si>
    <t xml:space="preserve">            Pan Chi Shaung(VT)</t>
  </si>
  <si>
    <t xml:space="preserve">            Oke Tu(VT)</t>
  </si>
  <si>
    <t xml:space="preserve">            Tha Yet Hnit Khwa(VT)</t>
  </si>
  <si>
    <t xml:space="preserve">            Thin Kyun(VT)</t>
  </si>
  <si>
    <t xml:space="preserve">            Yan Taung(VT)</t>
  </si>
  <si>
    <t xml:space="preserve">            Nyaung Zin(VT)</t>
  </si>
  <si>
    <t xml:space="preserve">            Kyar Inn(VT)</t>
  </si>
  <si>
    <t xml:space="preserve">            Kin Shey(VT)</t>
  </si>
  <si>
    <t xml:space="preserve">            Saw Hpyar(VT)</t>
  </si>
  <si>
    <t xml:space="preserve">            Pa Dat Chaung(VT)</t>
  </si>
  <si>
    <t xml:space="preserve">            Ti Tut Pyin(VT)</t>
  </si>
  <si>
    <t xml:space="preserve">            Ein Shey Pyin(VT)</t>
  </si>
  <si>
    <t xml:space="preserve">            Sin Ku(VT)</t>
  </si>
  <si>
    <t xml:space="preserve">            La Ba(VT)</t>
  </si>
  <si>
    <t xml:space="preserve">            Pyin Hpyu Gyi(VT)</t>
  </si>
  <si>
    <t xml:space="preserve">            Son Sin(VT)</t>
  </si>
  <si>
    <t xml:space="preserve">            Pyin Hpyu Thar(VT)</t>
  </si>
  <si>
    <t xml:space="preserve">            Chaung Wa Pyin(VT)</t>
  </si>
  <si>
    <t xml:space="preserve">            Yae Cho Chaung(VT)</t>
  </si>
  <si>
    <t xml:space="preserve">            Gon Hnyin Seik(VT)</t>
  </si>
  <si>
    <t xml:space="preserve">            Yae Nge(Ya Nge)(VT)</t>
  </si>
  <si>
    <t xml:space="preserve">            Ka Myaing(VT)</t>
  </si>
  <si>
    <t xml:space="preserve">            Min Dat(VT)</t>
  </si>
  <si>
    <t xml:space="preserve">            Kywe Min Kone(VT)</t>
  </si>
  <si>
    <t xml:space="preserve">            Ka Net Thi Ri(VT)</t>
  </si>
  <si>
    <t xml:space="preserve">            Mei Ke(VT)</t>
  </si>
  <si>
    <t xml:space="preserve">            Thea Chaung Gyi(VT)</t>
  </si>
  <si>
    <t xml:space="preserve">            Kayin Taung Pyauk(VT)</t>
  </si>
  <si>
    <t xml:space="preserve">            Yae Pu(VT)</t>
  </si>
  <si>
    <t xml:space="preserve">            Ka Twe(VT)</t>
  </si>
  <si>
    <t xml:space="preserve">            Ka Nyin Chaung(VT)</t>
  </si>
  <si>
    <t xml:space="preserve">            Auk Tha Yet Chaung(VT)</t>
  </si>
  <si>
    <t xml:space="preserve">            Pa Dauk(VT)</t>
  </si>
  <si>
    <t xml:space="preserve">            Kyauk Se(VT)</t>
  </si>
  <si>
    <t xml:space="preserve">            Myanmar Pa Awt(VT)</t>
  </si>
  <si>
    <t xml:space="preserve">            Ait Ait(Kayin Pa Awt)(VT)</t>
  </si>
  <si>
    <t xml:space="preserve">            Pe Det(VT)</t>
  </si>
  <si>
    <t xml:space="preserve">            Myo Ma(Ka Gyi)(W)</t>
  </si>
  <si>
    <t xml:space="preserve">            Myo Ma(Kka Gway)(W)</t>
  </si>
  <si>
    <t xml:space="preserve">            Myo Ma(Ga Nge)(W)</t>
  </si>
  <si>
    <t xml:space="preserve">            Myo Ma(Ga Gyi)(W)</t>
  </si>
  <si>
    <t xml:space="preserve">            Pale Gu(VT)</t>
  </si>
  <si>
    <t xml:space="preserve">            Ya Laing(VT)</t>
  </si>
  <si>
    <t xml:space="preserve">            Pu Gaw Zun(VT)</t>
  </si>
  <si>
    <t xml:space="preserve">            Nat Twin(VT)</t>
  </si>
  <si>
    <t xml:space="preserve">            Thit To Htaunt(VT)</t>
  </si>
  <si>
    <t xml:space="preserve">            Kyauk Ka Nyar(VT)</t>
  </si>
  <si>
    <t xml:space="preserve">            Ta Laing Yar(VT)</t>
  </si>
  <si>
    <t xml:space="preserve">            Nyin Htway(VT)</t>
  </si>
  <si>
    <t xml:space="preserve">            Pein Shaung(VT)</t>
  </si>
  <si>
    <t xml:space="preserve">            U Tha Ran(VT)</t>
  </si>
  <si>
    <t xml:space="preserve">            Kyauk Htauk(VT)</t>
  </si>
  <si>
    <t xml:space="preserve">            Wun Hpoet(VT)</t>
  </si>
  <si>
    <t xml:space="preserve">            Na Bu Lel(VT)</t>
  </si>
  <si>
    <t xml:space="preserve">            Le Shaung(VT)</t>
  </si>
  <si>
    <t xml:space="preserve">            Aye Ka Ni(VT)</t>
  </si>
  <si>
    <t xml:space="preserve">            Pa Ra Dat(VT)</t>
  </si>
  <si>
    <t xml:space="preserve">            Mu Du(VT)</t>
  </si>
  <si>
    <t xml:space="preserve">            Zar Di(VT)</t>
  </si>
  <si>
    <t xml:space="preserve">            Hpaung Taw(VT)</t>
  </si>
  <si>
    <t xml:space="preserve">            Thea Chaung(VT)</t>
  </si>
  <si>
    <t xml:space="preserve">            Ohn Pin Kwin(VT)</t>
  </si>
  <si>
    <t xml:space="preserve">            Kywe Thone Nyi Ma(VT)</t>
  </si>
  <si>
    <t xml:space="preserve">            Ein Da Rar Zar(VT)</t>
  </si>
  <si>
    <t xml:space="preserve">            Nat Kyi Zin(VT)</t>
  </si>
  <si>
    <t xml:space="preserve">            Min Thar(VT)</t>
  </si>
  <si>
    <t xml:space="preserve">            Kan Pauk(VT)</t>
  </si>
  <si>
    <t xml:space="preserve">            Hpar Chaung(VT)</t>
  </si>
  <si>
    <t xml:space="preserve">            No(1)(W)</t>
  </si>
  <si>
    <t xml:space="preserve">            No(2)(W)</t>
  </si>
  <si>
    <t xml:space="preserve">            No(3)(W)</t>
  </si>
  <si>
    <t xml:space="preserve">            Taung Thone Lone(VT)</t>
  </si>
  <si>
    <t xml:space="preserve">            Kyauk Me Taung(VT)</t>
  </si>
  <si>
    <t xml:space="preserve">            Myay Khan Baw(VT)</t>
  </si>
  <si>
    <t xml:space="preserve">            Hein Dar(VT)</t>
  </si>
  <si>
    <t xml:space="preserve">            Hpaung Taw Gyi(VT)</t>
  </si>
  <si>
    <t xml:space="preserve">            Ka Lit Gyi(VT)</t>
  </si>
  <si>
    <t xml:space="preserve">            Sin Hpyu Taing(VT)</t>
  </si>
  <si>
    <t xml:space="preserve">            No(4)(W)</t>
  </si>
  <si>
    <t xml:space="preserve">            Hnan Kye(VT)</t>
  </si>
  <si>
    <t xml:space="preserve">            Kayin Shin Ta Bi(VT)</t>
  </si>
  <si>
    <t xml:space="preserve">            Kyauk Shat(VT)</t>
  </si>
  <si>
    <t xml:space="preserve">            Zin Bar(VT)</t>
  </si>
  <si>
    <t xml:space="preserve">            Rar Hpu(VT)</t>
  </si>
  <si>
    <t xml:space="preserve">            Mi Kyaung Hlaung(VT)</t>
  </si>
  <si>
    <t xml:space="preserve">            Lawt Thaing(VT)</t>
  </si>
  <si>
    <t xml:space="preserve">            Ah Nauk Lel(W)</t>
  </si>
  <si>
    <t xml:space="preserve">            Ta Laing Su(W)</t>
  </si>
  <si>
    <t xml:space="preserve">            Seik Nge (W)</t>
  </si>
  <si>
    <t xml:space="preserve">            Zay Tan(W)</t>
  </si>
  <si>
    <t xml:space="preserve">            Kan Khaung(W)</t>
  </si>
  <si>
    <t xml:space="preserve">            Myit Nge(W)</t>
  </si>
  <si>
    <t xml:space="preserve">            Dawei Su(W)</t>
  </si>
  <si>
    <t xml:space="preserve">            Kan Gyi(W)</t>
  </si>
  <si>
    <t xml:space="preserve">            Yae Pone(W)</t>
  </si>
  <si>
    <t xml:space="preserve">            Kan Hpyar(W)</t>
  </si>
  <si>
    <t xml:space="preserve">            Ah Lel Kyun(W)</t>
  </si>
  <si>
    <t xml:space="preserve">            Myeik (South)(W)</t>
  </si>
  <si>
    <t xml:space="preserve">            Myeik Taung(VT)</t>
  </si>
  <si>
    <t xml:space="preserve">            Ka Lwin(VT)</t>
  </si>
  <si>
    <t xml:space="preserve">            In Ga Maw(VT)</t>
  </si>
  <si>
    <t xml:space="preserve">            San Da Wut(VT)</t>
  </si>
  <si>
    <t xml:space="preserve">            Pyin Nge(VT)</t>
  </si>
  <si>
    <t xml:space="preserve">            Ka Han(VT)</t>
  </si>
  <si>
    <t xml:space="preserve">            Sa Lun(VT)</t>
  </si>
  <si>
    <t xml:space="preserve">            Min Than(VT)</t>
  </si>
  <si>
    <t xml:space="preserve">            Pa Thaung(VT)</t>
  </si>
  <si>
    <t xml:space="preserve">            Ma Zaw(VT)</t>
  </si>
  <si>
    <t xml:space="preserve">            Tone Byaw(VT)</t>
  </si>
  <si>
    <t xml:space="preserve">            Taung Shey(VT)</t>
  </si>
  <si>
    <t xml:space="preserve">            Ta Nyet (Ku Lar)(VT)</t>
  </si>
  <si>
    <t xml:space="preserve">            Ta Nyet (Kayin)(VT)</t>
  </si>
  <si>
    <t xml:space="preserve">            Ah Lel Chaung(VT)</t>
  </si>
  <si>
    <t xml:space="preserve">            Pin Oh(VT)</t>
  </si>
  <si>
    <t xml:space="preserve">            Tha But(VT)</t>
  </si>
  <si>
    <t xml:space="preserve">            Tha Moke(VT)</t>
  </si>
  <si>
    <t xml:space="preserve">            Thit Yar Wa(VT)</t>
  </si>
  <si>
    <t xml:space="preserve">            Pa Sut(VT)</t>
  </si>
  <si>
    <t xml:space="preserve">            Pa Pyin(VT)</t>
  </si>
  <si>
    <t xml:space="preserve">            Kyauk Hpyar(VT)</t>
  </si>
  <si>
    <t xml:space="preserve">            Kywe Kha Yan(VT)</t>
  </si>
  <si>
    <t xml:space="preserve">            Ka Bin(VT)</t>
  </si>
  <si>
    <t xml:space="preserve">            Kaw Zar Yar(VT)</t>
  </si>
  <si>
    <t xml:space="preserve">            Taw Pyar(VT)</t>
  </si>
  <si>
    <t xml:space="preserve">            War Yit(VT)</t>
  </si>
  <si>
    <t xml:space="preserve">            Sa Khan Thit(VT)</t>
  </si>
  <si>
    <t xml:space="preserve">            Me Taw(VT)</t>
  </si>
  <si>
    <t xml:space="preserve">            Ban Da Ne(VT)</t>
  </si>
  <si>
    <t xml:space="preserve">            Kan Maw(VT)</t>
  </si>
  <si>
    <t xml:space="preserve">            Yae Kan Taung(VT)</t>
  </si>
  <si>
    <t xml:space="preserve">            Nyaung Bee(VT)</t>
  </si>
  <si>
    <t xml:space="preserve">            Min Goke(VT)</t>
  </si>
  <si>
    <t xml:space="preserve">            Than Doke(VT)</t>
  </si>
  <si>
    <t xml:space="preserve">            Kat Ta Lu(VT)</t>
  </si>
  <si>
    <t xml:space="preserve">            Ma Aing(VT)</t>
  </si>
  <si>
    <t xml:space="preserve">            Maung Hlaw(VT)</t>
  </si>
  <si>
    <t xml:space="preserve">            Zay Ka Mi(VT)</t>
  </si>
  <si>
    <t xml:space="preserve">            Yae Myit Gyi(VT)</t>
  </si>
  <si>
    <t xml:space="preserve">            Kan Gyi(VT)</t>
  </si>
  <si>
    <t xml:space="preserve">            Ka Pa(VT)</t>
  </si>
  <si>
    <t xml:space="preserve">            No(5)(W)</t>
  </si>
  <si>
    <t xml:space="preserve">            Mi Kyaung Thaik(VT)</t>
  </si>
  <si>
    <t xml:space="preserve">            Pu Law Kone(VT)</t>
  </si>
  <si>
    <t xml:space="preserve">            Za Yat Seik(VT)</t>
  </si>
  <si>
    <t xml:space="preserve">            Taung Yar Kan(VT)</t>
  </si>
  <si>
    <t xml:space="preserve">            Let Ku(VT)</t>
  </si>
  <si>
    <t xml:space="preserve">            Nan Taung(VT)</t>
  </si>
  <si>
    <t xml:space="preserve">            Ka De(VT)</t>
  </si>
  <si>
    <t xml:space="preserve">            Hta Min Ma Sar(VT)</t>
  </si>
  <si>
    <t xml:space="preserve">            Kye(VT)</t>
  </si>
  <si>
    <t xml:space="preserve">            To(VT)</t>
  </si>
  <si>
    <t xml:space="preserve">            Pu Law Hpyar(VT)</t>
  </si>
  <si>
    <t xml:space="preserve">            Pa La(VT)</t>
  </si>
  <si>
    <t xml:space="preserve">            Min Htein(VT)</t>
  </si>
  <si>
    <t xml:space="preserve">            Ma Li(VT)</t>
  </si>
  <si>
    <t xml:space="preserve">            Shan Dut(VT)</t>
  </si>
  <si>
    <t xml:space="preserve">            Shat Pon(VT)</t>
  </si>
  <si>
    <t xml:space="preserve">            Kyauk Kar(VT)</t>
  </si>
  <si>
    <t xml:space="preserve">            Leik Thaung(VT)</t>
  </si>
  <si>
    <t xml:space="preserve">            Du Yin Pin Shaung(VT)</t>
  </si>
  <si>
    <t xml:space="preserve">            Ma Gyi Kone(VT)</t>
  </si>
  <si>
    <t xml:space="preserve">            Chaung Gyi(W)</t>
  </si>
  <si>
    <t xml:space="preserve">            Chaung Nge(W)</t>
  </si>
  <si>
    <t xml:space="preserve">            Sin Chay Hpone(VT)</t>
  </si>
  <si>
    <t xml:space="preserve">            Pa Wa(VT)</t>
  </si>
  <si>
    <t xml:space="preserve">            Maw Tone (East)(VT)</t>
  </si>
  <si>
    <t xml:space="preserve">            Maw Tone (West)(VT)</t>
  </si>
  <si>
    <t xml:space="preserve">            Lel Thit(VT)</t>
  </si>
  <si>
    <t xml:space="preserve">            Ta Moke Chone(VT)</t>
  </si>
  <si>
    <t xml:space="preserve">            Ban La Mut(VT)</t>
  </si>
  <si>
    <t xml:space="preserve">            Thein Khun(VT)</t>
  </si>
  <si>
    <t xml:space="preserve">            Kyauk Ta Lone(VT)</t>
  </si>
  <si>
    <t xml:space="preserve">            Thar Ra Hpon(VT)</t>
  </si>
  <si>
    <t xml:space="preserve">            Thein Daw(VT)</t>
  </si>
  <si>
    <t xml:space="preserve">            Ban Law(VT)</t>
  </si>
  <si>
    <t xml:space="preserve">            Ta Ku(VT)</t>
  </si>
  <si>
    <t xml:space="preserve">            Nyaung Pin Kwin(VT)</t>
  </si>
  <si>
    <t xml:space="preserve">            Tha Kyet(VT)</t>
  </si>
  <si>
    <t xml:space="preserve">            Kawt Ma Pyin(VT)</t>
  </si>
  <si>
    <t xml:space="preserve">            Thin Baw U(VT)</t>
  </si>
  <si>
    <t xml:space="preserve">            Za Wea(VT)</t>
  </si>
  <si>
    <t xml:space="preserve">            Thar Ra Bwin(VT)</t>
  </si>
  <si>
    <t xml:space="preserve">            Pyin Bu Gyi(VT)</t>
  </si>
  <si>
    <t xml:space="preserve">            Pyi Char(VT)</t>
  </si>
  <si>
    <t xml:space="preserve">            Khan Ti(VT)</t>
  </si>
  <si>
    <t xml:space="preserve">            Sin Htoe Gyi(VT)</t>
  </si>
  <si>
    <t xml:space="preserve">            Kyauk Lone Gyi(VT)</t>
  </si>
  <si>
    <t xml:space="preserve">            Nan Thi Lar(VT)</t>
  </si>
  <si>
    <t xml:space="preserve">            Shwe Hin Thar(W)</t>
  </si>
  <si>
    <t xml:space="preserve">            Ah Nan War(W)</t>
  </si>
  <si>
    <t xml:space="preserve">            Pi Tauk Shwe War(W)</t>
  </si>
  <si>
    <t xml:space="preserve">            Ba Yint Naung(W)</t>
  </si>
  <si>
    <t xml:space="preserve">            Aung Thu Kha(W)</t>
  </si>
  <si>
    <t xml:space="preserve">            Aye Mya Kan Thar(W</t>
  </si>
  <si>
    <t xml:space="preserve">            Thi Ri Myaing(W)</t>
  </si>
  <si>
    <t xml:space="preserve">            Shwe Zin Yaw(W)</t>
  </si>
  <si>
    <t xml:space="preserve">            Aye Yeik Nyein(W)</t>
  </si>
  <si>
    <t xml:space="preserve">            Shwe Pyi Thar(W)</t>
  </si>
  <si>
    <t xml:space="preserve">            Pu Lo Ton Tone(VT)</t>
  </si>
  <si>
    <t xml:space="preserve">            Zar Det Gyi Kyun(VT)</t>
  </si>
  <si>
    <t xml:space="preserve">            Se Maing(VT)</t>
  </si>
  <si>
    <t xml:space="preserve">            Khun Hnit Maing/Shwe Pyi Soe(VT)</t>
  </si>
  <si>
    <t xml:space="preserve">            Ban Ka Chun(VT)</t>
  </si>
  <si>
    <t xml:space="preserve">            Ma Li Wan(VT)</t>
  </si>
  <si>
    <t xml:space="preserve">            Chan Hpan(VT)</t>
  </si>
  <si>
    <t xml:space="preserve">            Aw Gyi(VT)</t>
  </si>
  <si>
    <t xml:space="preserve">            Su Nge Bar Laing(VT)</t>
  </si>
  <si>
    <t xml:space="preserve">            Shwe Bon Thar(W)</t>
  </si>
  <si>
    <t xml:space="preserve">            Aung Min Ga Lar(W)</t>
  </si>
  <si>
    <t xml:space="preserve">            Myo Ma(W)</t>
  </si>
  <si>
    <t xml:space="preserve">            Aye Chan tar(W)</t>
  </si>
  <si>
    <t xml:space="preserve">            Ohn Taw Kan(VT)</t>
  </si>
  <si>
    <t xml:space="preserve">            Ka Mar Chaung(VT)</t>
  </si>
  <si>
    <t xml:space="preserve">            Ah Twin Bokpyin(VT)</t>
  </si>
  <si>
    <t xml:space="preserve">            Chaung Ka Shet/Htaung Kha Met(VT)</t>
  </si>
  <si>
    <t xml:space="preserve">            Noet Ngwar(VT)</t>
  </si>
  <si>
    <t xml:space="preserve">            Ah Lel Man(VT)</t>
  </si>
  <si>
    <t xml:space="preserve">            Sa Tein(VT)</t>
  </si>
  <si>
    <t xml:space="preserve">            Yae Ngan Gyi(VT)</t>
  </si>
  <si>
    <t xml:space="preserve">            Bon Khun(VT)</t>
  </si>
  <si>
    <t xml:space="preserve">            Htuang Son Ma Het/Chaung Ka Ton(VT)</t>
  </si>
  <si>
    <t xml:space="preserve">            Mar Ran(VT)</t>
  </si>
  <si>
    <t xml:space="preserve">            Hpaw Thoke(VT)</t>
  </si>
  <si>
    <t xml:space="preserve">            Par San(VT)</t>
  </si>
  <si>
    <t xml:space="preserve">            Lone Hpaw(VT)</t>
  </si>
  <si>
    <t xml:space="preserve">            Khi Ka Hpwaing(VT)</t>
  </si>
  <si>
    <t xml:space="preserve">            Pa Ret Saing(VT)</t>
  </si>
  <si>
    <t xml:space="preserve">            Pyi Gyi Mandaing(W)</t>
  </si>
  <si>
    <t xml:space="preserve">            Lay Hnar (East)(W)</t>
  </si>
  <si>
    <t xml:space="preserve">            Lay Hnar (West)(W)</t>
  </si>
  <si>
    <t xml:space="preserve">            Shwe Ge Nyo(VT)</t>
  </si>
  <si>
    <t xml:space="preserve">            Ma Noe Yone(VT)</t>
  </si>
  <si>
    <t xml:space="preserve">            Kawt But(VT)</t>
  </si>
  <si>
    <t xml:space="preserve">            Htuang Yaik(VT)</t>
  </si>
  <si>
    <t xml:space="preserve">            Chaung Ka Hpet(VT)</t>
  </si>
  <si>
    <t xml:space="preserve">            Htaung Ngar Thaing/Kyauk Tan(VT)</t>
  </si>
  <si>
    <t xml:space="preserve">            Ban Ga Lar(VT)</t>
  </si>
  <si>
    <t xml:space="preserve">            Ma Thay(VT)</t>
  </si>
  <si>
    <t xml:space="preserve">            Han Ka Pyu(VT)</t>
  </si>
  <si>
    <t xml:space="preserve">            Kawt Ba Mar(VT)</t>
  </si>
  <si>
    <t>Ward</t>
  </si>
  <si>
    <t>Population</t>
  </si>
  <si>
    <t>Sr</t>
  </si>
  <si>
    <t>29-3-2014</t>
  </si>
  <si>
    <t>Tanintharyi Region, Myeik District, Myeik Township</t>
  </si>
  <si>
    <t>Tanintharyi Region, Myeik District, Kyunsu Township</t>
  </si>
  <si>
    <t>Tanintharyi Region, Myeik District, Palaw Township</t>
  </si>
  <si>
    <t>Tanintharyi Region, Myeik District, Tanintharyi Township</t>
  </si>
  <si>
    <t>Tanintharyi Region,Kawthoung District, Kawthoung Township</t>
  </si>
  <si>
    <t>Tanintharyi Region,Kawthoung District, Bokepyin Township</t>
  </si>
  <si>
    <t>Tanintharyi Region, Dawei District, Dawei Township</t>
  </si>
  <si>
    <t>Tanintharyi Region, Myeik District, Palauk (Sub-Township)</t>
  </si>
  <si>
    <t>Tanintharyi Region,Kawthoung District, Khamaukkyi (Sub-Township)</t>
  </si>
  <si>
    <t>Tanintharyi Region,Kawthoung District,Pyigyimandaing (Sub-Township)</t>
  </si>
  <si>
    <t>Tanintharyi Region, Kawthoung District, Karathuri (Sub-Township)</t>
  </si>
  <si>
    <t>Tanintharyi Region,  Dawei District,Lounglon Township</t>
  </si>
  <si>
    <t>Tanintharyi  Region, Dawei District, Thayetchaung Township</t>
  </si>
  <si>
    <t>Tanintharyi Region, Dawei District, Yebyu Township</t>
  </si>
  <si>
    <t>Tanintharyi Region, Dawei District, Myitta(Sub-Township)</t>
  </si>
  <si>
    <t>Tanintharyi Region, Dawei District, Kaleinaung (Sub-Township)</t>
  </si>
  <si>
    <t>Village Tract</t>
  </si>
  <si>
    <t>Ward/Village Tract</t>
  </si>
  <si>
    <t>List of twonship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</si>
</sst>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6"/>
      <color indexed="8"/>
      <name val="Myanmar2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Times New Roman"/>
      <family val="1"/>
    </font>
    <font>
      <u/>
      <sz val="14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0">
    <xf numFmtId="0" fontId="0" fillId="0" borderId="0" xfId="0"/>
    <xf numFmtId="0" fontId="0" fillId="0" borderId="0" xfId="0" applyBorder="1"/>
    <xf numFmtId="0" fontId="1" fillId="0" borderId="0" xfId="0" applyFont="1" applyFill="1" applyBorder="1" applyAlignment="1">
      <alignment horizontal="left" vertical="center" wrapText="1"/>
    </xf>
    <xf numFmtId="0" fontId="2" fillId="0" borderId="0" xfId="0" applyFont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3" fillId="0" borderId="11" xfId="0" applyFont="1" applyBorder="1" applyAlignment="1">
      <alignment horizontal="center"/>
    </xf>
    <xf numFmtId="0" fontId="3" fillId="0" borderId="5" xfId="0" applyFont="1" applyBorder="1"/>
    <xf numFmtId="0" fontId="3" fillId="0" borderId="3" xfId="0" applyFont="1" applyBorder="1"/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right"/>
    </xf>
    <xf numFmtId="0" fontId="2" fillId="0" borderId="2" xfId="0" applyFont="1" applyBorder="1"/>
    <xf numFmtId="0" fontId="3" fillId="0" borderId="2" xfId="0" applyFont="1" applyBorder="1"/>
    <xf numFmtId="0" fontId="0" fillId="0" borderId="0" xfId="0" applyAlignment="1">
      <alignment horizontal="center"/>
    </xf>
    <xf numFmtId="0" fontId="2" fillId="0" borderId="3" xfId="0" applyFont="1" applyFill="1" applyBorder="1"/>
    <xf numFmtId="0" fontId="2" fillId="0" borderId="4" xfId="0" applyFont="1" applyFill="1" applyBorder="1"/>
    <xf numFmtId="0" fontId="3" fillId="0" borderId="10" xfId="0" applyFont="1" applyBorder="1"/>
    <xf numFmtId="0" fontId="2" fillId="0" borderId="12" xfId="0" applyFont="1" applyBorder="1"/>
    <xf numFmtId="0" fontId="3" fillId="0" borderId="12" xfId="0" applyFont="1" applyBorder="1"/>
    <xf numFmtId="0" fontId="2" fillId="0" borderId="7" xfId="0" applyFont="1" applyBorder="1"/>
    <xf numFmtId="0" fontId="2" fillId="0" borderId="8" xfId="0" applyFont="1" applyBorder="1"/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0" xfId="1"/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4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workbookViewId="0">
      <selection activeCell="B17" sqref="B17"/>
    </sheetView>
  </sheetViews>
  <sheetFormatPr defaultRowHeight="15" x14ac:dyDescent="0.25"/>
  <cols>
    <col min="2" max="2" width="63.85546875" customWidth="1"/>
  </cols>
  <sheetData>
    <row r="1" spans="1:2" ht="18.75" x14ac:dyDescent="0.3">
      <c r="A1" s="25" t="s">
        <v>348</v>
      </c>
      <c r="B1" s="26"/>
    </row>
    <row r="2" spans="1:2" x14ac:dyDescent="0.25">
      <c r="A2">
        <v>1</v>
      </c>
      <c r="B2" s="24" t="str">
        <f>' Dawei'!A1</f>
        <v>Tanintharyi Region, Dawei District, Dawei Township</v>
      </c>
    </row>
    <row r="3" spans="1:2" x14ac:dyDescent="0.25">
      <c r="A3">
        <v>2</v>
      </c>
      <c r="B3" s="24" t="str">
        <f>' Lounglon'!A1</f>
        <v>Tanintharyi Region,  Dawei District,Lounglon Township</v>
      </c>
    </row>
    <row r="4" spans="1:2" x14ac:dyDescent="0.25">
      <c r="A4">
        <v>3</v>
      </c>
      <c r="B4" s="24" t="str">
        <f>Thayetchaung!A1</f>
        <v>Tanintharyi  Region, Dawei District, Thayetchaung Township</v>
      </c>
    </row>
    <row r="5" spans="1:2" x14ac:dyDescent="0.25">
      <c r="A5">
        <v>4</v>
      </c>
      <c r="B5" s="24" t="str">
        <f>Yebyu!A1</f>
        <v>Tanintharyi Region, Dawei District, Yebyu Township</v>
      </c>
    </row>
    <row r="6" spans="1:2" x14ac:dyDescent="0.25">
      <c r="A6">
        <v>5</v>
      </c>
      <c r="B6" s="24" t="str">
        <f>'Myitta(Sub-Tsp)'!A1</f>
        <v>Tanintharyi Region, Dawei District, Myitta(Sub-Township)</v>
      </c>
    </row>
    <row r="7" spans="1:2" x14ac:dyDescent="0.25">
      <c r="A7">
        <v>6</v>
      </c>
      <c r="B7" s="24" t="str">
        <f>' Kaleinaung(Sub-Tsp)'!A1</f>
        <v>Tanintharyi Region, Dawei District, Kaleinaung (Sub-Township)</v>
      </c>
    </row>
    <row r="8" spans="1:2" x14ac:dyDescent="0.25">
      <c r="A8">
        <v>7</v>
      </c>
      <c r="B8" s="24" t="str">
        <f>' Myeik'!A1</f>
        <v>Tanintharyi Region, Myeik District, Myeik Township</v>
      </c>
    </row>
    <row r="9" spans="1:2" x14ac:dyDescent="0.25">
      <c r="A9">
        <v>8</v>
      </c>
      <c r="B9" s="24" t="str">
        <f>Kyunsu!A1</f>
        <v>Tanintharyi Region, Myeik District, Kyunsu Township</v>
      </c>
    </row>
    <row r="10" spans="1:2" x14ac:dyDescent="0.25">
      <c r="A10">
        <v>9</v>
      </c>
      <c r="B10" s="24" t="str">
        <f>Palaw!A1</f>
        <v>Tanintharyi Region, Myeik District, Palaw Township</v>
      </c>
    </row>
    <row r="11" spans="1:2" x14ac:dyDescent="0.25">
      <c r="A11">
        <v>10</v>
      </c>
      <c r="B11" s="24" t="str">
        <f>Tanintharyi!A1</f>
        <v>Tanintharyi Region, Myeik District, Tanintharyi Township</v>
      </c>
    </row>
    <row r="12" spans="1:2" x14ac:dyDescent="0.25">
      <c r="A12">
        <v>11</v>
      </c>
      <c r="B12" s="24" t="str">
        <f>' Palauk(Sub-Tsp)'!A1</f>
        <v>Tanintharyi Region, Myeik District, Palauk (Sub-Township)</v>
      </c>
    </row>
    <row r="13" spans="1:2" x14ac:dyDescent="0.25">
      <c r="A13">
        <v>12</v>
      </c>
      <c r="B13" s="24" t="str">
        <f>Kawthoung!A1</f>
        <v>Tanintharyi Region,Kawthoung District, Kawthoung Township</v>
      </c>
    </row>
    <row r="14" spans="1:2" x14ac:dyDescent="0.25">
      <c r="A14">
        <v>13</v>
      </c>
      <c r="B14" s="24" t="str">
        <f>Bokepyin!A1</f>
        <v>Tanintharyi Region,Kawthoung District, Bokepyin Township</v>
      </c>
    </row>
    <row r="15" spans="1:2" x14ac:dyDescent="0.25">
      <c r="A15">
        <v>14</v>
      </c>
      <c r="B15" s="24" t="str">
        <f>' Khamaukkyi(Sub-Tsp)'!A1</f>
        <v>Tanintharyi Region,Kawthoung District, Khamaukkyi (Sub-Township)</v>
      </c>
    </row>
    <row r="16" spans="1:2" x14ac:dyDescent="0.25">
      <c r="A16">
        <v>15</v>
      </c>
      <c r="B16" s="24" t="str">
        <f>'Pyigyimandaing(Sub-Tsp)'!A1</f>
        <v>Tanintharyi Region,Kawthoung District,Pyigyimandaing (Sub-Township)</v>
      </c>
    </row>
    <row r="17" spans="1:2" x14ac:dyDescent="0.25">
      <c r="A17">
        <v>16</v>
      </c>
      <c r="B17" s="24" t="str">
        <f>'Karathuri(Sub-Tsp)'!A1</f>
        <v>Tanintharyi Region, Kawthoung District, Karathuri (Sub-Township)</v>
      </c>
    </row>
  </sheetData>
  <mergeCells count="1">
    <mergeCell ref="A1:B1"/>
  </mergeCells>
  <hyperlinks>
    <hyperlink ref="B2" location="' Dawei'!A1" display="' Dawei'!A1"/>
    <hyperlink ref="B3" location="' Lounglon'!A1" display="' Lounglon'!A1"/>
    <hyperlink ref="B4" location="Thayetchaung!A1" display="Thayetchaung!A1"/>
    <hyperlink ref="B5" location="Yebyu!A1" display="Yebyu!A1"/>
    <hyperlink ref="B6" location="'Myitta(Sub-Tsp)'!A1" display="'Myitta(Sub-Tsp)'!A1"/>
    <hyperlink ref="B7" location="' Kaleinaung(Sub-Tsp)'!A1" display="' Kaleinaung(Sub-Tsp)'!A1"/>
    <hyperlink ref="B8" location="' Myeik'!A1" display="' Myeik'!A1"/>
    <hyperlink ref="B9" location="Kyunsu!A1" display="Kyunsu!A1"/>
    <hyperlink ref="B10" location="Palaw!A1" display="Palaw!A1"/>
    <hyperlink ref="B11" location="Tanintharyi!A1" display="Tanintharyi!A1"/>
    <hyperlink ref="B12" location="' Palauk(Sub-Tsp)'!A1" display="' Palauk(Sub-Tsp)'!A1"/>
    <hyperlink ref="B13" location="Kawthoung!A1" display="Kawthoung!A1"/>
    <hyperlink ref="B14" location="Bokepyin!A1" display="Bokepyin!A1"/>
    <hyperlink ref="B15" location="' Khamaukkyi(Sub-Tsp)'!A1" display="' Khamaukkyi(Sub-Tsp)'!A1"/>
    <hyperlink ref="B16" location="'Pyigyimandaing(Sub-Tsp)'!A1" display="'Pyigyimandaing(Sub-Tsp)'!A1"/>
    <hyperlink ref="B17" location="'Karathuri(Sub-Tsp)'!A1" display="'Karathuri(Sub-Tsp)'!A1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workbookViewId="0">
      <selection sqref="A1:E1"/>
    </sheetView>
  </sheetViews>
  <sheetFormatPr defaultRowHeight="15" x14ac:dyDescent="0.25"/>
  <cols>
    <col min="1" max="1" width="7.85546875" customWidth="1"/>
    <col min="2" max="2" width="31" customWidth="1"/>
    <col min="3" max="5" width="15.7109375" customWidth="1"/>
    <col min="7" max="7" width="29.7109375" customWidth="1"/>
    <col min="8" max="10" width="18.7109375" customWidth="1"/>
  </cols>
  <sheetData>
    <row r="1" spans="1:5" ht="21" customHeight="1" x14ac:dyDescent="0.25">
      <c r="A1" s="32" t="s">
        <v>336</v>
      </c>
      <c r="B1" s="32"/>
      <c r="C1" s="32"/>
      <c r="D1" s="32"/>
      <c r="E1" s="32"/>
    </row>
    <row r="2" spans="1:5" ht="21" customHeight="1" x14ac:dyDescent="0.25">
      <c r="E2" s="23" t="s">
        <v>329</v>
      </c>
    </row>
    <row r="3" spans="1:5" ht="21" customHeight="1" x14ac:dyDescent="0.25"/>
    <row r="4" spans="1:5" ht="15.75" x14ac:dyDescent="0.25">
      <c r="A4" s="30" t="s">
        <v>328</v>
      </c>
      <c r="B4" s="30" t="s">
        <v>347</v>
      </c>
      <c r="C4" s="27" t="s">
        <v>327</v>
      </c>
      <c r="D4" s="28"/>
      <c r="E4" s="29"/>
    </row>
    <row r="5" spans="1:5" ht="15.75" x14ac:dyDescent="0.25">
      <c r="A5" s="31"/>
      <c r="B5" s="31"/>
      <c r="C5" s="10" t="s">
        <v>0</v>
      </c>
      <c r="D5" s="10" t="s">
        <v>1</v>
      </c>
      <c r="E5" s="10" t="s">
        <v>2</v>
      </c>
    </row>
    <row r="6" spans="1:5" ht="21.95" customHeight="1" x14ac:dyDescent="0.25">
      <c r="A6" s="12"/>
      <c r="B6" s="17" t="s">
        <v>0</v>
      </c>
      <c r="C6" s="8">
        <v>125605</v>
      </c>
      <c r="D6" s="8">
        <v>60044</v>
      </c>
      <c r="E6" s="8">
        <v>65561</v>
      </c>
    </row>
    <row r="7" spans="1:5" ht="21.95" customHeight="1" x14ac:dyDescent="0.25">
      <c r="A7" s="4"/>
      <c r="B7" s="18"/>
      <c r="C7" s="4"/>
      <c r="D7" s="4"/>
      <c r="E7" s="4"/>
    </row>
    <row r="8" spans="1:5" ht="21.95" customHeight="1" x14ac:dyDescent="0.25">
      <c r="A8" s="6"/>
      <c r="B8" s="19" t="s">
        <v>326</v>
      </c>
      <c r="C8" s="9">
        <f>SUM(C9:C23)</f>
        <v>80117</v>
      </c>
      <c r="D8" s="9">
        <f t="shared" ref="D8:E8" si="0">SUM(D9:D23)</f>
        <v>38008</v>
      </c>
      <c r="E8" s="9">
        <f t="shared" si="0"/>
        <v>42109</v>
      </c>
    </row>
    <row r="9" spans="1:5" ht="21.95" customHeight="1" x14ac:dyDescent="0.25">
      <c r="A9" s="4">
        <v>1</v>
      </c>
      <c r="B9" s="20" t="s">
        <v>3</v>
      </c>
      <c r="C9" s="4">
        <v>6895</v>
      </c>
      <c r="D9" s="4">
        <v>3339</v>
      </c>
      <c r="E9" s="4">
        <v>3556</v>
      </c>
    </row>
    <row r="10" spans="1:5" ht="21.95" customHeight="1" x14ac:dyDescent="0.25">
      <c r="A10" s="4">
        <v>2</v>
      </c>
      <c r="B10" s="20" t="s">
        <v>4</v>
      </c>
      <c r="C10" s="4">
        <v>8012</v>
      </c>
      <c r="D10" s="4">
        <v>3737</v>
      </c>
      <c r="E10" s="4">
        <v>4275</v>
      </c>
    </row>
    <row r="11" spans="1:5" ht="21.95" customHeight="1" x14ac:dyDescent="0.25">
      <c r="A11" s="4">
        <v>3</v>
      </c>
      <c r="B11" s="20" t="s">
        <v>5</v>
      </c>
      <c r="C11" s="4">
        <v>2686</v>
      </c>
      <c r="D11" s="4">
        <v>1206</v>
      </c>
      <c r="E11" s="4">
        <v>1480</v>
      </c>
    </row>
    <row r="12" spans="1:5" ht="21.95" customHeight="1" x14ac:dyDescent="0.25">
      <c r="A12" s="4">
        <v>4</v>
      </c>
      <c r="B12" s="20" t="s">
        <v>6</v>
      </c>
      <c r="C12" s="4">
        <v>1170</v>
      </c>
      <c r="D12" s="4">
        <v>518</v>
      </c>
      <c r="E12" s="4">
        <v>652</v>
      </c>
    </row>
    <row r="13" spans="1:5" ht="21.95" customHeight="1" x14ac:dyDescent="0.25">
      <c r="A13" s="4">
        <v>5</v>
      </c>
      <c r="B13" s="20" t="s">
        <v>7</v>
      </c>
      <c r="C13" s="4">
        <v>2198</v>
      </c>
      <c r="D13" s="4">
        <v>1007</v>
      </c>
      <c r="E13" s="4">
        <v>1191</v>
      </c>
    </row>
    <row r="14" spans="1:5" ht="21.95" customHeight="1" x14ac:dyDescent="0.25">
      <c r="A14" s="4">
        <v>6</v>
      </c>
      <c r="B14" s="20" t="s">
        <v>8</v>
      </c>
      <c r="C14" s="4">
        <v>7765</v>
      </c>
      <c r="D14" s="4">
        <v>3785</v>
      </c>
      <c r="E14" s="4">
        <v>3980</v>
      </c>
    </row>
    <row r="15" spans="1:5" ht="21.95" customHeight="1" x14ac:dyDescent="0.25">
      <c r="A15" s="4">
        <v>7</v>
      </c>
      <c r="B15" s="20" t="s">
        <v>9</v>
      </c>
      <c r="C15" s="4">
        <v>4274</v>
      </c>
      <c r="D15" s="4">
        <v>1980</v>
      </c>
      <c r="E15" s="4">
        <v>2294</v>
      </c>
    </row>
    <row r="16" spans="1:5" ht="21.95" customHeight="1" x14ac:dyDescent="0.25">
      <c r="A16" s="4">
        <v>8</v>
      </c>
      <c r="B16" s="20" t="s">
        <v>10</v>
      </c>
      <c r="C16" s="4">
        <v>2146</v>
      </c>
      <c r="D16" s="4">
        <v>879</v>
      </c>
      <c r="E16" s="4">
        <v>1267</v>
      </c>
    </row>
    <row r="17" spans="1:5" ht="21.95" customHeight="1" x14ac:dyDescent="0.25">
      <c r="A17" s="4">
        <v>9</v>
      </c>
      <c r="B17" s="20" t="s">
        <v>11</v>
      </c>
      <c r="C17" s="4">
        <v>3537</v>
      </c>
      <c r="D17" s="4">
        <v>1559</v>
      </c>
      <c r="E17" s="4">
        <v>1978</v>
      </c>
    </row>
    <row r="18" spans="1:5" ht="21.95" customHeight="1" x14ac:dyDescent="0.25">
      <c r="A18" s="4">
        <v>10</v>
      </c>
      <c r="B18" s="20" t="s">
        <v>12</v>
      </c>
      <c r="C18" s="4">
        <v>7433</v>
      </c>
      <c r="D18" s="4">
        <v>3658</v>
      </c>
      <c r="E18" s="4">
        <v>3775</v>
      </c>
    </row>
    <row r="19" spans="1:5" ht="21.95" customHeight="1" x14ac:dyDescent="0.25">
      <c r="A19" s="4">
        <v>11</v>
      </c>
      <c r="B19" s="20" t="s">
        <v>13</v>
      </c>
      <c r="C19" s="4">
        <v>2076</v>
      </c>
      <c r="D19" s="4">
        <v>907</v>
      </c>
      <c r="E19" s="4">
        <v>1169</v>
      </c>
    </row>
    <row r="20" spans="1:5" ht="21.95" customHeight="1" x14ac:dyDescent="0.25">
      <c r="A20" s="4">
        <v>12</v>
      </c>
      <c r="B20" s="20" t="s">
        <v>14</v>
      </c>
      <c r="C20" s="4">
        <v>4891</v>
      </c>
      <c r="D20" s="4">
        <v>2302</v>
      </c>
      <c r="E20" s="4">
        <v>2589</v>
      </c>
    </row>
    <row r="21" spans="1:5" ht="21.95" customHeight="1" x14ac:dyDescent="0.25">
      <c r="A21" s="4">
        <v>13</v>
      </c>
      <c r="B21" s="20" t="s">
        <v>15</v>
      </c>
      <c r="C21" s="4">
        <v>5716</v>
      </c>
      <c r="D21" s="4">
        <v>2720</v>
      </c>
      <c r="E21" s="4">
        <v>2996</v>
      </c>
    </row>
    <row r="22" spans="1:5" ht="21.95" customHeight="1" x14ac:dyDescent="0.25">
      <c r="A22" s="4">
        <v>14</v>
      </c>
      <c r="B22" s="20" t="s">
        <v>16</v>
      </c>
      <c r="C22" s="4">
        <v>12670</v>
      </c>
      <c r="D22" s="4">
        <v>6112</v>
      </c>
      <c r="E22" s="4">
        <v>6558</v>
      </c>
    </row>
    <row r="23" spans="1:5" ht="21.95" customHeight="1" x14ac:dyDescent="0.25">
      <c r="A23" s="4">
        <v>15</v>
      </c>
      <c r="B23" s="20" t="s">
        <v>17</v>
      </c>
      <c r="C23" s="4">
        <v>8648</v>
      </c>
      <c r="D23" s="4">
        <v>4299</v>
      </c>
      <c r="E23" s="4">
        <v>4349</v>
      </c>
    </row>
    <row r="24" spans="1:5" ht="21.95" customHeight="1" x14ac:dyDescent="0.25">
      <c r="A24" s="4"/>
      <c r="B24" s="19" t="s">
        <v>346</v>
      </c>
      <c r="C24" s="9">
        <f>SUM(C25:C41)</f>
        <v>45488</v>
      </c>
      <c r="D24" s="9">
        <f t="shared" ref="D24:E24" si="1">SUM(D25:D41)</f>
        <v>22036</v>
      </c>
      <c r="E24" s="9">
        <f t="shared" si="1"/>
        <v>23452</v>
      </c>
    </row>
    <row r="25" spans="1:5" ht="21.95" customHeight="1" x14ac:dyDescent="0.25">
      <c r="A25" s="6">
        <v>1</v>
      </c>
      <c r="B25" s="20" t="s">
        <v>18</v>
      </c>
      <c r="C25" s="4">
        <v>2404</v>
      </c>
      <c r="D25" s="4">
        <v>1138</v>
      </c>
      <c r="E25" s="4">
        <v>1266</v>
      </c>
    </row>
    <row r="26" spans="1:5" ht="21.95" customHeight="1" x14ac:dyDescent="0.25">
      <c r="A26" s="4">
        <v>2</v>
      </c>
      <c r="B26" s="20" t="s">
        <v>19</v>
      </c>
      <c r="C26" s="4">
        <v>5766</v>
      </c>
      <c r="D26" s="4">
        <v>3009</v>
      </c>
      <c r="E26" s="4">
        <v>2757</v>
      </c>
    </row>
    <row r="27" spans="1:5" ht="21.95" customHeight="1" x14ac:dyDescent="0.25">
      <c r="A27" s="4">
        <v>3</v>
      </c>
      <c r="B27" s="20" t="s">
        <v>20</v>
      </c>
      <c r="C27" s="4">
        <v>3977</v>
      </c>
      <c r="D27" s="4">
        <v>1860</v>
      </c>
      <c r="E27" s="4">
        <v>2117</v>
      </c>
    </row>
    <row r="28" spans="1:5" ht="21.95" customHeight="1" x14ac:dyDescent="0.25">
      <c r="A28" s="4">
        <v>4</v>
      </c>
      <c r="B28" s="20" t="s">
        <v>21</v>
      </c>
      <c r="C28" s="4">
        <v>1857</v>
      </c>
      <c r="D28" s="4">
        <v>870</v>
      </c>
      <c r="E28" s="4">
        <v>987</v>
      </c>
    </row>
    <row r="29" spans="1:5" ht="21.95" customHeight="1" x14ac:dyDescent="0.25">
      <c r="A29" s="4">
        <v>5</v>
      </c>
      <c r="B29" s="20" t="s">
        <v>22</v>
      </c>
      <c r="C29" s="4">
        <v>1581</v>
      </c>
      <c r="D29" s="4">
        <v>692</v>
      </c>
      <c r="E29" s="4">
        <v>889</v>
      </c>
    </row>
    <row r="30" spans="1:5" ht="21.95" customHeight="1" x14ac:dyDescent="0.25">
      <c r="A30" s="4">
        <v>6</v>
      </c>
      <c r="B30" s="20" t="s">
        <v>23</v>
      </c>
      <c r="C30" s="4">
        <v>1445</v>
      </c>
      <c r="D30" s="4">
        <v>666</v>
      </c>
      <c r="E30" s="4">
        <v>779</v>
      </c>
    </row>
    <row r="31" spans="1:5" ht="21.95" customHeight="1" x14ac:dyDescent="0.25">
      <c r="A31" s="4">
        <v>7</v>
      </c>
      <c r="B31" s="20" t="s">
        <v>24</v>
      </c>
      <c r="C31" s="4">
        <v>3922</v>
      </c>
      <c r="D31" s="4">
        <v>1927</v>
      </c>
      <c r="E31" s="4">
        <v>1995</v>
      </c>
    </row>
    <row r="32" spans="1:5" ht="21.95" customHeight="1" x14ac:dyDescent="0.25">
      <c r="A32" s="4">
        <v>8</v>
      </c>
      <c r="B32" s="20" t="s">
        <v>25</v>
      </c>
      <c r="C32" s="4">
        <v>2035</v>
      </c>
      <c r="D32" s="4">
        <v>1003</v>
      </c>
      <c r="E32" s="4">
        <v>1032</v>
      </c>
    </row>
    <row r="33" spans="1:5" ht="21.95" customHeight="1" x14ac:dyDescent="0.25">
      <c r="A33" s="4">
        <v>9</v>
      </c>
      <c r="B33" s="20" t="s">
        <v>26</v>
      </c>
      <c r="C33" s="4">
        <v>1550</v>
      </c>
      <c r="D33" s="4">
        <v>800</v>
      </c>
      <c r="E33" s="4">
        <v>750</v>
      </c>
    </row>
    <row r="34" spans="1:5" ht="21.95" customHeight="1" x14ac:dyDescent="0.25">
      <c r="A34" s="4">
        <v>10</v>
      </c>
      <c r="B34" s="20" t="s">
        <v>27</v>
      </c>
      <c r="C34" s="4">
        <v>1978</v>
      </c>
      <c r="D34" s="4">
        <v>1055</v>
      </c>
      <c r="E34" s="4">
        <v>923</v>
      </c>
    </row>
    <row r="35" spans="1:5" ht="21.95" customHeight="1" x14ac:dyDescent="0.25">
      <c r="A35" s="4">
        <v>11</v>
      </c>
      <c r="B35" s="20" t="s">
        <v>28</v>
      </c>
      <c r="C35" s="4">
        <v>7334</v>
      </c>
      <c r="D35" s="4">
        <v>3842</v>
      </c>
      <c r="E35" s="4">
        <v>3492</v>
      </c>
    </row>
    <row r="36" spans="1:5" ht="21.95" customHeight="1" x14ac:dyDescent="0.25">
      <c r="A36" s="4">
        <v>12</v>
      </c>
      <c r="B36" s="20" t="s">
        <v>29</v>
      </c>
      <c r="C36" s="4">
        <v>1547</v>
      </c>
      <c r="D36" s="4">
        <v>680</v>
      </c>
      <c r="E36" s="4">
        <v>867</v>
      </c>
    </row>
    <row r="37" spans="1:5" ht="21.95" customHeight="1" x14ac:dyDescent="0.25">
      <c r="A37" s="4">
        <v>13</v>
      </c>
      <c r="B37" s="20" t="s">
        <v>30</v>
      </c>
      <c r="C37" s="4">
        <v>1963</v>
      </c>
      <c r="D37" s="4">
        <v>866</v>
      </c>
      <c r="E37" s="4">
        <v>1097</v>
      </c>
    </row>
    <row r="38" spans="1:5" ht="21.95" customHeight="1" x14ac:dyDescent="0.25">
      <c r="A38" s="4">
        <v>14</v>
      </c>
      <c r="B38" s="20" t="s">
        <v>31</v>
      </c>
      <c r="C38" s="4">
        <v>1318</v>
      </c>
      <c r="D38" s="4">
        <v>602</v>
      </c>
      <c r="E38" s="4">
        <v>716</v>
      </c>
    </row>
    <row r="39" spans="1:5" ht="21.95" customHeight="1" x14ac:dyDescent="0.25">
      <c r="A39" s="4">
        <v>15</v>
      </c>
      <c r="B39" s="20" t="s">
        <v>32</v>
      </c>
      <c r="C39" s="4">
        <v>2462</v>
      </c>
      <c r="D39" s="4">
        <v>1086</v>
      </c>
      <c r="E39" s="4">
        <v>1376</v>
      </c>
    </row>
    <row r="40" spans="1:5" ht="21.95" customHeight="1" x14ac:dyDescent="0.25">
      <c r="A40" s="4">
        <v>16</v>
      </c>
      <c r="B40" s="20" t="s">
        <v>33</v>
      </c>
      <c r="C40" s="4">
        <v>2651</v>
      </c>
      <c r="D40" s="4">
        <v>1164</v>
      </c>
      <c r="E40" s="4">
        <v>1487</v>
      </c>
    </row>
    <row r="41" spans="1:5" ht="21.95" customHeight="1" x14ac:dyDescent="0.25">
      <c r="A41" s="5">
        <v>17</v>
      </c>
      <c r="B41" s="21" t="s">
        <v>34</v>
      </c>
      <c r="C41" s="5">
        <v>1698</v>
      </c>
      <c r="D41" s="5">
        <v>776</v>
      </c>
      <c r="E41" s="5">
        <v>922</v>
      </c>
    </row>
  </sheetData>
  <mergeCells count="4">
    <mergeCell ref="C4:E4"/>
    <mergeCell ref="B4:B5"/>
    <mergeCell ref="A4:A5"/>
    <mergeCell ref="A1:E1"/>
  </mergeCells>
  <hyperlinks>
    <hyperlink ref="A1:E1" location="'List of twonship'!A1" display="Tanintharyi Region, Dawei District, Dawei Township"/>
  </hyperlinks>
  <pageMargins left="0.75" right="0.5" top="0.5" bottom="0.2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"/>
  <sheetViews>
    <sheetView workbookViewId="0">
      <selection sqref="A1:E1"/>
    </sheetView>
  </sheetViews>
  <sheetFormatPr defaultRowHeight="15" x14ac:dyDescent="0.25"/>
  <cols>
    <col min="1" max="1" width="6.42578125" customWidth="1"/>
    <col min="2" max="2" width="38.28515625" customWidth="1"/>
    <col min="3" max="5" width="15.7109375" customWidth="1"/>
    <col min="6" max="6" width="9.85546875" customWidth="1"/>
    <col min="7" max="7" width="26.7109375" customWidth="1"/>
    <col min="9" max="9" width="14" customWidth="1"/>
    <col min="10" max="10" width="12.140625" customWidth="1"/>
  </cols>
  <sheetData>
    <row r="1" spans="1:5" ht="21" customHeight="1" x14ac:dyDescent="0.25">
      <c r="A1" s="32" t="s">
        <v>341</v>
      </c>
      <c r="B1" s="32"/>
      <c r="C1" s="32"/>
      <c r="D1" s="32"/>
      <c r="E1" s="32"/>
    </row>
    <row r="2" spans="1:5" ht="21" customHeight="1" x14ac:dyDescent="0.25">
      <c r="E2" s="23" t="s">
        <v>329</v>
      </c>
    </row>
    <row r="3" spans="1:5" ht="21" customHeight="1" x14ac:dyDescent="0.25"/>
    <row r="4" spans="1:5" ht="15.75" x14ac:dyDescent="0.25">
      <c r="A4" s="33" t="s">
        <v>328</v>
      </c>
      <c r="B4" s="33" t="s">
        <v>347</v>
      </c>
      <c r="C4" s="35" t="s">
        <v>327</v>
      </c>
      <c r="D4" s="35"/>
      <c r="E4" s="35"/>
    </row>
    <row r="5" spans="1:5" ht="15.75" x14ac:dyDescent="0.25">
      <c r="A5" s="34"/>
      <c r="B5" s="34"/>
      <c r="C5" s="7" t="s">
        <v>0</v>
      </c>
      <c r="D5" s="7" t="s">
        <v>1</v>
      </c>
      <c r="E5" s="7" t="s">
        <v>2</v>
      </c>
    </row>
    <row r="6" spans="1:5" ht="21.95" customHeight="1" x14ac:dyDescent="0.25">
      <c r="A6" s="6"/>
      <c r="B6" s="17" t="s">
        <v>0</v>
      </c>
      <c r="C6" s="8">
        <v>118317</v>
      </c>
      <c r="D6" s="8">
        <v>55558</v>
      </c>
      <c r="E6" s="8">
        <v>62759</v>
      </c>
    </row>
    <row r="7" spans="1:5" ht="21.95" customHeight="1" x14ac:dyDescent="0.25">
      <c r="A7" s="4"/>
      <c r="B7" s="4"/>
      <c r="C7" s="4"/>
      <c r="D7" s="4"/>
      <c r="E7" s="4"/>
    </row>
    <row r="8" spans="1:5" ht="21.95" customHeight="1" x14ac:dyDescent="0.25">
      <c r="A8" s="4"/>
      <c r="B8" s="9" t="s">
        <v>326</v>
      </c>
      <c r="C8" s="9">
        <f>SUM(C9:C12)</f>
        <v>5334</v>
      </c>
      <c r="D8" s="9">
        <f t="shared" ref="D8:E8" si="0">SUM(D9:D12)</f>
        <v>2457</v>
      </c>
      <c r="E8" s="9">
        <f t="shared" si="0"/>
        <v>2877</v>
      </c>
    </row>
    <row r="9" spans="1:5" ht="21.95" customHeight="1" x14ac:dyDescent="0.25">
      <c r="A9" s="4">
        <v>1</v>
      </c>
      <c r="B9" s="4" t="s">
        <v>35</v>
      </c>
      <c r="C9" s="4">
        <v>1616</v>
      </c>
      <c r="D9" s="4">
        <v>766</v>
      </c>
      <c r="E9" s="4">
        <v>850</v>
      </c>
    </row>
    <row r="10" spans="1:5" ht="21.95" customHeight="1" x14ac:dyDescent="0.25">
      <c r="A10" s="4">
        <v>2</v>
      </c>
      <c r="B10" s="4" t="s">
        <v>36</v>
      </c>
      <c r="C10" s="4">
        <v>1074</v>
      </c>
      <c r="D10" s="4">
        <v>499</v>
      </c>
      <c r="E10" s="4">
        <v>575</v>
      </c>
    </row>
    <row r="11" spans="1:5" ht="21.95" customHeight="1" x14ac:dyDescent="0.25">
      <c r="A11" s="4">
        <v>3</v>
      </c>
      <c r="B11" s="4" t="s">
        <v>37</v>
      </c>
      <c r="C11" s="4">
        <v>1161</v>
      </c>
      <c r="D11" s="4">
        <v>541</v>
      </c>
      <c r="E11" s="4">
        <v>620</v>
      </c>
    </row>
    <row r="12" spans="1:5" ht="21.95" customHeight="1" x14ac:dyDescent="0.25">
      <c r="A12" s="4">
        <v>4</v>
      </c>
      <c r="B12" s="4" t="s">
        <v>38</v>
      </c>
      <c r="C12" s="4">
        <v>1483</v>
      </c>
      <c r="D12" s="4">
        <v>651</v>
      </c>
      <c r="E12" s="4">
        <v>832</v>
      </c>
    </row>
    <row r="13" spans="1:5" ht="21.95" customHeight="1" x14ac:dyDescent="0.25">
      <c r="A13" s="4"/>
      <c r="B13" s="9" t="s">
        <v>346</v>
      </c>
      <c r="C13" s="9">
        <f>SUM(C14:C54)</f>
        <v>112983</v>
      </c>
      <c r="D13" s="9">
        <f t="shared" ref="D13:E13" si="1">SUM(D14:D54)</f>
        <v>53101</v>
      </c>
      <c r="E13" s="9">
        <f t="shared" si="1"/>
        <v>59882</v>
      </c>
    </row>
    <row r="14" spans="1:5" ht="21.95" customHeight="1" x14ac:dyDescent="0.25">
      <c r="A14" s="4">
        <v>1</v>
      </c>
      <c r="B14" s="4" t="s">
        <v>39</v>
      </c>
      <c r="C14" s="4">
        <v>902</v>
      </c>
      <c r="D14" s="4">
        <v>420</v>
      </c>
      <c r="E14" s="4">
        <v>482</v>
      </c>
    </row>
    <row r="15" spans="1:5" ht="21.95" customHeight="1" x14ac:dyDescent="0.25">
      <c r="A15" s="4">
        <v>2</v>
      </c>
      <c r="B15" s="4" t="s">
        <v>40</v>
      </c>
      <c r="C15" s="4">
        <v>3420</v>
      </c>
      <c r="D15" s="4">
        <v>1521</v>
      </c>
      <c r="E15" s="4">
        <v>1899</v>
      </c>
    </row>
    <row r="16" spans="1:5" ht="21.95" customHeight="1" x14ac:dyDescent="0.25">
      <c r="A16" s="4">
        <v>3</v>
      </c>
      <c r="B16" s="4" t="s">
        <v>41</v>
      </c>
      <c r="C16" s="4">
        <v>1787</v>
      </c>
      <c r="D16" s="4">
        <v>843</v>
      </c>
      <c r="E16" s="4">
        <v>944</v>
      </c>
    </row>
    <row r="17" spans="1:5" ht="21.95" customHeight="1" x14ac:dyDescent="0.25">
      <c r="A17" s="4">
        <v>4</v>
      </c>
      <c r="B17" s="4" t="s">
        <v>23</v>
      </c>
      <c r="C17" s="4">
        <v>3108</v>
      </c>
      <c r="D17" s="4">
        <v>1443</v>
      </c>
      <c r="E17" s="4">
        <v>1665</v>
      </c>
    </row>
    <row r="18" spans="1:5" ht="21.95" customHeight="1" x14ac:dyDescent="0.25">
      <c r="A18" s="4">
        <v>5</v>
      </c>
      <c r="B18" s="4" t="s">
        <v>42</v>
      </c>
      <c r="C18" s="4">
        <v>3767</v>
      </c>
      <c r="D18" s="4">
        <v>1672</v>
      </c>
      <c r="E18" s="4">
        <v>2095</v>
      </c>
    </row>
    <row r="19" spans="1:5" ht="21.95" customHeight="1" x14ac:dyDescent="0.25">
      <c r="A19" s="4">
        <v>6</v>
      </c>
      <c r="B19" s="4" t="s">
        <v>43</v>
      </c>
      <c r="C19" s="4">
        <v>1869</v>
      </c>
      <c r="D19" s="4">
        <v>814</v>
      </c>
      <c r="E19" s="4">
        <v>1055</v>
      </c>
    </row>
    <row r="20" spans="1:5" ht="21.95" customHeight="1" x14ac:dyDescent="0.25">
      <c r="A20" s="4">
        <v>7</v>
      </c>
      <c r="B20" s="4" t="s">
        <v>44</v>
      </c>
      <c r="C20" s="4">
        <v>793</v>
      </c>
      <c r="D20" s="4">
        <v>342</v>
      </c>
      <c r="E20" s="4">
        <v>451</v>
      </c>
    </row>
    <row r="21" spans="1:5" ht="21.95" customHeight="1" x14ac:dyDescent="0.25">
      <c r="A21" s="4">
        <v>8</v>
      </c>
      <c r="B21" s="4" t="s">
        <v>45</v>
      </c>
      <c r="C21" s="4">
        <v>3809</v>
      </c>
      <c r="D21" s="4">
        <v>1680</v>
      </c>
      <c r="E21" s="4">
        <v>2129</v>
      </c>
    </row>
    <row r="22" spans="1:5" ht="21.95" customHeight="1" x14ac:dyDescent="0.25">
      <c r="A22" s="4">
        <v>9</v>
      </c>
      <c r="B22" s="4" t="s">
        <v>46</v>
      </c>
      <c r="C22" s="4">
        <v>981</v>
      </c>
      <c r="D22" s="4">
        <v>451</v>
      </c>
      <c r="E22" s="4">
        <v>530</v>
      </c>
    </row>
    <row r="23" spans="1:5" ht="21.95" customHeight="1" x14ac:dyDescent="0.25">
      <c r="A23" s="4">
        <v>10</v>
      </c>
      <c r="B23" s="4" t="s">
        <v>47</v>
      </c>
      <c r="C23" s="4">
        <v>2926</v>
      </c>
      <c r="D23" s="4">
        <v>1329</v>
      </c>
      <c r="E23" s="4">
        <v>1597</v>
      </c>
    </row>
    <row r="24" spans="1:5" ht="21.95" customHeight="1" x14ac:dyDescent="0.25">
      <c r="A24" s="4">
        <v>11</v>
      </c>
      <c r="B24" s="4" t="s">
        <v>48</v>
      </c>
      <c r="C24" s="4">
        <v>2067</v>
      </c>
      <c r="D24" s="4">
        <v>949</v>
      </c>
      <c r="E24" s="4">
        <v>1118</v>
      </c>
    </row>
    <row r="25" spans="1:5" ht="21.95" customHeight="1" x14ac:dyDescent="0.25">
      <c r="A25" s="4">
        <v>12</v>
      </c>
      <c r="B25" s="4" t="s">
        <v>49</v>
      </c>
      <c r="C25" s="4">
        <v>2061</v>
      </c>
      <c r="D25" s="4">
        <v>1008</v>
      </c>
      <c r="E25" s="4">
        <v>1053</v>
      </c>
    </row>
    <row r="26" spans="1:5" ht="21.95" customHeight="1" x14ac:dyDescent="0.25">
      <c r="A26" s="4">
        <v>13</v>
      </c>
      <c r="B26" s="4" t="s">
        <v>50</v>
      </c>
      <c r="C26" s="4">
        <v>2414</v>
      </c>
      <c r="D26" s="4">
        <v>1190</v>
      </c>
      <c r="E26" s="4">
        <v>1224</v>
      </c>
    </row>
    <row r="27" spans="1:5" ht="21.95" customHeight="1" x14ac:dyDescent="0.25">
      <c r="A27" s="4">
        <v>14</v>
      </c>
      <c r="B27" s="4" t="s">
        <v>51</v>
      </c>
      <c r="C27" s="4">
        <v>840</v>
      </c>
      <c r="D27" s="4">
        <v>390</v>
      </c>
      <c r="E27" s="4">
        <v>450</v>
      </c>
    </row>
    <row r="28" spans="1:5" ht="21.95" customHeight="1" x14ac:dyDescent="0.25">
      <c r="A28" s="4">
        <v>15</v>
      </c>
      <c r="B28" s="4" t="s">
        <v>52</v>
      </c>
      <c r="C28" s="4">
        <v>7924</v>
      </c>
      <c r="D28" s="4">
        <v>3599</v>
      </c>
      <c r="E28" s="4">
        <v>4325</v>
      </c>
    </row>
    <row r="29" spans="1:5" ht="21.95" customHeight="1" x14ac:dyDescent="0.25">
      <c r="A29" s="4">
        <v>16</v>
      </c>
      <c r="B29" s="4" t="s">
        <v>53</v>
      </c>
      <c r="C29" s="4">
        <v>447</v>
      </c>
      <c r="D29" s="4">
        <v>204</v>
      </c>
      <c r="E29" s="4">
        <v>243</v>
      </c>
    </row>
    <row r="30" spans="1:5" ht="21.95" customHeight="1" x14ac:dyDescent="0.25">
      <c r="A30" s="4">
        <v>17</v>
      </c>
      <c r="B30" s="4" t="s">
        <v>54</v>
      </c>
      <c r="C30" s="4">
        <v>2369</v>
      </c>
      <c r="D30" s="4">
        <v>1037</v>
      </c>
      <c r="E30" s="4">
        <v>1332</v>
      </c>
    </row>
    <row r="31" spans="1:5" ht="21.95" customHeight="1" x14ac:dyDescent="0.25">
      <c r="A31" s="4">
        <v>18</v>
      </c>
      <c r="B31" s="4" t="s">
        <v>55</v>
      </c>
      <c r="C31" s="4">
        <v>1267</v>
      </c>
      <c r="D31" s="4">
        <v>557</v>
      </c>
      <c r="E31" s="4">
        <v>710</v>
      </c>
    </row>
    <row r="32" spans="1:5" ht="21.95" customHeight="1" x14ac:dyDescent="0.25">
      <c r="A32" s="4">
        <v>19</v>
      </c>
      <c r="B32" s="4" t="s">
        <v>56</v>
      </c>
      <c r="C32" s="4">
        <v>2490</v>
      </c>
      <c r="D32" s="4">
        <v>1093</v>
      </c>
      <c r="E32" s="4">
        <v>1397</v>
      </c>
    </row>
    <row r="33" spans="1:5" ht="21.95" customHeight="1" x14ac:dyDescent="0.25">
      <c r="A33" s="4">
        <v>20</v>
      </c>
      <c r="B33" s="4" t="s">
        <v>57</v>
      </c>
      <c r="C33" s="4">
        <v>8184</v>
      </c>
      <c r="D33" s="4">
        <v>3986</v>
      </c>
      <c r="E33" s="4">
        <v>4198</v>
      </c>
    </row>
    <row r="34" spans="1:5" ht="21.95" customHeight="1" x14ac:dyDescent="0.25">
      <c r="A34" s="4">
        <v>21</v>
      </c>
      <c r="B34" s="4" t="s">
        <v>58</v>
      </c>
      <c r="C34" s="4">
        <v>457</v>
      </c>
      <c r="D34" s="4">
        <v>206</v>
      </c>
      <c r="E34" s="4">
        <v>251</v>
      </c>
    </row>
    <row r="35" spans="1:5" ht="21.95" customHeight="1" x14ac:dyDescent="0.25">
      <c r="A35" s="4">
        <v>22</v>
      </c>
      <c r="B35" s="4" t="s">
        <v>59</v>
      </c>
      <c r="C35" s="4">
        <v>10250</v>
      </c>
      <c r="D35" s="4">
        <v>5128</v>
      </c>
      <c r="E35" s="4">
        <v>5122</v>
      </c>
    </row>
    <row r="36" spans="1:5" ht="21.95" customHeight="1" x14ac:dyDescent="0.25">
      <c r="A36" s="4">
        <v>23</v>
      </c>
      <c r="B36" s="4" t="s">
        <v>60</v>
      </c>
      <c r="C36" s="4">
        <v>7344</v>
      </c>
      <c r="D36" s="4">
        <v>3724</v>
      </c>
      <c r="E36" s="4">
        <v>3620</v>
      </c>
    </row>
    <row r="37" spans="1:5" ht="21.95" customHeight="1" x14ac:dyDescent="0.25">
      <c r="A37" s="4">
        <v>24</v>
      </c>
      <c r="B37" s="4" t="s">
        <v>61</v>
      </c>
      <c r="C37" s="4">
        <v>2217</v>
      </c>
      <c r="D37" s="4">
        <v>1067</v>
      </c>
      <c r="E37" s="4">
        <v>1150</v>
      </c>
    </row>
    <row r="38" spans="1:5" ht="21.95" customHeight="1" x14ac:dyDescent="0.25">
      <c r="A38" s="4">
        <v>25</v>
      </c>
      <c r="B38" s="4" t="s">
        <v>62</v>
      </c>
      <c r="C38" s="4">
        <v>3812</v>
      </c>
      <c r="D38" s="4">
        <v>1749</v>
      </c>
      <c r="E38" s="4">
        <v>2063</v>
      </c>
    </row>
    <row r="39" spans="1:5" ht="21.95" customHeight="1" x14ac:dyDescent="0.25">
      <c r="A39" s="4">
        <v>26</v>
      </c>
      <c r="B39" s="4" t="s">
        <v>63</v>
      </c>
      <c r="C39" s="4">
        <v>3634</v>
      </c>
      <c r="D39" s="4">
        <v>1633</v>
      </c>
      <c r="E39" s="4">
        <v>2001</v>
      </c>
    </row>
    <row r="40" spans="1:5" ht="21.95" customHeight="1" x14ac:dyDescent="0.25">
      <c r="A40" s="4">
        <v>27</v>
      </c>
      <c r="B40" s="4" t="s">
        <v>64</v>
      </c>
      <c r="C40" s="4">
        <v>1483</v>
      </c>
      <c r="D40" s="4">
        <v>675</v>
      </c>
      <c r="E40" s="4">
        <v>808</v>
      </c>
    </row>
    <row r="41" spans="1:5" ht="21.95" customHeight="1" x14ac:dyDescent="0.25">
      <c r="A41" s="4">
        <v>28</v>
      </c>
      <c r="B41" s="4" t="s">
        <v>65</v>
      </c>
      <c r="C41" s="4">
        <v>2027</v>
      </c>
      <c r="D41" s="4">
        <v>941</v>
      </c>
      <c r="E41" s="4">
        <v>1086</v>
      </c>
    </row>
    <row r="42" spans="1:5" ht="21.95" customHeight="1" x14ac:dyDescent="0.25">
      <c r="A42" s="4">
        <v>29</v>
      </c>
      <c r="B42" s="4" t="s">
        <v>66</v>
      </c>
      <c r="C42" s="4">
        <v>4481</v>
      </c>
      <c r="D42" s="4">
        <v>2168</v>
      </c>
      <c r="E42" s="4">
        <v>2313</v>
      </c>
    </row>
    <row r="43" spans="1:5" ht="21.95" customHeight="1" x14ac:dyDescent="0.25">
      <c r="A43" s="4">
        <v>30</v>
      </c>
      <c r="B43" s="4" t="s">
        <v>67</v>
      </c>
      <c r="C43" s="4">
        <v>1187</v>
      </c>
      <c r="D43" s="4">
        <v>578</v>
      </c>
      <c r="E43" s="4">
        <v>609</v>
      </c>
    </row>
    <row r="44" spans="1:5" ht="21.95" customHeight="1" x14ac:dyDescent="0.25">
      <c r="A44" s="4">
        <v>31</v>
      </c>
      <c r="B44" s="4" t="s">
        <v>68</v>
      </c>
      <c r="C44" s="4">
        <v>3718</v>
      </c>
      <c r="D44" s="4">
        <v>1661</v>
      </c>
      <c r="E44" s="4">
        <v>2057</v>
      </c>
    </row>
    <row r="45" spans="1:5" ht="21.95" customHeight="1" x14ac:dyDescent="0.25">
      <c r="A45" s="4">
        <v>32</v>
      </c>
      <c r="B45" s="4" t="s">
        <v>69</v>
      </c>
      <c r="C45" s="4">
        <v>3573</v>
      </c>
      <c r="D45" s="4">
        <v>1586</v>
      </c>
      <c r="E45" s="4">
        <v>1987</v>
      </c>
    </row>
    <row r="46" spans="1:5" ht="21.95" customHeight="1" x14ac:dyDescent="0.25">
      <c r="A46" s="4">
        <v>33</v>
      </c>
      <c r="B46" s="4" t="s">
        <v>70</v>
      </c>
      <c r="C46" s="4">
        <v>1314</v>
      </c>
      <c r="D46" s="4">
        <v>594</v>
      </c>
      <c r="E46" s="4">
        <v>720</v>
      </c>
    </row>
    <row r="47" spans="1:5" ht="21.95" customHeight="1" x14ac:dyDescent="0.25">
      <c r="A47" s="4">
        <v>34</v>
      </c>
      <c r="B47" s="4" t="s">
        <v>71</v>
      </c>
      <c r="C47" s="4">
        <v>2820</v>
      </c>
      <c r="D47" s="4">
        <v>1345</v>
      </c>
      <c r="E47" s="4">
        <v>1475</v>
      </c>
    </row>
    <row r="48" spans="1:5" ht="21.95" customHeight="1" x14ac:dyDescent="0.25">
      <c r="A48" s="4">
        <v>35</v>
      </c>
      <c r="B48" s="4" t="s">
        <v>72</v>
      </c>
      <c r="C48" s="4">
        <v>133</v>
      </c>
      <c r="D48" s="4">
        <v>74</v>
      </c>
      <c r="E48" s="4">
        <v>59</v>
      </c>
    </row>
    <row r="49" spans="1:5" ht="21.95" customHeight="1" x14ac:dyDescent="0.25">
      <c r="A49" s="4">
        <v>36</v>
      </c>
      <c r="B49" s="4" t="s">
        <v>73</v>
      </c>
      <c r="C49" s="4">
        <v>1251</v>
      </c>
      <c r="D49" s="4">
        <v>571</v>
      </c>
      <c r="E49" s="4">
        <v>680</v>
      </c>
    </row>
    <row r="50" spans="1:5" ht="21.95" customHeight="1" x14ac:dyDescent="0.25">
      <c r="A50" s="4">
        <v>37</v>
      </c>
      <c r="B50" s="4" t="s">
        <v>74</v>
      </c>
      <c r="C50" s="4">
        <v>836</v>
      </c>
      <c r="D50" s="4">
        <v>367</v>
      </c>
      <c r="E50" s="4">
        <v>469</v>
      </c>
    </row>
    <row r="51" spans="1:5" ht="21.95" customHeight="1" x14ac:dyDescent="0.25">
      <c r="A51" s="4">
        <v>38</v>
      </c>
      <c r="B51" s="4" t="s">
        <v>75</v>
      </c>
      <c r="C51" s="4">
        <v>1327</v>
      </c>
      <c r="D51" s="4">
        <v>657</v>
      </c>
      <c r="E51" s="4">
        <v>670</v>
      </c>
    </row>
    <row r="52" spans="1:5" ht="21.95" customHeight="1" x14ac:dyDescent="0.25">
      <c r="A52" s="4">
        <v>39</v>
      </c>
      <c r="B52" s="4" t="s">
        <v>76</v>
      </c>
      <c r="C52" s="4">
        <v>1176</v>
      </c>
      <c r="D52" s="4">
        <v>568</v>
      </c>
      <c r="E52" s="4">
        <v>608</v>
      </c>
    </row>
    <row r="53" spans="1:5" ht="21.95" customHeight="1" x14ac:dyDescent="0.25">
      <c r="A53" s="4">
        <v>40</v>
      </c>
      <c r="B53" s="4" t="s">
        <v>77</v>
      </c>
      <c r="C53" s="4">
        <v>2479</v>
      </c>
      <c r="D53" s="4">
        <v>1239</v>
      </c>
      <c r="E53" s="4">
        <v>1240</v>
      </c>
    </row>
    <row r="54" spans="1:5" ht="21.95" customHeight="1" x14ac:dyDescent="0.25">
      <c r="A54" s="5">
        <v>41</v>
      </c>
      <c r="B54" s="5" t="s">
        <v>78</v>
      </c>
      <c r="C54" s="5">
        <v>4039</v>
      </c>
      <c r="D54" s="5">
        <v>2042</v>
      </c>
      <c r="E54" s="5">
        <v>1997</v>
      </c>
    </row>
  </sheetData>
  <mergeCells count="4">
    <mergeCell ref="A4:A5"/>
    <mergeCell ref="B4:B5"/>
    <mergeCell ref="C4:E4"/>
    <mergeCell ref="A1:E1"/>
  </mergeCells>
  <hyperlinks>
    <hyperlink ref="A1:E1" location="'List of twonship'!A1" display="Tanintharyi Region,  Dawei District,Lounglon Township"/>
  </hyperlinks>
  <pageMargins left="0.75" right="0.5" top="0.5" bottom="0.2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"/>
  <sheetViews>
    <sheetView workbookViewId="0">
      <selection sqref="A1:E1"/>
    </sheetView>
  </sheetViews>
  <sheetFormatPr defaultRowHeight="15" x14ac:dyDescent="0.25"/>
  <cols>
    <col min="1" max="1" width="6" customWidth="1"/>
    <col min="2" max="2" width="35.42578125" customWidth="1"/>
    <col min="3" max="5" width="15.7109375" customWidth="1"/>
    <col min="6" max="6" width="9.5703125" customWidth="1"/>
    <col min="7" max="7" width="24.28515625" customWidth="1"/>
    <col min="8" max="10" width="15.7109375" customWidth="1"/>
  </cols>
  <sheetData>
    <row r="1" spans="1:5" ht="21" customHeight="1" x14ac:dyDescent="0.25">
      <c r="A1" s="32" t="s">
        <v>342</v>
      </c>
      <c r="B1" s="32"/>
      <c r="C1" s="32"/>
      <c r="D1" s="32"/>
      <c r="E1" s="32"/>
    </row>
    <row r="2" spans="1:5" ht="21" customHeight="1" x14ac:dyDescent="0.25">
      <c r="E2" s="23" t="s">
        <v>329</v>
      </c>
    </row>
    <row r="3" spans="1:5" ht="21" customHeight="1" x14ac:dyDescent="0.25"/>
    <row r="4" spans="1:5" ht="15.75" x14ac:dyDescent="0.25">
      <c r="A4" s="30" t="s">
        <v>328</v>
      </c>
      <c r="B4" s="30" t="s">
        <v>347</v>
      </c>
      <c r="C4" s="36" t="s">
        <v>327</v>
      </c>
      <c r="D4" s="37"/>
      <c r="E4" s="38"/>
    </row>
    <row r="5" spans="1:5" ht="15.75" x14ac:dyDescent="0.25">
      <c r="A5" s="31"/>
      <c r="B5" s="31"/>
      <c r="C5" s="7" t="s">
        <v>0</v>
      </c>
      <c r="D5" s="7" t="s">
        <v>1</v>
      </c>
      <c r="E5" s="7" t="s">
        <v>2</v>
      </c>
    </row>
    <row r="6" spans="1:5" ht="21.95" customHeight="1" x14ac:dyDescent="0.25">
      <c r="A6" s="12"/>
      <c r="B6" s="17" t="s">
        <v>0</v>
      </c>
      <c r="C6" s="13">
        <v>105662</v>
      </c>
      <c r="D6" s="13">
        <v>50421</v>
      </c>
      <c r="E6" s="13">
        <v>55241</v>
      </c>
    </row>
    <row r="7" spans="1:5" ht="21.95" customHeight="1" x14ac:dyDescent="0.25">
      <c r="A7" s="4"/>
      <c r="B7" s="9"/>
      <c r="C7" s="9"/>
      <c r="D7" s="9"/>
      <c r="E7" s="9"/>
    </row>
    <row r="8" spans="1:5" ht="21.95" customHeight="1" x14ac:dyDescent="0.25">
      <c r="A8" s="4"/>
      <c r="B8" s="9" t="s">
        <v>326</v>
      </c>
      <c r="C8" s="9">
        <f>SUM(C9:C13)</f>
        <v>11305</v>
      </c>
      <c r="D8" s="9">
        <f t="shared" ref="D8:E8" si="0">SUM(D9:D13)</f>
        <v>5642</v>
      </c>
      <c r="E8" s="9">
        <f t="shared" si="0"/>
        <v>5663</v>
      </c>
    </row>
    <row r="9" spans="1:5" ht="21.95" customHeight="1" x14ac:dyDescent="0.25">
      <c r="A9" s="4">
        <v>1</v>
      </c>
      <c r="B9" s="4" t="s">
        <v>79</v>
      </c>
      <c r="C9" s="4">
        <v>1123</v>
      </c>
      <c r="D9" s="4">
        <v>539</v>
      </c>
      <c r="E9" s="4">
        <v>584</v>
      </c>
    </row>
    <row r="10" spans="1:5" ht="21.95" customHeight="1" x14ac:dyDescent="0.25">
      <c r="A10" s="4">
        <v>2</v>
      </c>
      <c r="B10" s="4" t="s">
        <v>80</v>
      </c>
      <c r="C10" s="4">
        <v>3191</v>
      </c>
      <c r="D10" s="4">
        <v>1585</v>
      </c>
      <c r="E10" s="4">
        <v>1606</v>
      </c>
    </row>
    <row r="11" spans="1:5" ht="21.95" customHeight="1" x14ac:dyDescent="0.25">
      <c r="A11" s="4">
        <v>3</v>
      </c>
      <c r="B11" s="4" t="s">
        <v>81</v>
      </c>
      <c r="C11" s="4">
        <v>3511</v>
      </c>
      <c r="D11" s="4">
        <v>1767</v>
      </c>
      <c r="E11" s="4">
        <v>1744</v>
      </c>
    </row>
    <row r="12" spans="1:5" ht="21.95" customHeight="1" x14ac:dyDescent="0.25">
      <c r="A12" s="4">
        <v>4</v>
      </c>
      <c r="B12" s="4" t="s">
        <v>82</v>
      </c>
      <c r="C12" s="4">
        <v>2083</v>
      </c>
      <c r="D12" s="4">
        <v>1010</v>
      </c>
      <c r="E12" s="4">
        <v>1073</v>
      </c>
    </row>
    <row r="13" spans="1:5" ht="21.95" customHeight="1" x14ac:dyDescent="0.25">
      <c r="A13" s="4">
        <v>5</v>
      </c>
      <c r="B13" s="4" t="s">
        <v>83</v>
      </c>
      <c r="C13" s="4">
        <v>1397</v>
      </c>
      <c r="D13" s="4">
        <v>741</v>
      </c>
      <c r="E13" s="4">
        <v>656</v>
      </c>
    </row>
    <row r="14" spans="1:5" ht="21.95" customHeight="1" x14ac:dyDescent="0.25">
      <c r="A14" s="4"/>
      <c r="B14" s="9" t="s">
        <v>346</v>
      </c>
      <c r="C14" s="9">
        <f>SUM(C15:C53)</f>
        <v>94357</v>
      </c>
      <c r="D14" s="9">
        <f t="shared" ref="D14:E14" si="1">SUM(D15:D53)</f>
        <v>44779</v>
      </c>
      <c r="E14" s="9">
        <f t="shared" si="1"/>
        <v>49578</v>
      </c>
    </row>
    <row r="15" spans="1:5" ht="21.95" customHeight="1" x14ac:dyDescent="0.25">
      <c r="A15" s="4">
        <v>1</v>
      </c>
      <c r="B15" s="4" t="s">
        <v>84</v>
      </c>
      <c r="C15" s="4">
        <v>981</v>
      </c>
      <c r="D15" s="4">
        <v>455</v>
      </c>
      <c r="E15" s="4">
        <v>526</v>
      </c>
    </row>
    <row r="16" spans="1:5" ht="21.95" customHeight="1" x14ac:dyDescent="0.25">
      <c r="A16" s="4">
        <v>2</v>
      </c>
      <c r="B16" s="4" t="s">
        <v>85</v>
      </c>
      <c r="C16" s="4">
        <v>3359</v>
      </c>
      <c r="D16" s="4">
        <v>1535</v>
      </c>
      <c r="E16" s="4">
        <v>1824</v>
      </c>
    </row>
    <row r="17" spans="1:5" ht="21.95" customHeight="1" x14ac:dyDescent="0.25">
      <c r="A17" s="4">
        <v>3</v>
      </c>
      <c r="B17" s="4" t="s">
        <v>86</v>
      </c>
      <c r="C17" s="4">
        <v>1186</v>
      </c>
      <c r="D17" s="4">
        <v>568</v>
      </c>
      <c r="E17" s="4">
        <v>618</v>
      </c>
    </row>
    <row r="18" spans="1:5" ht="21.95" customHeight="1" x14ac:dyDescent="0.25">
      <c r="A18" s="4">
        <v>4</v>
      </c>
      <c r="B18" s="4" t="s">
        <v>87</v>
      </c>
      <c r="C18" s="4">
        <v>2487</v>
      </c>
      <c r="D18" s="4">
        <v>1163</v>
      </c>
      <c r="E18" s="4">
        <v>1324</v>
      </c>
    </row>
    <row r="19" spans="1:5" ht="21.95" customHeight="1" x14ac:dyDescent="0.25">
      <c r="A19" s="4">
        <v>5</v>
      </c>
      <c r="B19" s="4" t="s">
        <v>88</v>
      </c>
      <c r="C19" s="4">
        <v>2364</v>
      </c>
      <c r="D19" s="4">
        <v>1077</v>
      </c>
      <c r="E19" s="4">
        <v>1287</v>
      </c>
    </row>
    <row r="20" spans="1:5" ht="21.95" customHeight="1" x14ac:dyDescent="0.25">
      <c r="A20" s="4">
        <v>6</v>
      </c>
      <c r="B20" s="4" t="s">
        <v>89</v>
      </c>
      <c r="C20" s="4">
        <v>2624</v>
      </c>
      <c r="D20" s="4">
        <v>1235</v>
      </c>
      <c r="E20" s="4">
        <v>1389</v>
      </c>
    </row>
    <row r="21" spans="1:5" ht="21.95" customHeight="1" x14ac:dyDescent="0.25">
      <c r="A21" s="4">
        <v>7</v>
      </c>
      <c r="B21" s="4" t="s">
        <v>90</v>
      </c>
      <c r="C21" s="4">
        <v>2567</v>
      </c>
      <c r="D21" s="4">
        <v>1152</v>
      </c>
      <c r="E21" s="4">
        <v>1415</v>
      </c>
    </row>
    <row r="22" spans="1:5" ht="21.95" customHeight="1" x14ac:dyDescent="0.25">
      <c r="A22" s="4">
        <v>8</v>
      </c>
      <c r="B22" s="4" t="s">
        <v>91</v>
      </c>
      <c r="C22" s="4">
        <v>4343</v>
      </c>
      <c r="D22" s="4">
        <v>1975</v>
      </c>
      <c r="E22" s="4">
        <v>2368</v>
      </c>
    </row>
    <row r="23" spans="1:5" ht="21.95" customHeight="1" x14ac:dyDescent="0.25">
      <c r="A23" s="4">
        <v>9</v>
      </c>
      <c r="B23" s="4" t="s">
        <v>92</v>
      </c>
      <c r="C23" s="4">
        <v>2647</v>
      </c>
      <c r="D23" s="4">
        <v>1152</v>
      </c>
      <c r="E23" s="4">
        <v>1495</v>
      </c>
    </row>
    <row r="24" spans="1:5" ht="21.95" customHeight="1" x14ac:dyDescent="0.25">
      <c r="A24" s="4">
        <v>10</v>
      </c>
      <c r="B24" s="4" t="s">
        <v>93</v>
      </c>
      <c r="C24" s="4">
        <v>1738</v>
      </c>
      <c r="D24" s="4">
        <v>814</v>
      </c>
      <c r="E24" s="4">
        <v>924</v>
      </c>
    </row>
    <row r="25" spans="1:5" ht="21.95" customHeight="1" x14ac:dyDescent="0.25">
      <c r="A25" s="4">
        <v>11</v>
      </c>
      <c r="B25" s="4" t="s">
        <v>94</v>
      </c>
      <c r="C25" s="4">
        <v>2265</v>
      </c>
      <c r="D25" s="4">
        <v>1004</v>
      </c>
      <c r="E25" s="4">
        <v>1261</v>
      </c>
    </row>
    <row r="26" spans="1:5" ht="21.95" customHeight="1" x14ac:dyDescent="0.25">
      <c r="A26" s="4">
        <v>12</v>
      </c>
      <c r="B26" s="4" t="s">
        <v>95</v>
      </c>
      <c r="C26" s="4">
        <v>1514</v>
      </c>
      <c r="D26" s="4">
        <v>755</v>
      </c>
      <c r="E26" s="4">
        <v>759</v>
      </c>
    </row>
    <row r="27" spans="1:5" ht="21.95" customHeight="1" x14ac:dyDescent="0.25">
      <c r="A27" s="4">
        <v>13</v>
      </c>
      <c r="B27" s="4" t="s">
        <v>96</v>
      </c>
      <c r="C27" s="4">
        <v>2115</v>
      </c>
      <c r="D27" s="4">
        <v>996</v>
      </c>
      <c r="E27" s="4">
        <v>1119</v>
      </c>
    </row>
    <row r="28" spans="1:5" ht="21.95" customHeight="1" x14ac:dyDescent="0.25">
      <c r="A28" s="4">
        <v>14</v>
      </c>
      <c r="B28" s="4" t="s">
        <v>97</v>
      </c>
      <c r="C28" s="4">
        <v>924</v>
      </c>
      <c r="D28" s="4">
        <v>494</v>
      </c>
      <c r="E28" s="4">
        <v>430</v>
      </c>
    </row>
    <row r="29" spans="1:5" ht="21.95" customHeight="1" x14ac:dyDescent="0.25">
      <c r="A29" s="4">
        <v>15</v>
      </c>
      <c r="B29" s="4" t="s">
        <v>98</v>
      </c>
      <c r="C29" s="4">
        <v>1244</v>
      </c>
      <c r="D29" s="4">
        <v>605</v>
      </c>
      <c r="E29" s="4">
        <v>639</v>
      </c>
    </row>
    <row r="30" spans="1:5" ht="21.95" customHeight="1" x14ac:dyDescent="0.25">
      <c r="A30" s="4">
        <v>16</v>
      </c>
      <c r="B30" s="4" t="s">
        <v>99</v>
      </c>
      <c r="C30" s="4">
        <v>3675</v>
      </c>
      <c r="D30" s="4">
        <v>1830</v>
      </c>
      <c r="E30" s="4">
        <v>1845</v>
      </c>
    </row>
    <row r="31" spans="1:5" ht="21.95" customHeight="1" x14ac:dyDescent="0.25">
      <c r="A31" s="4">
        <v>17</v>
      </c>
      <c r="B31" s="4" t="s">
        <v>100</v>
      </c>
      <c r="C31" s="4">
        <v>3191</v>
      </c>
      <c r="D31" s="4">
        <v>1557</v>
      </c>
      <c r="E31" s="4">
        <v>1634</v>
      </c>
    </row>
    <row r="32" spans="1:5" ht="21.95" customHeight="1" x14ac:dyDescent="0.25">
      <c r="A32" s="4">
        <v>18</v>
      </c>
      <c r="B32" s="4" t="s">
        <v>101</v>
      </c>
      <c r="C32" s="4">
        <v>3043</v>
      </c>
      <c r="D32" s="4">
        <v>1427</v>
      </c>
      <c r="E32" s="4">
        <v>1616</v>
      </c>
    </row>
    <row r="33" spans="1:5" ht="21.95" customHeight="1" x14ac:dyDescent="0.25">
      <c r="A33" s="4">
        <v>19</v>
      </c>
      <c r="B33" s="4" t="s">
        <v>102</v>
      </c>
      <c r="C33" s="4">
        <v>1114</v>
      </c>
      <c r="D33" s="4">
        <v>561</v>
      </c>
      <c r="E33" s="4">
        <v>553</v>
      </c>
    </row>
    <row r="34" spans="1:5" ht="21.95" customHeight="1" x14ac:dyDescent="0.25">
      <c r="A34" s="4">
        <v>20</v>
      </c>
      <c r="B34" s="4" t="s">
        <v>103</v>
      </c>
      <c r="C34" s="4">
        <v>1370</v>
      </c>
      <c r="D34" s="4">
        <v>607</v>
      </c>
      <c r="E34" s="4">
        <v>763</v>
      </c>
    </row>
    <row r="35" spans="1:5" ht="21.95" customHeight="1" x14ac:dyDescent="0.25">
      <c r="A35" s="4">
        <v>21</v>
      </c>
      <c r="B35" s="4" t="s">
        <v>104</v>
      </c>
      <c r="C35" s="4">
        <v>501</v>
      </c>
      <c r="D35" s="4">
        <v>226</v>
      </c>
      <c r="E35" s="4">
        <v>275</v>
      </c>
    </row>
    <row r="36" spans="1:5" ht="21.95" customHeight="1" x14ac:dyDescent="0.25">
      <c r="A36" s="4">
        <v>22</v>
      </c>
      <c r="B36" s="4" t="s">
        <v>105</v>
      </c>
      <c r="C36" s="4">
        <v>3131</v>
      </c>
      <c r="D36" s="4">
        <v>1322</v>
      </c>
      <c r="E36" s="4">
        <v>1809</v>
      </c>
    </row>
    <row r="37" spans="1:5" ht="21.95" customHeight="1" x14ac:dyDescent="0.25">
      <c r="A37" s="4">
        <v>23</v>
      </c>
      <c r="B37" s="4" t="s">
        <v>106</v>
      </c>
      <c r="C37" s="4">
        <v>3655</v>
      </c>
      <c r="D37" s="4">
        <v>1768</v>
      </c>
      <c r="E37" s="4">
        <v>1887</v>
      </c>
    </row>
    <row r="38" spans="1:5" ht="21.95" customHeight="1" x14ac:dyDescent="0.25">
      <c r="A38" s="4">
        <v>24</v>
      </c>
      <c r="B38" s="4" t="s">
        <v>107</v>
      </c>
      <c r="C38" s="4">
        <v>777</v>
      </c>
      <c r="D38" s="4">
        <v>407</v>
      </c>
      <c r="E38" s="4">
        <v>370</v>
      </c>
    </row>
    <row r="39" spans="1:5" ht="21.95" customHeight="1" x14ac:dyDescent="0.25">
      <c r="A39" s="4">
        <v>25</v>
      </c>
      <c r="B39" s="4" t="s">
        <v>108</v>
      </c>
      <c r="C39" s="4">
        <v>3110</v>
      </c>
      <c r="D39" s="4">
        <v>1503</v>
      </c>
      <c r="E39" s="4">
        <v>1607</v>
      </c>
    </row>
    <row r="40" spans="1:5" ht="21.95" customHeight="1" x14ac:dyDescent="0.25">
      <c r="A40" s="4">
        <v>26</v>
      </c>
      <c r="B40" s="4" t="s">
        <v>109</v>
      </c>
      <c r="C40" s="4">
        <v>2127</v>
      </c>
      <c r="D40" s="4">
        <v>1009</v>
      </c>
      <c r="E40" s="4">
        <v>1118</v>
      </c>
    </row>
    <row r="41" spans="1:5" ht="21.95" customHeight="1" x14ac:dyDescent="0.25">
      <c r="A41" s="4">
        <v>27</v>
      </c>
      <c r="B41" s="4" t="s">
        <v>110</v>
      </c>
      <c r="C41" s="4">
        <v>6673</v>
      </c>
      <c r="D41" s="4">
        <v>3199</v>
      </c>
      <c r="E41" s="4">
        <v>3474</v>
      </c>
    </row>
    <row r="42" spans="1:5" ht="21.95" customHeight="1" x14ac:dyDescent="0.25">
      <c r="A42" s="4">
        <v>28</v>
      </c>
      <c r="B42" s="4" t="s">
        <v>111</v>
      </c>
      <c r="C42" s="4">
        <v>1546</v>
      </c>
      <c r="D42" s="4">
        <v>825</v>
      </c>
      <c r="E42" s="4">
        <v>721</v>
      </c>
    </row>
    <row r="43" spans="1:5" ht="21.95" customHeight="1" x14ac:dyDescent="0.25">
      <c r="A43" s="4">
        <v>29</v>
      </c>
      <c r="B43" s="4" t="s">
        <v>112</v>
      </c>
      <c r="C43" s="4">
        <v>4407</v>
      </c>
      <c r="D43" s="4">
        <v>2156</v>
      </c>
      <c r="E43" s="4">
        <v>2251</v>
      </c>
    </row>
    <row r="44" spans="1:5" ht="21.95" customHeight="1" x14ac:dyDescent="0.25">
      <c r="A44" s="4">
        <v>30</v>
      </c>
      <c r="B44" s="4" t="s">
        <v>113</v>
      </c>
      <c r="C44" s="4">
        <v>419</v>
      </c>
      <c r="D44" s="4">
        <v>191</v>
      </c>
      <c r="E44" s="4">
        <v>228</v>
      </c>
    </row>
    <row r="45" spans="1:5" ht="21.95" customHeight="1" x14ac:dyDescent="0.25">
      <c r="A45" s="4">
        <v>31</v>
      </c>
      <c r="B45" s="4" t="s">
        <v>114</v>
      </c>
      <c r="C45" s="4">
        <v>552</v>
      </c>
      <c r="D45" s="4">
        <v>283</v>
      </c>
      <c r="E45" s="4">
        <v>269</v>
      </c>
    </row>
    <row r="46" spans="1:5" ht="21.95" customHeight="1" x14ac:dyDescent="0.25">
      <c r="A46" s="4">
        <v>32</v>
      </c>
      <c r="B46" s="4" t="s">
        <v>115</v>
      </c>
      <c r="C46" s="4">
        <v>1237</v>
      </c>
      <c r="D46" s="4">
        <v>615</v>
      </c>
      <c r="E46" s="4">
        <v>622</v>
      </c>
    </row>
    <row r="47" spans="1:5" ht="21.95" customHeight="1" x14ac:dyDescent="0.25">
      <c r="A47" s="4">
        <v>33</v>
      </c>
      <c r="B47" s="4" t="s">
        <v>116</v>
      </c>
      <c r="C47" s="4">
        <v>2826</v>
      </c>
      <c r="D47" s="4">
        <v>1353</v>
      </c>
      <c r="E47" s="4">
        <v>1473</v>
      </c>
    </row>
    <row r="48" spans="1:5" ht="21.95" customHeight="1" x14ac:dyDescent="0.25">
      <c r="A48" s="4">
        <v>34</v>
      </c>
      <c r="B48" s="4" t="s">
        <v>117</v>
      </c>
      <c r="C48" s="4">
        <v>2117</v>
      </c>
      <c r="D48" s="4">
        <v>990</v>
      </c>
      <c r="E48" s="4">
        <v>1127</v>
      </c>
    </row>
    <row r="49" spans="1:5" ht="21.95" customHeight="1" x14ac:dyDescent="0.25">
      <c r="A49" s="4">
        <v>35</v>
      </c>
      <c r="B49" s="4" t="s">
        <v>118</v>
      </c>
      <c r="C49" s="4">
        <v>947</v>
      </c>
      <c r="D49" s="4">
        <v>476</v>
      </c>
      <c r="E49" s="4">
        <v>471</v>
      </c>
    </row>
    <row r="50" spans="1:5" ht="21.95" customHeight="1" x14ac:dyDescent="0.25">
      <c r="A50" s="4">
        <v>36</v>
      </c>
      <c r="B50" s="4" t="s">
        <v>119</v>
      </c>
      <c r="C50" s="4">
        <v>2019</v>
      </c>
      <c r="D50" s="4">
        <v>969</v>
      </c>
      <c r="E50" s="4">
        <v>1050</v>
      </c>
    </row>
    <row r="51" spans="1:5" ht="21.95" customHeight="1" x14ac:dyDescent="0.25">
      <c r="A51" s="4">
        <v>37</v>
      </c>
      <c r="B51" s="4" t="s">
        <v>120</v>
      </c>
      <c r="C51" s="4">
        <v>2886</v>
      </c>
      <c r="D51" s="4">
        <v>1396</v>
      </c>
      <c r="E51" s="4">
        <v>1490</v>
      </c>
    </row>
    <row r="52" spans="1:5" ht="21.95" customHeight="1" x14ac:dyDescent="0.25">
      <c r="A52" s="4">
        <v>38</v>
      </c>
      <c r="B52" s="4" t="s">
        <v>121</v>
      </c>
      <c r="C52" s="4">
        <v>4807</v>
      </c>
      <c r="D52" s="4">
        <v>2257</v>
      </c>
      <c r="E52" s="4">
        <v>2550</v>
      </c>
    </row>
    <row r="53" spans="1:5" ht="21.95" customHeight="1" x14ac:dyDescent="0.25">
      <c r="A53" s="5">
        <v>39</v>
      </c>
      <c r="B53" s="5" t="s">
        <v>122</v>
      </c>
      <c r="C53" s="5">
        <v>5869</v>
      </c>
      <c r="D53" s="5">
        <v>2872</v>
      </c>
      <c r="E53" s="5">
        <v>2997</v>
      </c>
    </row>
  </sheetData>
  <mergeCells count="4">
    <mergeCell ref="A4:A5"/>
    <mergeCell ref="B4:B5"/>
    <mergeCell ref="C4:E4"/>
    <mergeCell ref="A1:E1"/>
  </mergeCells>
  <hyperlinks>
    <hyperlink ref="A1:E1" location="'List of twonship'!A1" display="Tanintharyi  Region, Dawei District, Thayetchaung Township"/>
  </hyperlinks>
  <pageMargins left="0.75" right="0.5" top="0.5" bottom="0.2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selection sqref="A1:E1"/>
    </sheetView>
  </sheetViews>
  <sheetFormatPr defaultRowHeight="15" x14ac:dyDescent="0.25"/>
  <cols>
    <col min="1" max="1" width="7" customWidth="1"/>
    <col min="2" max="2" width="31.28515625" customWidth="1"/>
    <col min="3" max="5" width="15.7109375" customWidth="1"/>
    <col min="6" max="6" width="8.85546875" customWidth="1"/>
    <col min="7" max="7" width="26.42578125" customWidth="1"/>
    <col min="8" max="8" width="12.85546875" customWidth="1"/>
    <col min="9" max="9" width="11" customWidth="1"/>
    <col min="10" max="10" width="12.42578125" customWidth="1"/>
  </cols>
  <sheetData>
    <row r="1" spans="1:5" ht="21" customHeight="1" x14ac:dyDescent="0.25">
      <c r="A1" s="32" t="s">
        <v>343</v>
      </c>
      <c r="B1" s="32"/>
      <c r="C1" s="32"/>
      <c r="D1" s="32"/>
      <c r="E1" s="32"/>
    </row>
    <row r="2" spans="1:5" ht="21" customHeight="1" x14ac:dyDescent="0.25">
      <c r="E2" s="23" t="s">
        <v>329</v>
      </c>
    </row>
    <row r="3" spans="1:5" ht="21" customHeight="1" x14ac:dyDescent="0.25"/>
    <row r="4" spans="1:5" ht="15.75" x14ac:dyDescent="0.25">
      <c r="A4" s="30" t="s">
        <v>328</v>
      </c>
      <c r="B4" s="30" t="s">
        <v>347</v>
      </c>
      <c r="C4" s="36" t="s">
        <v>327</v>
      </c>
      <c r="D4" s="37"/>
      <c r="E4" s="38"/>
    </row>
    <row r="5" spans="1:5" ht="15.75" x14ac:dyDescent="0.25">
      <c r="A5" s="31"/>
      <c r="B5" s="31"/>
      <c r="C5" s="7" t="s">
        <v>0</v>
      </c>
      <c r="D5" s="7" t="s">
        <v>1</v>
      </c>
      <c r="E5" s="7" t="s">
        <v>2</v>
      </c>
    </row>
    <row r="6" spans="1:5" ht="21.95" customHeight="1" x14ac:dyDescent="0.25">
      <c r="A6" s="12"/>
      <c r="B6" s="17" t="s">
        <v>0</v>
      </c>
      <c r="C6" s="13">
        <v>100768</v>
      </c>
      <c r="D6" s="13">
        <v>50782</v>
      </c>
      <c r="E6" s="13">
        <v>49986</v>
      </c>
    </row>
    <row r="7" spans="1:5" ht="21.95" customHeight="1" x14ac:dyDescent="0.25">
      <c r="A7" s="4"/>
      <c r="B7" s="4"/>
      <c r="C7" s="4"/>
      <c r="D7" s="4"/>
      <c r="E7" s="4"/>
    </row>
    <row r="8" spans="1:5" ht="21.95" customHeight="1" x14ac:dyDescent="0.25">
      <c r="A8" s="4"/>
      <c r="B8" s="9" t="s">
        <v>326</v>
      </c>
      <c r="C8" s="9">
        <f>SUM(C9:C12)</f>
        <v>4744</v>
      </c>
      <c r="D8" s="9">
        <f t="shared" ref="D8:E8" si="0">SUM(D9:D12)</f>
        <v>2327</v>
      </c>
      <c r="E8" s="9">
        <f t="shared" si="0"/>
        <v>2417</v>
      </c>
    </row>
    <row r="9" spans="1:5" ht="21.95" customHeight="1" x14ac:dyDescent="0.25">
      <c r="A9" s="4">
        <v>1</v>
      </c>
      <c r="B9" s="4" t="s">
        <v>123</v>
      </c>
      <c r="C9" s="4">
        <v>620</v>
      </c>
      <c r="D9" s="4">
        <v>298</v>
      </c>
      <c r="E9" s="4">
        <v>322</v>
      </c>
    </row>
    <row r="10" spans="1:5" ht="21.95" customHeight="1" x14ac:dyDescent="0.25">
      <c r="A10" s="4">
        <v>2</v>
      </c>
      <c r="B10" s="4" t="s">
        <v>124</v>
      </c>
      <c r="C10" s="4">
        <v>1263</v>
      </c>
      <c r="D10" s="4">
        <v>608</v>
      </c>
      <c r="E10" s="4">
        <v>655</v>
      </c>
    </row>
    <row r="11" spans="1:5" ht="21.95" customHeight="1" x14ac:dyDescent="0.25">
      <c r="A11" s="4">
        <v>3</v>
      </c>
      <c r="B11" s="4" t="s">
        <v>125</v>
      </c>
      <c r="C11" s="4">
        <v>1424</v>
      </c>
      <c r="D11" s="4">
        <v>706</v>
      </c>
      <c r="E11" s="4">
        <v>718</v>
      </c>
    </row>
    <row r="12" spans="1:5" ht="21.95" customHeight="1" x14ac:dyDescent="0.25">
      <c r="A12" s="4">
        <v>4</v>
      </c>
      <c r="B12" s="4" t="s">
        <v>126</v>
      </c>
      <c r="C12" s="4">
        <v>1437</v>
      </c>
      <c r="D12" s="4">
        <v>715</v>
      </c>
      <c r="E12" s="4">
        <v>722</v>
      </c>
    </row>
    <row r="13" spans="1:5" ht="21.95" customHeight="1" x14ac:dyDescent="0.25">
      <c r="A13" s="4"/>
      <c r="B13" s="9" t="s">
        <v>346</v>
      </c>
      <c r="C13" s="9">
        <f>SUM(C14:C40)</f>
        <v>96024</v>
      </c>
      <c r="D13" s="9">
        <f t="shared" ref="D13:E13" si="1">SUM(D14:D40)</f>
        <v>48455</v>
      </c>
      <c r="E13" s="9">
        <f t="shared" si="1"/>
        <v>47569</v>
      </c>
    </row>
    <row r="14" spans="1:5" ht="21.95" customHeight="1" x14ac:dyDescent="0.25">
      <c r="A14" s="4">
        <v>1</v>
      </c>
      <c r="B14" s="4" t="s">
        <v>127</v>
      </c>
      <c r="C14" s="4">
        <v>607</v>
      </c>
      <c r="D14" s="4">
        <v>278</v>
      </c>
      <c r="E14" s="4">
        <v>329</v>
      </c>
    </row>
    <row r="15" spans="1:5" ht="21.95" customHeight="1" x14ac:dyDescent="0.25">
      <c r="A15" s="4">
        <v>2</v>
      </c>
      <c r="B15" s="4" t="s">
        <v>128</v>
      </c>
      <c r="C15" s="4">
        <v>2651</v>
      </c>
      <c r="D15" s="4">
        <v>1243</v>
      </c>
      <c r="E15" s="4">
        <v>1408</v>
      </c>
    </row>
    <row r="16" spans="1:5" ht="21.95" customHeight="1" x14ac:dyDescent="0.25">
      <c r="A16" s="4">
        <v>3</v>
      </c>
      <c r="B16" s="4" t="s">
        <v>129</v>
      </c>
      <c r="C16" s="4">
        <v>3283</v>
      </c>
      <c r="D16" s="4">
        <v>1627</v>
      </c>
      <c r="E16" s="4">
        <v>1656</v>
      </c>
    </row>
    <row r="17" spans="1:5" ht="21.95" customHeight="1" x14ac:dyDescent="0.25">
      <c r="A17" s="4">
        <v>4</v>
      </c>
      <c r="B17" s="4" t="s">
        <v>130</v>
      </c>
      <c r="C17" s="4">
        <v>1577</v>
      </c>
      <c r="D17" s="4">
        <v>753</v>
      </c>
      <c r="E17" s="4">
        <v>824</v>
      </c>
    </row>
    <row r="18" spans="1:5" ht="21.95" customHeight="1" x14ac:dyDescent="0.25">
      <c r="A18" s="4">
        <v>5</v>
      </c>
      <c r="B18" s="4" t="s">
        <v>131</v>
      </c>
      <c r="C18" s="4">
        <v>2280</v>
      </c>
      <c r="D18" s="4">
        <v>1107</v>
      </c>
      <c r="E18" s="4">
        <v>1173</v>
      </c>
    </row>
    <row r="19" spans="1:5" ht="21.95" customHeight="1" x14ac:dyDescent="0.25">
      <c r="A19" s="4">
        <v>6</v>
      </c>
      <c r="B19" s="4" t="s">
        <v>132</v>
      </c>
      <c r="C19" s="4">
        <v>1568</v>
      </c>
      <c r="D19" s="4">
        <v>783</v>
      </c>
      <c r="E19" s="4">
        <v>785</v>
      </c>
    </row>
    <row r="20" spans="1:5" ht="21.95" customHeight="1" x14ac:dyDescent="0.25">
      <c r="A20" s="4">
        <v>7</v>
      </c>
      <c r="B20" s="4" t="s">
        <v>133</v>
      </c>
      <c r="C20" s="4">
        <v>2892</v>
      </c>
      <c r="D20" s="4">
        <v>1597</v>
      </c>
      <c r="E20" s="4">
        <v>1295</v>
      </c>
    </row>
    <row r="21" spans="1:5" ht="21.95" customHeight="1" x14ac:dyDescent="0.25">
      <c r="A21" s="4">
        <v>8</v>
      </c>
      <c r="B21" s="4" t="s">
        <v>134</v>
      </c>
      <c r="C21" s="4">
        <v>2777</v>
      </c>
      <c r="D21" s="4">
        <v>1331</v>
      </c>
      <c r="E21" s="4">
        <v>1446</v>
      </c>
    </row>
    <row r="22" spans="1:5" ht="21.95" customHeight="1" x14ac:dyDescent="0.25">
      <c r="A22" s="4">
        <v>9</v>
      </c>
      <c r="B22" s="4" t="s">
        <v>135</v>
      </c>
      <c r="C22" s="4">
        <v>1345</v>
      </c>
      <c r="D22" s="4">
        <v>648</v>
      </c>
      <c r="E22" s="4">
        <v>697</v>
      </c>
    </row>
    <row r="23" spans="1:5" ht="21.95" customHeight="1" x14ac:dyDescent="0.25">
      <c r="A23" s="4">
        <v>10</v>
      </c>
      <c r="B23" s="4" t="s">
        <v>136</v>
      </c>
      <c r="C23" s="4">
        <v>1055</v>
      </c>
      <c r="D23" s="4">
        <v>570</v>
      </c>
      <c r="E23" s="4">
        <v>485</v>
      </c>
    </row>
    <row r="24" spans="1:5" ht="21.95" customHeight="1" x14ac:dyDescent="0.25">
      <c r="A24" s="4">
        <v>11</v>
      </c>
      <c r="B24" s="4" t="s">
        <v>137</v>
      </c>
      <c r="C24" s="4">
        <v>1742</v>
      </c>
      <c r="D24" s="4">
        <v>807</v>
      </c>
      <c r="E24" s="4">
        <v>935</v>
      </c>
    </row>
    <row r="25" spans="1:5" ht="21.95" customHeight="1" x14ac:dyDescent="0.25">
      <c r="A25" s="4">
        <v>12</v>
      </c>
      <c r="B25" s="4" t="s">
        <v>138</v>
      </c>
      <c r="C25" s="4">
        <v>2054</v>
      </c>
      <c r="D25" s="4">
        <v>1044</v>
      </c>
      <c r="E25" s="4">
        <v>1010</v>
      </c>
    </row>
    <row r="26" spans="1:5" ht="21.95" customHeight="1" x14ac:dyDescent="0.25">
      <c r="A26" s="4">
        <v>13</v>
      </c>
      <c r="B26" s="4" t="s">
        <v>139</v>
      </c>
      <c r="C26" s="4">
        <v>3226</v>
      </c>
      <c r="D26" s="4">
        <v>1641</v>
      </c>
      <c r="E26" s="4">
        <v>1585</v>
      </c>
    </row>
    <row r="27" spans="1:5" ht="21.95" customHeight="1" x14ac:dyDescent="0.25">
      <c r="A27" s="4">
        <v>14</v>
      </c>
      <c r="B27" s="4" t="s">
        <v>140</v>
      </c>
      <c r="C27" s="4">
        <v>2804</v>
      </c>
      <c r="D27" s="4">
        <v>1318</v>
      </c>
      <c r="E27" s="4">
        <v>1486</v>
      </c>
    </row>
    <row r="28" spans="1:5" ht="21.95" customHeight="1" x14ac:dyDescent="0.25">
      <c r="A28" s="4">
        <v>15</v>
      </c>
      <c r="B28" s="4" t="s">
        <v>141</v>
      </c>
      <c r="C28" s="4">
        <v>3502</v>
      </c>
      <c r="D28" s="4">
        <v>1703</v>
      </c>
      <c r="E28" s="4">
        <v>1799</v>
      </c>
    </row>
    <row r="29" spans="1:5" ht="21.95" customHeight="1" x14ac:dyDescent="0.25">
      <c r="A29" s="4">
        <v>16</v>
      </c>
      <c r="B29" s="4" t="s">
        <v>142</v>
      </c>
      <c r="C29" s="4">
        <v>5146</v>
      </c>
      <c r="D29" s="4">
        <v>2541</v>
      </c>
      <c r="E29" s="4">
        <v>2605</v>
      </c>
    </row>
    <row r="30" spans="1:5" ht="21.95" customHeight="1" x14ac:dyDescent="0.25">
      <c r="A30" s="4">
        <v>17</v>
      </c>
      <c r="B30" s="4" t="s">
        <v>143</v>
      </c>
      <c r="C30" s="4">
        <v>1765</v>
      </c>
      <c r="D30" s="4">
        <v>870</v>
      </c>
      <c r="E30" s="4">
        <v>895</v>
      </c>
    </row>
    <row r="31" spans="1:5" ht="21.95" customHeight="1" x14ac:dyDescent="0.25">
      <c r="A31" s="4">
        <v>18</v>
      </c>
      <c r="B31" s="4" t="s">
        <v>144</v>
      </c>
      <c r="C31" s="4">
        <v>6380</v>
      </c>
      <c r="D31" s="4">
        <v>3181</v>
      </c>
      <c r="E31" s="4">
        <v>3199</v>
      </c>
    </row>
    <row r="32" spans="1:5" ht="21.95" customHeight="1" x14ac:dyDescent="0.25">
      <c r="A32" s="4">
        <v>19</v>
      </c>
      <c r="B32" s="4" t="s">
        <v>145</v>
      </c>
      <c r="C32" s="4">
        <v>6360</v>
      </c>
      <c r="D32" s="4">
        <v>3091</v>
      </c>
      <c r="E32" s="4">
        <v>3269</v>
      </c>
    </row>
    <row r="33" spans="1:5" ht="21.95" customHeight="1" x14ac:dyDescent="0.25">
      <c r="A33" s="4">
        <v>20</v>
      </c>
      <c r="B33" s="4" t="s">
        <v>146</v>
      </c>
      <c r="C33" s="4">
        <v>6174</v>
      </c>
      <c r="D33" s="4">
        <v>3036</v>
      </c>
      <c r="E33" s="4">
        <v>3138</v>
      </c>
    </row>
    <row r="34" spans="1:5" ht="21.95" customHeight="1" x14ac:dyDescent="0.25">
      <c r="A34" s="4">
        <v>21</v>
      </c>
      <c r="B34" s="4" t="s">
        <v>147</v>
      </c>
      <c r="C34" s="4">
        <v>7904</v>
      </c>
      <c r="D34" s="4">
        <v>4532</v>
      </c>
      <c r="E34" s="4">
        <v>3372</v>
      </c>
    </row>
    <row r="35" spans="1:5" ht="21.95" customHeight="1" x14ac:dyDescent="0.25">
      <c r="A35" s="4">
        <v>22</v>
      </c>
      <c r="B35" s="4" t="s">
        <v>148</v>
      </c>
      <c r="C35" s="4">
        <v>5454</v>
      </c>
      <c r="D35" s="4">
        <v>2769</v>
      </c>
      <c r="E35" s="4">
        <v>2685</v>
      </c>
    </row>
    <row r="36" spans="1:5" ht="21.95" customHeight="1" x14ac:dyDescent="0.25">
      <c r="A36" s="4">
        <v>23</v>
      </c>
      <c r="B36" s="4" t="s">
        <v>149</v>
      </c>
      <c r="C36" s="4">
        <v>2621</v>
      </c>
      <c r="D36" s="4">
        <v>1335</v>
      </c>
      <c r="E36" s="4">
        <v>1286</v>
      </c>
    </row>
    <row r="37" spans="1:5" ht="21.95" customHeight="1" x14ac:dyDescent="0.25">
      <c r="A37" s="4">
        <v>24</v>
      </c>
      <c r="B37" s="4" t="s">
        <v>150</v>
      </c>
      <c r="C37" s="4">
        <v>4752</v>
      </c>
      <c r="D37" s="4">
        <v>2419</v>
      </c>
      <c r="E37" s="4">
        <v>2333</v>
      </c>
    </row>
    <row r="38" spans="1:5" ht="21.95" customHeight="1" x14ac:dyDescent="0.25">
      <c r="A38" s="4">
        <v>25</v>
      </c>
      <c r="B38" s="4" t="s">
        <v>151</v>
      </c>
      <c r="C38" s="4">
        <v>3159</v>
      </c>
      <c r="D38" s="4">
        <v>1580</v>
      </c>
      <c r="E38" s="4">
        <v>1579</v>
      </c>
    </row>
    <row r="39" spans="1:5" ht="21.95" customHeight="1" x14ac:dyDescent="0.25">
      <c r="A39" s="4">
        <v>26</v>
      </c>
      <c r="B39" s="4" t="s">
        <v>152</v>
      </c>
      <c r="C39" s="4">
        <v>11531</v>
      </c>
      <c r="D39" s="4">
        <v>5943</v>
      </c>
      <c r="E39" s="4">
        <v>5588</v>
      </c>
    </row>
    <row r="40" spans="1:5" ht="21.95" customHeight="1" x14ac:dyDescent="0.25">
      <c r="A40" s="5">
        <v>27</v>
      </c>
      <c r="B40" s="5" t="s">
        <v>153</v>
      </c>
      <c r="C40" s="5">
        <v>1415</v>
      </c>
      <c r="D40" s="5">
        <v>708</v>
      </c>
      <c r="E40" s="5">
        <v>707</v>
      </c>
    </row>
  </sheetData>
  <mergeCells count="4">
    <mergeCell ref="A4:A5"/>
    <mergeCell ref="B4:B5"/>
    <mergeCell ref="C4:E4"/>
    <mergeCell ref="A1:E1"/>
  </mergeCells>
  <hyperlinks>
    <hyperlink ref="A1:E1" location="'List of twonship'!A1" display="Tanintharyi Region, Dawei District, Yebyu Township"/>
  </hyperlinks>
  <pageMargins left="0.75" right="0.5" top="0.5" bottom="0.2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selection sqref="A1:E1"/>
    </sheetView>
  </sheetViews>
  <sheetFormatPr defaultRowHeight="15" x14ac:dyDescent="0.25"/>
  <cols>
    <col min="1" max="1" width="6.42578125" customWidth="1"/>
    <col min="2" max="2" width="30.5703125" customWidth="1"/>
    <col min="3" max="5" width="15.7109375" customWidth="1"/>
    <col min="7" max="7" width="27.5703125" customWidth="1"/>
  </cols>
  <sheetData>
    <row r="1" spans="1:5" ht="21" customHeight="1" x14ac:dyDescent="0.25">
      <c r="A1" s="32" t="s">
        <v>344</v>
      </c>
      <c r="B1" s="32"/>
      <c r="C1" s="32"/>
      <c r="D1" s="32"/>
      <c r="E1" s="32"/>
    </row>
    <row r="2" spans="1:5" ht="21" customHeight="1" x14ac:dyDescent="0.25">
      <c r="E2" s="23" t="s">
        <v>329</v>
      </c>
    </row>
    <row r="3" spans="1:5" ht="21" customHeight="1" x14ac:dyDescent="0.25"/>
    <row r="4" spans="1:5" ht="15.75" x14ac:dyDescent="0.25">
      <c r="A4" s="30" t="s">
        <v>328</v>
      </c>
      <c r="B4" s="30" t="s">
        <v>347</v>
      </c>
      <c r="C4" s="36" t="s">
        <v>327</v>
      </c>
      <c r="D4" s="37"/>
      <c r="E4" s="38"/>
    </row>
    <row r="5" spans="1:5" ht="15.75" x14ac:dyDescent="0.25">
      <c r="A5" s="31"/>
      <c r="B5" s="31"/>
      <c r="C5" s="7" t="s">
        <v>0</v>
      </c>
      <c r="D5" s="7" t="s">
        <v>1</v>
      </c>
      <c r="E5" s="7" t="s">
        <v>2</v>
      </c>
    </row>
    <row r="6" spans="1:5" ht="21.95" customHeight="1" x14ac:dyDescent="0.25">
      <c r="A6" s="12"/>
      <c r="B6" s="17" t="s">
        <v>0</v>
      </c>
      <c r="C6" s="13">
        <v>21359</v>
      </c>
      <c r="D6" s="13">
        <v>10609</v>
      </c>
      <c r="E6" s="13">
        <v>10750</v>
      </c>
    </row>
    <row r="7" spans="1:5" ht="10.5" customHeight="1" x14ac:dyDescent="0.25">
      <c r="A7" s="4"/>
      <c r="B7" s="4"/>
      <c r="C7" s="4"/>
      <c r="D7" s="4"/>
      <c r="E7" s="4"/>
    </row>
    <row r="8" spans="1:5" ht="21.95" customHeight="1" x14ac:dyDescent="0.25">
      <c r="A8" s="4"/>
      <c r="B8" s="9" t="s">
        <v>326</v>
      </c>
      <c r="C8" s="9">
        <f>SUM(C9:C11)</f>
        <v>3342</v>
      </c>
      <c r="D8" s="9">
        <f t="shared" ref="D8:E8" si="0">SUM(D9:D11)</f>
        <v>1760</v>
      </c>
      <c r="E8" s="9">
        <f t="shared" si="0"/>
        <v>1582</v>
      </c>
    </row>
    <row r="9" spans="1:5" ht="21.95" customHeight="1" x14ac:dyDescent="0.25">
      <c r="A9" s="4">
        <v>1</v>
      </c>
      <c r="B9" s="4" t="s">
        <v>154</v>
      </c>
      <c r="C9" s="4">
        <v>1264</v>
      </c>
      <c r="D9" s="4">
        <v>656</v>
      </c>
      <c r="E9" s="4">
        <v>608</v>
      </c>
    </row>
    <row r="10" spans="1:5" ht="21.95" customHeight="1" x14ac:dyDescent="0.25">
      <c r="A10" s="4">
        <v>2</v>
      </c>
      <c r="B10" s="4" t="s">
        <v>155</v>
      </c>
      <c r="C10" s="4">
        <v>1391</v>
      </c>
      <c r="D10" s="4">
        <v>695</v>
      </c>
      <c r="E10" s="4">
        <v>696</v>
      </c>
    </row>
    <row r="11" spans="1:5" ht="21.95" customHeight="1" x14ac:dyDescent="0.25">
      <c r="A11" s="4">
        <v>3</v>
      </c>
      <c r="B11" s="4" t="s">
        <v>156</v>
      </c>
      <c r="C11" s="4">
        <v>687</v>
      </c>
      <c r="D11" s="4">
        <v>409</v>
      </c>
      <c r="E11" s="4">
        <v>278</v>
      </c>
    </row>
    <row r="12" spans="1:5" ht="21.95" customHeight="1" x14ac:dyDescent="0.25">
      <c r="A12" s="4"/>
      <c r="B12" s="9" t="s">
        <v>346</v>
      </c>
      <c r="C12" s="9">
        <f>SUM(C13:C19)</f>
        <v>18017</v>
      </c>
      <c r="D12" s="9">
        <f t="shared" ref="D12:E12" si="1">SUM(D13:D19)</f>
        <v>8849</v>
      </c>
      <c r="E12" s="9">
        <f t="shared" si="1"/>
        <v>9168</v>
      </c>
    </row>
    <row r="13" spans="1:5" ht="21.95" customHeight="1" x14ac:dyDescent="0.25">
      <c r="A13" s="4">
        <v>1</v>
      </c>
      <c r="B13" s="4" t="s">
        <v>157</v>
      </c>
      <c r="C13" s="4">
        <v>2336</v>
      </c>
      <c r="D13" s="4">
        <v>1111</v>
      </c>
      <c r="E13" s="4">
        <v>1225</v>
      </c>
    </row>
    <row r="14" spans="1:5" ht="21.95" customHeight="1" x14ac:dyDescent="0.25">
      <c r="A14" s="4">
        <v>2</v>
      </c>
      <c r="B14" s="4" t="s">
        <v>158</v>
      </c>
      <c r="C14" s="4">
        <v>1335</v>
      </c>
      <c r="D14" s="4">
        <v>660</v>
      </c>
      <c r="E14" s="4">
        <v>675</v>
      </c>
    </row>
    <row r="15" spans="1:5" ht="21.95" customHeight="1" x14ac:dyDescent="0.25">
      <c r="A15" s="4">
        <v>3</v>
      </c>
      <c r="B15" s="4" t="s">
        <v>159</v>
      </c>
      <c r="C15" s="4">
        <v>6182</v>
      </c>
      <c r="D15" s="4">
        <v>3067</v>
      </c>
      <c r="E15" s="4">
        <v>3115</v>
      </c>
    </row>
    <row r="16" spans="1:5" ht="21.95" customHeight="1" x14ac:dyDescent="0.25">
      <c r="A16" s="4">
        <v>4</v>
      </c>
      <c r="B16" s="4" t="s">
        <v>160</v>
      </c>
      <c r="C16" s="4">
        <v>5521</v>
      </c>
      <c r="D16" s="4">
        <v>2669</v>
      </c>
      <c r="E16" s="4">
        <v>2852</v>
      </c>
    </row>
    <row r="17" spans="1:6" ht="21.95" customHeight="1" x14ac:dyDescent="0.25">
      <c r="A17" s="4">
        <v>5</v>
      </c>
      <c r="B17" s="4" t="s">
        <v>161</v>
      </c>
      <c r="C17" s="4">
        <v>1803</v>
      </c>
      <c r="D17" s="4">
        <v>888</v>
      </c>
      <c r="E17" s="4">
        <v>915</v>
      </c>
    </row>
    <row r="18" spans="1:6" ht="21.95" customHeight="1" x14ac:dyDescent="0.25">
      <c r="A18" s="4">
        <v>6</v>
      </c>
      <c r="B18" s="4" t="s">
        <v>162</v>
      </c>
      <c r="C18" s="4">
        <v>227</v>
      </c>
      <c r="D18" s="4">
        <v>102</v>
      </c>
      <c r="E18" s="4">
        <v>125</v>
      </c>
    </row>
    <row r="19" spans="1:6" ht="21.95" customHeight="1" x14ac:dyDescent="0.25">
      <c r="A19" s="5">
        <v>7</v>
      </c>
      <c r="B19" s="5" t="s">
        <v>163</v>
      </c>
      <c r="C19" s="5">
        <v>613</v>
      </c>
      <c r="D19" s="5">
        <v>352</v>
      </c>
      <c r="E19" s="5">
        <v>261</v>
      </c>
    </row>
    <row r="20" spans="1:6" x14ac:dyDescent="0.25">
      <c r="F20" s="1"/>
    </row>
  </sheetData>
  <mergeCells count="4">
    <mergeCell ref="A4:A5"/>
    <mergeCell ref="B4:B5"/>
    <mergeCell ref="C4:E4"/>
    <mergeCell ref="A1:E1"/>
  </mergeCells>
  <hyperlinks>
    <hyperlink ref="A1:E1" location="'List of twonship'!A1" display="Tanintharyi Region, Dawei District, Myitta(Sub-Township)"/>
  </hyperlinks>
  <pageMargins left="0.75" right="0.5" top="0.5" bottom="0.2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selection sqref="A1:E1"/>
    </sheetView>
  </sheetViews>
  <sheetFormatPr defaultRowHeight="15" x14ac:dyDescent="0.25"/>
  <cols>
    <col min="1" max="1" width="6.85546875" customWidth="1"/>
    <col min="2" max="2" width="29.28515625" customWidth="1"/>
    <col min="3" max="5" width="15.7109375" customWidth="1"/>
    <col min="6" max="6" width="9.85546875" customWidth="1"/>
    <col min="7" max="7" width="23.5703125" customWidth="1"/>
  </cols>
  <sheetData>
    <row r="1" spans="1:5" ht="21" customHeight="1" x14ac:dyDescent="0.25">
      <c r="A1" s="32" t="s">
        <v>345</v>
      </c>
      <c r="B1" s="32"/>
      <c r="C1" s="32"/>
      <c r="D1" s="32"/>
      <c r="E1" s="32"/>
    </row>
    <row r="2" spans="1:5" ht="21" customHeight="1" x14ac:dyDescent="0.25">
      <c r="E2" s="23" t="s">
        <v>329</v>
      </c>
    </row>
    <row r="3" spans="1:5" ht="21" customHeight="1" x14ac:dyDescent="0.25"/>
    <row r="4" spans="1:5" ht="15.75" x14ac:dyDescent="0.25">
      <c r="A4" s="30" t="s">
        <v>328</v>
      </c>
      <c r="B4" s="30" t="s">
        <v>347</v>
      </c>
      <c r="C4" s="36" t="s">
        <v>327</v>
      </c>
      <c r="D4" s="37"/>
      <c r="E4" s="38"/>
    </row>
    <row r="5" spans="1:5" ht="15.75" x14ac:dyDescent="0.25">
      <c r="A5" s="31"/>
      <c r="B5" s="31"/>
      <c r="C5" s="7" t="s">
        <v>0</v>
      </c>
      <c r="D5" s="7" t="s">
        <v>1</v>
      </c>
      <c r="E5" s="7" t="s">
        <v>2</v>
      </c>
    </row>
    <row r="6" spans="1:5" ht="21.95" customHeight="1" x14ac:dyDescent="0.25">
      <c r="A6" s="12"/>
      <c r="B6" s="17" t="s">
        <v>0</v>
      </c>
      <c r="C6" s="13">
        <v>21865</v>
      </c>
      <c r="D6" s="13">
        <v>11659</v>
      </c>
      <c r="E6" s="13">
        <v>10206</v>
      </c>
    </row>
    <row r="7" spans="1:5" ht="11.25" customHeight="1" x14ac:dyDescent="0.25">
      <c r="A7" s="4"/>
      <c r="B7" s="4"/>
      <c r="C7" s="4"/>
      <c r="D7" s="4"/>
      <c r="E7" s="4"/>
    </row>
    <row r="8" spans="1:5" ht="21.95" customHeight="1" x14ac:dyDescent="0.25">
      <c r="A8" s="4"/>
      <c r="B8" s="9" t="s">
        <v>326</v>
      </c>
      <c r="C8" s="9">
        <f>SUM(C9:C12)</f>
        <v>3114</v>
      </c>
      <c r="D8" s="9">
        <f t="shared" ref="D8:E8" si="0">SUM(D9:D12)</f>
        <v>1621</v>
      </c>
      <c r="E8" s="9">
        <f t="shared" si="0"/>
        <v>1493</v>
      </c>
    </row>
    <row r="9" spans="1:5" ht="21.95" customHeight="1" x14ac:dyDescent="0.25">
      <c r="A9" s="4">
        <v>1</v>
      </c>
      <c r="B9" s="4" t="s">
        <v>154</v>
      </c>
      <c r="C9" s="4">
        <v>538</v>
      </c>
      <c r="D9" s="4">
        <v>277</v>
      </c>
      <c r="E9" s="4">
        <v>261</v>
      </c>
    </row>
    <row r="10" spans="1:5" ht="21.95" customHeight="1" x14ac:dyDescent="0.25">
      <c r="A10" s="4">
        <v>2</v>
      </c>
      <c r="B10" s="4" t="s">
        <v>155</v>
      </c>
      <c r="C10" s="4">
        <v>392</v>
      </c>
      <c r="D10" s="4">
        <v>199</v>
      </c>
      <c r="E10" s="4">
        <v>193</v>
      </c>
    </row>
    <row r="11" spans="1:5" ht="21.95" customHeight="1" x14ac:dyDescent="0.25">
      <c r="A11" s="4">
        <v>3</v>
      </c>
      <c r="B11" s="4" t="s">
        <v>156</v>
      </c>
      <c r="C11" s="4">
        <v>1339</v>
      </c>
      <c r="D11" s="4">
        <v>716</v>
      </c>
      <c r="E11" s="4">
        <v>623</v>
      </c>
    </row>
    <row r="12" spans="1:5" ht="21.95" customHeight="1" x14ac:dyDescent="0.25">
      <c r="A12" s="4">
        <v>4</v>
      </c>
      <c r="B12" s="4" t="s">
        <v>164</v>
      </c>
      <c r="C12" s="4">
        <v>845</v>
      </c>
      <c r="D12" s="4">
        <v>429</v>
      </c>
      <c r="E12" s="4">
        <v>416</v>
      </c>
    </row>
    <row r="13" spans="1:5" ht="21.95" customHeight="1" x14ac:dyDescent="0.25">
      <c r="A13" s="4"/>
      <c r="B13" s="9" t="s">
        <v>346</v>
      </c>
      <c r="C13" s="9">
        <f>SUM(C14:C20)</f>
        <v>18751</v>
      </c>
      <c r="D13" s="9">
        <f t="shared" ref="D13:E13" si="1">SUM(D14:D20)</f>
        <v>10038</v>
      </c>
      <c r="E13" s="9">
        <f t="shared" si="1"/>
        <v>8713</v>
      </c>
    </row>
    <row r="14" spans="1:5" ht="21.95" customHeight="1" x14ac:dyDescent="0.25">
      <c r="A14" s="4">
        <v>1</v>
      </c>
      <c r="B14" s="4" t="s">
        <v>165</v>
      </c>
      <c r="C14" s="4">
        <v>1158</v>
      </c>
      <c r="D14" s="4">
        <v>600</v>
      </c>
      <c r="E14" s="4">
        <v>558</v>
      </c>
    </row>
    <row r="15" spans="1:5" ht="21.95" customHeight="1" x14ac:dyDescent="0.25">
      <c r="A15" s="4">
        <v>2</v>
      </c>
      <c r="B15" s="4" t="s">
        <v>166</v>
      </c>
      <c r="C15" s="4">
        <v>494</v>
      </c>
      <c r="D15" s="4">
        <v>248</v>
      </c>
      <c r="E15" s="4">
        <v>246</v>
      </c>
    </row>
    <row r="16" spans="1:5" ht="21.95" customHeight="1" x14ac:dyDescent="0.25">
      <c r="A16" s="4">
        <v>3</v>
      </c>
      <c r="B16" s="4" t="s">
        <v>167</v>
      </c>
      <c r="C16" s="4">
        <v>2779</v>
      </c>
      <c r="D16" s="4">
        <v>1454</v>
      </c>
      <c r="E16" s="4">
        <v>1325</v>
      </c>
    </row>
    <row r="17" spans="1:5" ht="21.95" customHeight="1" x14ac:dyDescent="0.25">
      <c r="A17" s="4">
        <v>4</v>
      </c>
      <c r="B17" s="4" t="s">
        <v>168</v>
      </c>
      <c r="C17" s="4">
        <v>1301</v>
      </c>
      <c r="D17" s="4">
        <v>693</v>
      </c>
      <c r="E17" s="4">
        <v>608</v>
      </c>
    </row>
    <row r="18" spans="1:5" ht="21.95" customHeight="1" x14ac:dyDescent="0.25">
      <c r="A18" s="4">
        <v>5</v>
      </c>
      <c r="B18" s="4" t="s">
        <v>169</v>
      </c>
      <c r="C18" s="4">
        <v>6118</v>
      </c>
      <c r="D18" s="4">
        <v>3283</v>
      </c>
      <c r="E18" s="4">
        <v>2835</v>
      </c>
    </row>
    <row r="19" spans="1:5" ht="21.95" customHeight="1" x14ac:dyDescent="0.25">
      <c r="A19" s="4">
        <v>6</v>
      </c>
      <c r="B19" s="4" t="s">
        <v>170</v>
      </c>
      <c r="C19" s="4">
        <v>1847</v>
      </c>
      <c r="D19" s="4">
        <v>1035</v>
      </c>
      <c r="E19" s="4">
        <v>812</v>
      </c>
    </row>
    <row r="20" spans="1:5" ht="21.95" customHeight="1" x14ac:dyDescent="0.25">
      <c r="A20" s="5">
        <v>7</v>
      </c>
      <c r="B20" s="5" t="s">
        <v>171</v>
      </c>
      <c r="C20" s="5">
        <v>5054</v>
      </c>
      <c r="D20" s="5">
        <v>2725</v>
      </c>
      <c r="E20" s="5">
        <v>2329</v>
      </c>
    </row>
    <row r="21" spans="1:5" ht="21.75" x14ac:dyDescent="0.25">
      <c r="A21" s="2"/>
      <c r="B21" s="1"/>
      <c r="C21" s="1"/>
      <c r="D21" s="1"/>
    </row>
  </sheetData>
  <mergeCells count="4">
    <mergeCell ref="A4:A5"/>
    <mergeCell ref="B4:B5"/>
    <mergeCell ref="C4:E4"/>
    <mergeCell ref="A1:E1"/>
  </mergeCells>
  <hyperlinks>
    <hyperlink ref="A1:E1" location="'List of twonship'!A1" display="Tanintharyi Region, Dawei District, Kaleinaung (Sub-Township)"/>
  </hyperlinks>
  <pageMargins left="0.75" right="0.5" top="0.5" bottom="0.2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Views>
    <sheetView workbookViewId="0">
      <selection sqref="A1:E1"/>
    </sheetView>
  </sheetViews>
  <sheetFormatPr defaultRowHeight="15" x14ac:dyDescent="0.25"/>
  <cols>
    <col min="1" max="1" width="6" customWidth="1"/>
    <col min="2" max="2" width="26" customWidth="1"/>
    <col min="3" max="5" width="15.7109375" customWidth="1"/>
    <col min="7" max="7" width="26" customWidth="1"/>
    <col min="8" max="8" width="11" customWidth="1"/>
  </cols>
  <sheetData>
    <row r="1" spans="1:5" ht="21" customHeight="1" x14ac:dyDescent="0.25">
      <c r="A1" s="32" t="s">
        <v>330</v>
      </c>
      <c r="B1" s="32"/>
      <c r="C1" s="32"/>
      <c r="D1" s="32"/>
      <c r="E1" s="32"/>
    </row>
    <row r="2" spans="1:5" ht="21" customHeight="1" x14ac:dyDescent="0.25">
      <c r="E2" s="11" t="s">
        <v>329</v>
      </c>
    </row>
    <row r="3" spans="1:5" ht="21" customHeight="1" x14ac:dyDescent="0.25"/>
    <row r="4" spans="1:5" ht="15.75" x14ac:dyDescent="0.25">
      <c r="A4" s="30" t="s">
        <v>328</v>
      </c>
      <c r="B4" s="30" t="s">
        <v>347</v>
      </c>
      <c r="C4" s="36" t="s">
        <v>327</v>
      </c>
      <c r="D4" s="37"/>
      <c r="E4" s="38"/>
    </row>
    <row r="5" spans="1:5" ht="15.75" x14ac:dyDescent="0.25">
      <c r="A5" s="31"/>
      <c r="B5" s="31"/>
      <c r="C5" s="7" t="s">
        <v>0</v>
      </c>
      <c r="D5" s="7" t="s">
        <v>1</v>
      </c>
      <c r="E5" s="7" t="s">
        <v>2</v>
      </c>
    </row>
    <row r="6" spans="1:5" ht="21.95" customHeight="1" x14ac:dyDescent="0.25">
      <c r="A6" s="12"/>
      <c r="B6" s="17" t="s">
        <v>0</v>
      </c>
      <c r="C6" s="13">
        <v>284489</v>
      </c>
      <c r="D6" s="13">
        <v>139592</v>
      </c>
      <c r="E6" s="13">
        <v>144897</v>
      </c>
    </row>
    <row r="7" spans="1:5" ht="11.25" customHeight="1" x14ac:dyDescent="0.25">
      <c r="A7" s="4"/>
      <c r="B7" s="4"/>
      <c r="C7" s="4"/>
      <c r="D7" s="4"/>
      <c r="E7" s="4"/>
    </row>
    <row r="8" spans="1:5" ht="21.95" customHeight="1" x14ac:dyDescent="0.25">
      <c r="A8" s="4"/>
      <c r="B8" s="9" t="s">
        <v>326</v>
      </c>
      <c r="C8" s="9">
        <f>SUM(C9:C20)</f>
        <v>115141</v>
      </c>
      <c r="D8" s="9">
        <f t="shared" ref="D8:E8" si="0">SUM(D9:D20)</f>
        <v>55056</v>
      </c>
      <c r="E8" s="9">
        <f t="shared" si="0"/>
        <v>60085</v>
      </c>
    </row>
    <row r="9" spans="1:5" ht="21.95" customHeight="1" x14ac:dyDescent="0.25">
      <c r="A9" s="4">
        <v>1</v>
      </c>
      <c r="B9" s="4" t="s">
        <v>172</v>
      </c>
      <c r="C9" s="4">
        <v>3210</v>
      </c>
      <c r="D9" s="4">
        <v>1415</v>
      </c>
      <c r="E9" s="4">
        <v>1795</v>
      </c>
    </row>
    <row r="10" spans="1:5" ht="21.95" customHeight="1" x14ac:dyDescent="0.25">
      <c r="A10" s="4">
        <v>2</v>
      </c>
      <c r="B10" s="4" t="s">
        <v>173</v>
      </c>
      <c r="C10" s="4">
        <v>1028</v>
      </c>
      <c r="D10" s="4">
        <v>457</v>
      </c>
      <c r="E10" s="4">
        <v>571</v>
      </c>
    </row>
    <row r="11" spans="1:5" ht="21.95" customHeight="1" x14ac:dyDescent="0.25">
      <c r="A11" s="4">
        <v>3</v>
      </c>
      <c r="B11" s="4" t="s">
        <v>174</v>
      </c>
      <c r="C11" s="4">
        <v>1006</v>
      </c>
      <c r="D11" s="4">
        <v>489</v>
      </c>
      <c r="E11" s="4">
        <v>517</v>
      </c>
    </row>
    <row r="12" spans="1:5" ht="21.95" customHeight="1" x14ac:dyDescent="0.25">
      <c r="A12" s="4">
        <v>4</v>
      </c>
      <c r="B12" s="4" t="s">
        <v>175</v>
      </c>
      <c r="C12" s="4">
        <v>2302</v>
      </c>
      <c r="D12" s="4">
        <v>1052</v>
      </c>
      <c r="E12" s="4">
        <v>1250</v>
      </c>
    </row>
    <row r="13" spans="1:5" ht="21.95" customHeight="1" x14ac:dyDescent="0.25">
      <c r="A13" s="4">
        <v>5</v>
      </c>
      <c r="B13" s="4" t="s">
        <v>176</v>
      </c>
      <c r="C13" s="4">
        <v>4193</v>
      </c>
      <c r="D13" s="4">
        <v>1945</v>
      </c>
      <c r="E13" s="4">
        <v>2248</v>
      </c>
    </row>
    <row r="14" spans="1:5" ht="21.95" customHeight="1" x14ac:dyDescent="0.25">
      <c r="A14" s="4">
        <v>6</v>
      </c>
      <c r="B14" s="4" t="s">
        <v>177</v>
      </c>
      <c r="C14" s="4">
        <v>4168</v>
      </c>
      <c r="D14" s="4">
        <v>1900</v>
      </c>
      <c r="E14" s="4">
        <v>2268</v>
      </c>
    </row>
    <row r="15" spans="1:5" ht="21.95" customHeight="1" x14ac:dyDescent="0.25">
      <c r="A15" s="4">
        <v>7</v>
      </c>
      <c r="B15" s="4" t="s">
        <v>178</v>
      </c>
      <c r="C15" s="4">
        <v>2289</v>
      </c>
      <c r="D15" s="4">
        <v>971</v>
      </c>
      <c r="E15" s="4">
        <v>1318</v>
      </c>
    </row>
    <row r="16" spans="1:5" ht="21.95" customHeight="1" x14ac:dyDescent="0.25">
      <c r="A16" s="4">
        <v>8</v>
      </c>
      <c r="B16" s="4" t="s">
        <v>179</v>
      </c>
      <c r="C16" s="4">
        <v>6445</v>
      </c>
      <c r="D16" s="4">
        <v>2941</v>
      </c>
      <c r="E16" s="4">
        <v>3504</v>
      </c>
    </row>
    <row r="17" spans="1:5" ht="21.95" customHeight="1" x14ac:dyDescent="0.25">
      <c r="A17" s="4">
        <v>9</v>
      </c>
      <c r="B17" s="4" t="s">
        <v>180</v>
      </c>
      <c r="C17" s="4">
        <v>15278</v>
      </c>
      <c r="D17" s="4">
        <v>7379</v>
      </c>
      <c r="E17" s="4">
        <v>7899</v>
      </c>
    </row>
    <row r="18" spans="1:5" ht="21.95" customHeight="1" x14ac:dyDescent="0.25">
      <c r="A18" s="4">
        <v>10</v>
      </c>
      <c r="B18" s="4" t="s">
        <v>181</v>
      </c>
      <c r="C18" s="4">
        <v>18430</v>
      </c>
      <c r="D18" s="4">
        <v>9077</v>
      </c>
      <c r="E18" s="4">
        <v>9353</v>
      </c>
    </row>
    <row r="19" spans="1:5" ht="21.95" customHeight="1" x14ac:dyDescent="0.25">
      <c r="A19" s="4">
        <v>11</v>
      </c>
      <c r="B19" s="4" t="s">
        <v>182</v>
      </c>
      <c r="C19" s="4">
        <v>15910</v>
      </c>
      <c r="D19" s="4">
        <v>7543</v>
      </c>
      <c r="E19" s="4">
        <v>8367</v>
      </c>
    </row>
    <row r="20" spans="1:5" ht="21.95" customHeight="1" x14ac:dyDescent="0.25">
      <c r="A20" s="4">
        <v>12</v>
      </c>
      <c r="B20" s="4" t="s">
        <v>183</v>
      </c>
      <c r="C20" s="4">
        <v>40882</v>
      </c>
      <c r="D20" s="4">
        <v>19887</v>
      </c>
      <c r="E20" s="4">
        <v>20995</v>
      </c>
    </row>
    <row r="21" spans="1:5" ht="21.95" customHeight="1" x14ac:dyDescent="0.25">
      <c r="A21" s="4"/>
      <c r="B21" s="9" t="s">
        <v>346</v>
      </c>
      <c r="C21" s="9">
        <f>SUM(C22:C43)</f>
        <v>169348</v>
      </c>
      <c r="D21" s="9">
        <f t="shared" ref="D21:E21" si="1">SUM(D22:D43)</f>
        <v>84536</v>
      </c>
      <c r="E21" s="9">
        <f t="shared" si="1"/>
        <v>84812</v>
      </c>
    </row>
    <row r="22" spans="1:5" ht="21.95" customHeight="1" x14ac:dyDescent="0.25">
      <c r="A22" s="4">
        <v>1</v>
      </c>
      <c r="B22" s="4" t="s">
        <v>184</v>
      </c>
      <c r="C22" s="4">
        <v>41721</v>
      </c>
      <c r="D22" s="4">
        <v>21186</v>
      </c>
      <c r="E22" s="4">
        <v>20535</v>
      </c>
    </row>
    <row r="23" spans="1:5" ht="21.95" customHeight="1" x14ac:dyDescent="0.25">
      <c r="A23" s="4">
        <v>2</v>
      </c>
      <c r="B23" s="4" t="s">
        <v>185</v>
      </c>
      <c r="C23" s="4">
        <v>23356</v>
      </c>
      <c r="D23" s="4">
        <v>11240</v>
      </c>
      <c r="E23" s="4">
        <v>12116</v>
      </c>
    </row>
    <row r="24" spans="1:5" ht="21.95" customHeight="1" x14ac:dyDescent="0.25">
      <c r="A24" s="4">
        <v>3</v>
      </c>
      <c r="B24" s="4" t="s">
        <v>186</v>
      </c>
      <c r="C24" s="4">
        <v>8068</v>
      </c>
      <c r="D24" s="4">
        <v>3950</v>
      </c>
      <c r="E24" s="4">
        <v>4118</v>
      </c>
    </row>
    <row r="25" spans="1:5" ht="21.95" customHeight="1" x14ac:dyDescent="0.25">
      <c r="A25" s="4">
        <v>4</v>
      </c>
      <c r="B25" s="4" t="s">
        <v>187</v>
      </c>
      <c r="C25" s="4">
        <v>24963</v>
      </c>
      <c r="D25" s="4">
        <v>12762</v>
      </c>
      <c r="E25" s="4">
        <v>12201</v>
      </c>
    </row>
    <row r="26" spans="1:5" ht="21.95" customHeight="1" x14ac:dyDescent="0.25">
      <c r="A26" s="4">
        <v>5</v>
      </c>
      <c r="B26" s="4" t="s">
        <v>188</v>
      </c>
      <c r="C26" s="4">
        <v>2349</v>
      </c>
      <c r="D26" s="4">
        <v>1205</v>
      </c>
      <c r="E26" s="4">
        <v>1144</v>
      </c>
    </row>
    <row r="27" spans="1:5" ht="21.95" customHeight="1" x14ac:dyDescent="0.25">
      <c r="A27" s="4">
        <v>6</v>
      </c>
      <c r="B27" s="4" t="s">
        <v>189</v>
      </c>
      <c r="C27" s="4">
        <v>2598</v>
      </c>
      <c r="D27" s="4">
        <v>1308</v>
      </c>
      <c r="E27" s="4">
        <v>1290</v>
      </c>
    </row>
    <row r="28" spans="1:5" ht="21.95" customHeight="1" x14ac:dyDescent="0.25">
      <c r="A28" s="4">
        <v>7</v>
      </c>
      <c r="B28" s="4" t="s">
        <v>190</v>
      </c>
      <c r="C28" s="4">
        <v>836</v>
      </c>
      <c r="D28" s="4">
        <v>412</v>
      </c>
      <c r="E28" s="4">
        <v>424</v>
      </c>
    </row>
    <row r="29" spans="1:5" ht="21.95" customHeight="1" x14ac:dyDescent="0.25">
      <c r="A29" s="4">
        <v>8</v>
      </c>
      <c r="B29" s="4" t="s">
        <v>191</v>
      </c>
      <c r="C29" s="4">
        <v>1579</v>
      </c>
      <c r="D29" s="4">
        <v>780</v>
      </c>
      <c r="E29" s="4">
        <v>799</v>
      </c>
    </row>
    <row r="30" spans="1:5" ht="21.95" customHeight="1" x14ac:dyDescent="0.25">
      <c r="A30" s="4">
        <v>9</v>
      </c>
      <c r="B30" s="4" t="s">
        <v>192</v>
      </c>
      <c r="C30" s="4">
        <v>4436</v>
      </c>
      <c r="D30" s="4">
        <v>2175</v>
      </c>
      <c r="E30" s="4">
        <v>2261</v>
      </c>
    </row>
    <row r="31" spans="1:5" ht="21.95" customHeight="1" x14ac:dyDescent="0.25">
      <c r="A31" s="4">
        <v>10</v>
      </c>
      <c r="B31" s="4" t="s">
        <v>193</v>
      </c>
      <c r="C31" s="4">
        <v>8382</v>
      </c>
      <c r="D31" s="4">
        <v>4199</v>
      </c>
      <c r="E31" s="4">
        <v>4183</v>
      </c>
    </row>
    <row r="32" spans="1:5" ht="21.95" customHeight="1" x14ac:dyDescent="0.25">
      <c r="A32" s="4">
        <v>11</v>
      </c>
      <c r="B32" s="4" t="s">
        <v>194</v>
      </c>
      <c r="C32" s="4">
        <v>6021</v>
      </c>
      <c r="D32" s="4">
        <v>2995</v>
      </c>
      <c r="E32" s="4">
        <v>3026</v>
      </c>
    </row>
    <row r="33" spans="1:5" ht="21.95" customHeight="1" x14ac:dyDescent="0.25">
      <c r="A33" s="4">
        <v>12</v>
      </c>
      <c r="B33" s="4" t="s">
        <v>195</v>
      </c>
      <c r="C33" s="4">
        <v>2914</v>
      </c>
      <c r="D33" s="4">
        <v>1419</v>
      </c>
      <c r="E33" s="4">
        <v>1495</v>
      </c>
    </row>
    <row r="34" spans="1:5" ht="21.95" customHeight="1" x14ac:dyDescent="0.25">
      <c r="A34" s="4">
        <v>13</v>
      </c>
      <c r="B34" s="4" t="s">
        <v>196</v>
      </c>
      <c r="C34" s="4">
        <v>6390</v>
      </c>
      <c r="D34" s="4">
        <v>3211</v>
      </c>
      <c r="E34" s="4">
        <v>3179</v>
      </c>
    </row>
    <row r="35" spans="1:5" ht="21.95" customHeight="1" x14ac:dyDescent="0.25">
      <c r="A35" s="4">
        <v>14</v>
      </c>
      <c r="B35" s="4" t="s">
        <v>197</v>
      </c>
      <c r="C35" s="4">
        <v>2870</v>
      </c>
      <c r="D35" s="4">
        <v>1501</v>
      </c>
      <c r="E35" s="4">
        <v>1369</v>
      </c>
    </row>
    <row r="36" spans="1:5" ht="21.95" customHeight="1" x14ac:dyDescent="0.25">
      <c r="A36" s="4">
        <v>15</v>
      </c>
      <c r="B36" s="4" t="s">
        <v>198</v>
      </c>
      <c r="C36" s="4">
        <v>3001</v>
      </c>
      <c r="D36" s="4">
        <v>1574</v>
      </c>
      <c r="E36" s="4">
        <v>1427</v>
      </c>
    </row>
    <row r="37" spans="1:5" ht="21.95" customHeight="1" x14ac:dyDescent="0.25">
      <c r="A37" s="4">
        <v>16</v>
      </c>
      <c r="B37" s="4" t="s">
        <v>199</v>
      </c>
      <c r="C37" s="4">
        <v>3373</v>
      </c>
      <c r="D37" s="4">
        <v>1618</v>
      </c>
      <c r="E37" s="4">
        <v>1755</v>
      </c>
    </row>
    <row r="38" spans="1:5" ht="21.95" customHeight="1" x14ac:dyDescent="0.25">
      <c r="A38" s="4">
        <v>17</v>
      </c>
      <c r="B38" s="4" t="s">
        <v>200</v>
      </c>
      <c r="C38" s="4">
        <v>4206</v>
      </c>
      <c r="D38" s="4">
        <v>2027</v>
      </c>
      <c r="E38" s="4">
        <v>2179</v>
      </c>
    </row>
    <row r="39" spans="1:5" ht="21.95" customHeight="1" x14ac:dyDescent="0.25">
      <c r="A39" s="4">
        <v>18</v>
      </c>
      <c r="B39" s="4" t="s">
        <v>201</v>
      </c>
      <c r="C39" s="4">
        <v>4532</v>
      </c>
      <c r="D39" s="4">
        <v>2116</v>
      </c>
      <c r="E39" s="4">
        <v>2416</v>
      </c>
    </row>
    <row r="40" spans="1:5" ht="21.95" customHeight="1" x14ac:dyDescent="0.25">
      <c r="A40" s="4">
        <v>19</v>
      </c>
      <c r="B40" s="4" t="s">
        <v>202</v>
      </c>
      <c r="C40" s="4">
        <v>4650</v>
      </c>
      <c r="D40" s="4">
        <v>2313</v>
      </c>
      <c r="E40" s="4">
        <v>2337</v>
      </c>
    </row>
    <row r="41" spans="1:5" ht="21.95" customHeight="1" x14ac:dyDescent="0.25">
      <c r="A41" s="4">
        <v>20</v>
      </c>
      <c r="B41" s="4" t="s">
        <v>203</v>
      </c>
      <c r="C41" s="4">
        <v>2545</v>
      </c>
      <c r="D41" s="4">
        <v>1255</v>
      </c>
      <c r="E41" s="4">
        <v>1290</v>
      </c>
    </row>
    <row r="42" spans="1:5" ht="21.95" customHeight="1" x14ac:dyDescent="0.25">
      <c r="A42" s="4">
        <v>21</v>
      </c>
      <c r="B42" s="4" t="s">
        <v>204</v>
      </c>
      <c r="C42" s="4">
        <v>4257</v>
      </c>
      <c r="D42" s="4">
        <v>2112</v>
      </c>
      <c r="E42" s="4">
        <v>2145</v>
      </c>
    </row>
    <row r="43" spans="1:5" ht="21.95" customHeight="1" x14ac:dyDescent="0.25">
      <c r="A43" s="5">
        <v>22</v>
      </c>
      <c r="B43" s="5" t="s">
        <v>205</v>
      </c>
      <c r="C43" s="5">
        <v>6301</v>
      </c>
      <c r="D43" s="5">
        <v>3178</v>
      </c>
      <c r="E43" s="5">
        <v>3123</v>
      </c>
    </row>
  </sheetData>
  <mergeCells count="4">
    <mergeCell ref="A4:A5"/>
    <mergeCell ref="B4:B5"/>
    <mergeCell ref="C4:E4"/>
    <mergeCell ref="A1:E1"/>
  </mergeCells>
  <hyperlinks>
    <hyperlink ref="A1:E1" location="'List of twonship'!A1" display="Tanintharyi Region, Myeik District, Myeik Township"/>
  </hyperlinks>
  <pageMargins left="0.75" right="0.5" top="0.5" bottom="0.2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workbookViewId="0">
      <selection sqref="A1:E1"/>
    </sheetView>
  </sheetViews>
  <sheetFormatPr defaultRowHeight="15" x14ac:dyDescent="0.25"/>
  <cols>
    <col min="1" max="1" width="7.7109375" customWidth="1"/>
    <col min="2" max="2" width="25.7109375" customWidth="1"/>
    <col min="3" max="5" width="15.7109375" customWidth="1"/>
    <col min="7" max="7" width="25.42578125" customWidth="1"/>
    <col min="8" max="8" width="10.85546875" customWidth="1"/>
    <col min="9" max="9" width="11" customWidth="1"/>
    <col min="10" max="10" width="11.42578125" customWidth="1"/>
  </cols>
  <sheetData>
    <row r="1" spans="1:5" ht="21" customHeight="1" x14ac:dyDescent="0.25">
      <c r="A1" s="32" t="s">
        <v>331</v>
      </c>
      <c r="B1" s="32"/>
      <c r="C1" s="32"/>
      <c r="D1" s="32"/>
      <c r="E1" s="32"/>
    </row>
    <row r="2" spans="1:5" ht="21" customHeight="1" x14ac:dyDescent="0.25">
      <c r="E2" s="23" t="s">
        <v>329</v>
      </c>
    </row>
    <row r="3" spans="1:5" ht="21" customHeight="1" x14ac:dyDescent="0.25"/>
    <row r="4" spans="1:5" ht="15.75" x14ac:dyDescent="0.25">
      <c r="A4" s="30" t="s">
        <v>328</v>
      </c>
      <c r="B4" s="30" t="s">
        <v>347</v>
      </c>
      <c r="C4" s="36" t="s">
        <v>327</v>
      </c>
      <c r="D4" s="37"/>
      <c r="E4" s="38"/>
    </row>
    <row r="5" spans="1:5" ht="15.75" x14ac:dyDescent="0.25">
      <c r="A5" s="31"/>
      <c r="B5" s="31"/>
      <c r="C5" s="7" t="s">
        <v>0</v>
      </c>
      <c r="D5" s="7" t="s">
        <v>1</v>
      </c>
      <c r="E5" s="7" t="s">
        <v>2</v>
      </c>
    </row>
    <row r="6" spans="1:5" ht="21.95" customHeight="1" x14ac:dyDescent="0.25">
      <c r="A6" s="12"/>
      <c r="B6" s="17" t="s">
        <v>0</v>
      </c>
      <c r="C6" s="13">
        <v>171753</v>
      </c>
      <c r="D6" s="13">
        <v>87777</v>
      </c>
      <c r="E6" s="13">
        <v>83976</v>
      </c>
    </row>
    <row r="7" spans="1:5" ht="9.75" customHeight="1" x14ac:dyDescent="0.25">
      <c r="A7" s="4"/>
      <c r="B7" s="4"/>
      <c r="C7" s="4"/>
      <c r="D7" s="4"/>
      <c r="E7" s="4"/>
    </row>
    <row r="8" spans="1:5" ht="21.95" customHeight="1" x14ac:dyDescent="0.25">
      <c r="A8" s="4"/>
      <c r="B8" s="9" t="s">
        <v>326</v>
      </c>
      <c r="C8" s="9">
        <f>SUM(C9:C12)</f>
        <v>5548</v>
      </c>
      <c r="D8" s="9">
        <f t="shared" ref="D8:E8" si="0">SUM(D9:D12)</f>
        <v>3054</v>
      </c>
      <c r="E8" s="9">
        <f t="shared" si="0"/>
        <v>2494</v>
      </c>
    </row>
    <row r="9" spans="1:5" ht="21.95" customHeight="1" x14ac:dyDescent="0.25">
      <c r="A9" s="4">
        <v>1</v>
      </c>
      <c r="B9" s="4" t="s">
        <v>154</v>
      </c>
      <c r="C9" s="4">
        <v>3004</v>
      </c>
      <c r="D9" s="4">
        <v>1801</v>
      </c>
      <c r="E9" s="4">
        <v>1203</v>
      </c>
    </row>
    <row r="10" spans="1:5" ht="21.95" customHeight="1" x14ac:dyDescent="0.25">
      <c r="A10" s="4">
        <v>2</v>
      </c>
      <c r="B10" s="4" t="s">
        <v>155</v>
      </c>
      <c r="C10" s="4">
        <v>596</v>
      </c>
      <c r="D10" s="4">
        <v>307</v>
      </c>
      <c r="E10" s="4">
        <v>289</v>
      </c>
    </row>
    <row r="11" spans="1:5" ht="21.95" customHeight="1" x14ac:dyDescent="0.25">
      <c r="A11" s="4">
        <v>3</v>
      </c>
      <c r="B11" s="4" t="s">
        <v>156</v>
      </c>
      <c r="C11" s="4">
        <v>1391</v>
      </c>
      <c r="D11" s="4">
        <v>679</v>
      </c>
      <c r="E11" s="4">
        <v>712</v>
      </c>
    </row>
    <row r="12" spans="1:5" ht="21.95" customHeight="1" x14ac:dyDescent="0.25">
      <c r="A12" s="4">
        <v>4</v>
      </c>
      <c r="B12" s="4" t="s">
        <v>164</v>
      </c>
      <c r="C12" s="4">
        <v>557</v>
      </c>
      <c r="D12" s="4">
        <v>267</v>
      </c>
      <c r="E12" s="4">
        <v>290</v>
      </c>
    </row>
    <row r="13" spans="1:5" ht="21.95" customHeight="1" x14ac:dyDescent="0.25">
      <c r="A13" s="4"/>
      <c r="B13" s="9" t="s">
        <v>346</v>
      </c>
      <c r="C13" s="9">
        <f>SUM(C14:C33)</f>
        <v>166205</v>
      </c>
      <c r="D13" s="9">
        <f t="shared" ref="D13:E13" si="1">SUM(D14:D33)</f>
        <v>84723</v>
      </c>
      <c r="E13" s="9">
        <f t="shared" si="1"/>
        <v>81482</v>
      </c>
    </row>
    <row r="14" spans="1:5" ht="21.95" customHeight="1" x14ac:dyDescent="0.25">
      <c r="A14" s="4">
        <v>1</v>
      </c>
      <c r="B14" s="4" t="s">
        <v>206</v>
      </c>
      <c r="C14" s="4">
        <v>9875</v>
      </c>
      <c r="D14" s="4">
        <v>5019</v>
      </c>
      <c r="E14" s="4">
        <v>4856</v>
      </c>
    </row>
    <row r="15" spans="1:5" ht="21.95" customHeight="1" x14ac:dyDescent="0.25">
      <c r="A15" s="4">
        <v>2</v>
      </c>
      <c r="B15" s="4" t="s">
        <v>207</v>
      </c>
      <c r="C15" s="4">
        <v>12052</v>
      </c>
      <c r="D15" s="4">
        <v>6262</v>
      </c>
      <c r="E15" s="4">
        <v>5790</v>
      </c>
    </row>
    <row r="16" spans="1:5" ht="21.95" customHeight="1" x14ac:dyDescent="0.25">
      <c r="A16" s="4">
        <v>3</v>
      </c>
      <c r="B16" s="4" t="s">
        <v>208</v>
      </c>
      <c r="C16" s="4">
        <v>8066</v>
      </c>
      <c r="D16" s="4">
        <v>4176</v>
      </c>
      <c r="E16" s="4">
        <v>3890</v>
      </c>
    </row>
    <row r="17" spans="1:5" ht="21.95" customHeight="1" x14ac:dyDescent="0.25">
      <c r="A17" s="4">
        <v>4</v>
      </c>
      <c r="B17" s="4" t="s">
        <v>209</v>
      </c>
      <c r="C17" s="4">
        <v>8804</v>
      </c>
      <c r="D17" s="4">
        <v>4531</v>
      </c>
      <c r="E17" s="4">
        <v>4273</v>
      </c>
    </row>
    <row r="18" spans="1:5" ht="21.95" customHeight="1" x14ac:dyDescent="0.25">
      <c r="A18" s="4">
        <v>5</v>
      </c>
      <c r="B18" s="4" t="s">
        <v>210</v>
      </c>
      <c r="C18" s="4">
        <v>2929</v>
      </c>
      <c r="D18" s="4">
        <v>1487</v>
      </c>
      <c r="E18" s="4">
        <v>1442</v>
      </c>
    </row>
    <row r="19" spans="1:5" ht="21.95" customHeight="1" x14ac:dyDescent="0.25">
      <c r="A19" s="4">
        <v>6</v>
      </c>
      <c r="B19" s="4" t="s">
        <v>211</v>
      </c>
      <c r="C19" s="4">
        <v>9192</v>
      </c>
      <c r="D19" s="4">
        <v>4724</v>
      </c>
      <c r="E19" s="4">
        <v>4468</v>
      </c>
    </row>
    <row r="20" spans="1:5" ht="21.95" customHeight="1" x14ac:dyDescent="0.25">
      <c r="A20" s="4">
        <v>7</v>
      </c>
      <c r="B20" s="4" t="s">
        <v>212</v>
      </c>
      <c r="C20" s="4">
        <v>12050</v>
      </c>
      <c r="D20" s="4">
        <v>6032</v>
      </c>
      <c r="E20" s="4">
        <v>6018</v>
      </c>
    </row>
    <row r="21" spans="1:5" ht="21.95" customHeight="1" x14ac:dyDescent="0.25">
      <c r="A21" s="4">
        <v>8</v>
      </c>
      <c r="B21" s="4" t="s">
        <v>213</v>
      </c>
      <c r="C21" s="4">
        <v>6493</v>
      </c>
      <c r="D21" s="4">
        <v>3394</v>
      </c>
      <c r="E21" s="4">
        <v>3099</v>
      </c>
    </row>
    <row r="22" spans="1:5" ht="21.95" customHeight="1" x14ac:dyDescent="0.25">
      <c r="A22" s="4">
        <v>9</v>
      </c>
      <c r="B22" s="4" t="s">
        <v>214</v>
      </c>
      <c r="C22" s="4">
        <v>16766</v>
      </c>
      <c r="D22" s="4">
        <v>8637</v>
      </c>
      <c r="E22" s="4">
        <v>8129</v>
      </c>
    </row>
    <row r="23" spans="1:5" ht="21.95" customHeight="1" x14ac:dyDescent="0.25">
      <c r="A23" s="4">
        <v>10</v>
      </c>
      <c r="B23" s="4" t="s">
        <v>215</v>
      </c>
      <c r="C23" s="4">
        <v>18087</v>
      </c>
      <c r="D23" s="4">
        <v>9343</v>
      </c>
      <c r="E23" s="4">
        <v>8744</v>
      </c>
    </row>
    <row r="24" spans="1:5" ht="21.95" customHeight="1" x14ac:dyDescent="0.25">
      <c r="A24" s="4">
        <v>11</v>
      </c>
      <c r="B24" s="4" t="s">
        <v>216</v>
      </c>
      <c r="C24" s="4">
        <v>4176</v>
      </c>
      <c r="D24" s="4">
        <v>2029</v>
      </c>
      <c r="E24" s="4">
        <v>2147</v>
      </c>
    </row>
    <row r="25" spans="1:5" ht="21.95" customHeight="1" x14ac:dyDescent="0.25">
      <c r="A25" s="4">
        <v>12</v>
      </c>
      <c r="B25" s="4" t="s">
        <v>217</v>
      </c>
      <c r="C25" s="4">
        <v>2919</v>
      </c>
      <c r="D25" s="4">
        <v>1440</v>
      </c>
      <c r="E25" s="4">
        <v>1479</v>
      </c>
    </row>
    <row r="26" spans="1:5" ht="21.95" customHeight="1" x14ac:dyDescent="0.25">
      <c r="A26" s="4">
        <v>13</v>
      </c>
      <c r="B26" s="4" t="s">
        <v>218</v>
      </c>
      <c r="C26" s="4">
        <v>3676</v>
      </c>
      <c r="D26" s="4">
        <v>1681</v>
      </c>
      <c r="E26" s="4">
        <v>1995</v>
      </c>
    </row>
    <row r="27" spans="1:5" ht="21.95" customHeight="1" x14ac:dyDescent="0.25">
      <c r="A27" s="4">
        <v>14</v>
      </c>
      <c r="B27" s="4" t="s">
        <v>219</v>
      </c>
      <c r="C27" s="4">
        <v>3047</v>
      </c>
      <c r="D27" s="4">
        <v>1504</v>
      </c>
      <c r="E27" s="4">
        <v>1543</v>
      </c>
    </row>
    <row r="28" spans="1:5" ht="21.95" customHeight="1" x14ac:dyDescent="0.25">
      <c r="A28" s="4">
        <v>15</v>
      </c>
      <c r="B28" s="4" t="s">
        <v>220</v>
      </c>
      <c r="C28" s="4">
        <v>10126</v>
      </c>
      <c r="D28" s="4">
        <v>5218</v>
      </c>
      <c r="E28" s="4">
        <v>4908</v>
      </c>
    </row>
    <row r="29" spans="1:5" ht="21.95" customHeight="1" x14ac:dyDescent="0.25">
      <c r="A29" s="4">
        <v>16</v>
      </c>
      <c r="B29" s="4" t="s">
        <v>221</v>
      </c>
      <c r="C29" s="4">
        <v>3194</v>
      </c>
      <c r="D29" s="4">
        <v>1529</v>
      </c>
      <c r="E29" s="4">
        <v>1665</v>
      </c>
    </row>
    <row r="30" spans="1:5" ht="21.95" customHeight="1" x14ac:dyDescent="0.25">
      <c r="A30" s="4">
        <v>17</v>
      </c>
      <c r="B30" s="4" t="s">
        <v>222</v>
      </c>
      <c r="C30" s="4">
        <v>2048</v>
      </c>
      <c r="D30" s="4">
        <v>1041</v>
      </c>
      <c r="E30" s="4">
        <v>1007</v>
      </c>
    </row>
    <row r="31" spans="1:5" ht="21.95" customHeight="1" x14ac:dyDescent="0.25">
      <c r="A31" s="4">
        <v>18</v>
      </c>
      <c r="B31" s="4" t="s">
        <v>223</v>
      </c>
      <c r="C31" s="4">
        <v>14978</v>
      </c>
      <c r="D31" s="4">
        <v>7714</v>
      </c>
      <c r="E31" s="4">
        <v>7264</v>
      </c>
    </row>
    <row r="32" spans="1:5" ht="21.95" customHeight="1" x14ac:dyDescent="0.25">
      <c r="A32" s="4">
        <v>19</v>
      </c>
      <c r="B32" s="4" t="s">
        <v>224</v>
      </c>
      <c r="C32" s="4">
        <v>10634</v>
      </c>
      <c r="D32" s="4">
        <v>5440</v>
      </c>
      <c r="E32" s="4">
        <v>5194</v>
      </c>
    </row>
    <row r="33" spans="1:5" ht="21.95" customHeight="1" x14ac:dyDescent="0.25">
      <c r="A33" s="5">
        <v>20</v>
      </c>
      <c r="B33" s="5" t="s">
        <v>225</v>
      </c>
      <c r="C33" s="5">
        <v>7093</v>
      </c>
      <c r="D33" s="5">
        <v>3522</v>
      </c>
      <c r="E33" s="5">
        <v>3571</v>
      </c>
    </row>
  </sheetData>
  <mergeCells count="4">
    <mergeCell ref="A4:A5"/>
    <mergeCell ref="B4:B5"/>
    <mergeCell ref="C4:E4"/>
    <mergeCell ref="A1:E1"/>
  </mergeCells>
  <hyperlinks>
    <hyperlink ref="A1:E1" location="'List of twonship'!A1" display="Tanintharyi Region, Myeik District, Kyunsu Township"/>
  </hyperlinks>
  <pageMargins left="0.75" right="0.5" top="0.5" bottom="0.2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workbookViewId="0">
      <selection sqref="A1:E1"/>
    </sheetView>
  </sheetViews>
  <sheetFormatPr defaultRowHeight="15" x14ac:dyDescent="0.25"/>
  <cols>
    <col min="1" max="1" width="6.28515625" customWidth="1"/>
    <col min="2" max="2" width="28.85546875" customWidth="1"/>
    <col min="3" max="5" width="15.7109375" customWidth="1"/>
    <col min="7" max="7" width="27" customWidth="1"/>
    <col min="8" max="8" width="10.42578125" customWidth="1"/>
  </cols>
  <sheetData>
    <row r="1" spans="1:5" ht="21" customHeight="1" x14ac:dyDescent="0.25">
      <c r="A1" s="32" t="s">
        <v>332</v>
      </c>
      <c r="B1" s="32"/>
      <c r="C1" s="32"/>
      <c r="D1" s="32"/>
      <c r="E1" s="32"/>
    </row>
    <row r="2" spans="1:5" ht="21" customHeight="1" x14ac:dyDescent="0.25">
      <c r="E2" s="23" t="s">
        <v>329</v>
      </c>
    </row>
    <row r="3" spans="1:5" ht="21" customHeight="1" x14ac:dyDescent="0.25"/>
    <row r="4" spans="1:5" ht="15.75" x14ac:dyDescent="0.25">
      <c r="A4" s="30" t="s">
        <v>328</v>
      </c>
      <c r="B4" s="30" t="s">
        <v>347</v>
      </c>
      <c r="C4" s="36" t="s">
        <v>327</v>
      </c>
      <c r="D4" s="37"/>
      <c r="E4" s="38"/>
    </row>
    <row r="5" spans="1:5" ht="15.75" x14ac:dyDescent="0.25">
      <c r="A5" s="31"/>
      <c r="B5" s="31"/>
      <c r="C5" s="7" t="s">
        <v>0</v>
      </c>
      <c r="D5" s="7" t="s">
        <v>1</v>
      </c>
      <c r="E5" s="7" t="s">
        <v>2</v>
      </c>
    </row>
    <row r="6" spans="1:5" ht="21.95" customHeight="1" x14ac:dyDescent="0.25">
      <c r="A6" s="12"/>
      <c r="B6" s="17" t="s">
        <v>0</v>
      </c>
      <c r="C6" s="13">
        <v>93438</v>
      </c>
      <c r="D6" s="13">
        <v>45366</v>
      </c>
      <c r="E6" s="13">
        <v>48072</v>
      </c>
    </row>
    <row r="7" spans="1:5" ht="21.95" customHeight="1" x14ac:dyDescent="0.25">
      <c r="A7" s="4"/>
      <c r="B7" s="4"/>
      <c r="C7" s="4"/>
      <c r="D7" s="4"/>
      <c r="E7" s="4"/>
    </row>
    <row r="8" spans="1:5" ht="21.95" customHeight="1" x14ac:dyDescent="0.25">
      <c r="A8" s="4"/>
      <c r="B8" s="9" t="s">
        <v>326</v>
      </c>
      <c r="C8" s="9">
        <f>SUM(C9:C13)</f>
        <v>18936</v>
      </c>
      <c r="D8" s="9">
        <f t="shared" ref="D8:E8" si="0">SUM(D9:D13)</f>
        <v>9206</v>
      </c>
      <c r="E8" s="9">
        <f t="shared" si="0"/>
        <v>9730</v>
      </c>
    </row>
    <row r="9" spans="1:5" ht="21.95" customHeight="1" x14ac:dyDescent="0.25">
      <c r="A9" s="4">
        <v>1</v>
      </c>
      <c r="B9" s="4" t="s">
        <v>154</v>
      </c>
      <c r="C9" s="4">
        <v>6424</v>
      </c>
      <c r="D9" s="4">
        <v>3192</v>
      </c>
      <c r="E9" s="4">
        <v>3232</v>
      </c>
    </row>
    <row r="10" spans="1:5" ht="21.95" customHeight="1" x14ac:dyDescent="0.25">
      <c r="A10" s="4">
        <v>2</v>
      </c>
      <c r="B10" s="4" t="s">
        <v>155</v>
      </c>
      <c r="C10" s="4">
        <v>6462</v>
      </c>
      <c r="D10" s="4">
        <v>3149</v>
      </c>
      <c r="E10" s="4">
        <v>3313</v>
      </c>
    </row>
    <row r="11" spans="1:5" ht="21.95" customHeight="1" x14ac:dyDescent="0.25">
      <c r="A11" s="4">
        <v>3</v>
      </c>
      <c r="B11" s="4" t="s">
        <v>156</v>
      </c>
      <c r="C11" s="4">
        <v>2142</v>
      </c>
      <c r="D11" s="4">
        <v>969</v>
      </c>
      <c r="E11" s="4">
        <v>1173</v>
      </c>
    </row>
    <row r="12" spans="1:5" ht="21.95" customHeight="1" x14ac:dyDescent="0.25">
      <c r="A12" s="4">
        <v>4</v>
      </c>
      <c r="B12" s="4" t="s">
        <v>164</v>
      </c>
      <c r="C12" s="4">
        <v>2510</v>
      </c>
      <c r="D12" s="4">
        <v>1187</v>
      </c>
      <c r="E12" s="4">
        <v>1323</v>
      </c>
    </row>
    <row r="13" spans="1:5" ht="21.95" customHeight="1" x14ac:dyDescent="0.25">
      <c r="A13" s="4">
        <v>5</v>
      </c>
      <c r="B13" s="4" t="s">
        <v>226</v>
      </c>
      <c r="C13" s="4">
        <v>1398</v>
      </c>
      <c r="D13" s="4">
        <v>709</v>
      </c>
      <c r="E13" s="4">
        <v>689</v>
      </c>
    </row>
    <row r="14" spans="1:5" ht="21.95" customHeight="1" x14ac:dyDescent="0.25">
      <c r="A14" s="4"/>
      <c r="B14" s="9" t="s">
        <v>346</v>
      </c>
      <c r="C14" s="9">
        <f>SUM(C15:C34)</f>
        <v>74502</v>
      </c>
      <c r="D14" s="9">
        <f t="shared" ref="D14:E14" si="1">SUM(D15:D34)</f>
        <v>36160</v>
      </c>
      <c r="E14" s="9">
        <f t="shared" si="1"/>
        <v>38342</v>
      </c>
    </row>
    <row r="15" spans="1:5" ht="21.95" customHeight="1" x14ac:dyDescent="0.25">
      <c r="A15" s="4">
        <v>1</v>
      </c>
      <c r="B15" s="4" t="s">
        <v>227</v>
      </c>
      <c r="C15" s="4">
        <v>807</v>
      </c>
      <c r="D15" s="4">
        <v>397</v>
      </c>
      <c r="E15" s="4">
        <v>410</v>
      </c>
    </row>
    <row r="16" spans="1:5" ht="21.95" customHeight="1" x14ac:dyDescent="0.25">
      <c r="A16" s="4">
        <v>2</v>
      </c>
      <c r="B16" s="4" t="s">
        <v>228</v>
      </c>
      <c r="C16" s="4">
        <v>3209</v>
      </c>
      <c r="D16" s="4">
        <v>1544</v>
      </c>
      <c r="E16" s="4">
        <v>1665</v>
      </c>
    </row>
    <row r="17" spans="1:5" ht="21.95" customHeight="1" x14ac:dyDescent="0.25">
      <c r="A17" s="4">
        <v>3</v>
      </c>
      <c r="B17" s="4" t="s">
        <v>229</v>
      </c>
      <c r="C17" s="4">
        <v>4151</v>
      </c>
      <c r="D17" s="4">
        <v>2020</v>
      </c>
      <c r="E17" s="4">
        <v>2131</v>
      </c>
    </row>
    <row r="18" spans="1:5" ht="21.95" customHeight="1" x14ac:dyDescent="0.25">
      <c r="A18" s="4">
        <v>4</v>
      </c>
      <c r="B18" s="4" t="s">
        <v>230</v>
      </c>
      <c r="C18" s="4">
        <v>5129</v>
      </c>
      <c r="D18" s="4">
        <v>2454</v>
      </c>
      <c r="E18" s="4">
        <v>2675</v>
      </c>
    </row>
    <row r="19" spans="1:5" ht="21.95" customHeight="1" x14ac:dyDescent="0.25">
      <c r="A19" s="4">
        <v>5</v>
      </c>
      <c r="B19" s="4" t="s">
        <v>231</v>
      </c>
      <c r="C19" s="4">
        <v>6365</v>
      </c>
      <c r="D19" s="4">
        <v>3122</v>
      </c>
      <c r="E19" s="4">
        <v>3243</v>
      </c>
    </row>
    <row r="20" spans="1:5" ht="21.95" customHeight="1" x14ac:dyDescent="0.25">
      <c r="A20" s="4">
        <v>6</v>
      </c>
      <c r="B20" s="4" t="s">
        <v>232</v>
      </c>
      <c r="C20" s="4">
        <v>3486</v>
      </c>
      <c r="D20" s="4">
        <v>1673</v>
      </c>
      <c r="E20" s="4">
        <v>1813</v>
      </c>
    </row>
    <row r="21" spans="1:5" ht="21.95" customHeight="1" x14ac:dyDescent="0.25">
      <c r="A21" s="4">
        <v>7</v>
      </c>
      <c r="B21" s="4" t="s">
        <v>233</v>
      </c>
      <c r="C21" s="4">
        <v>4666</v>
      </c>
      <c r="D21" s="4">
        <v>2272</v>
      </c>
      <c r="E21" s="4">
        <v>2394</v>
      </c>
    </row>
    <row r="22" spans="1:5" ht="21.95" customHeight="1" x14ac:dyDescent="0.25">
      <c r="A22" s="4">
        <v>8</v>
      </c>
      <c r="B22" s="4" t="s">
        <v>234</v>
      </c>
      <c r="C22" s="4">
        <v>1924</v>
      </c>
      <c r="D22" s="4">
        <v>913</v>
      </c>
      <c r="E22" s="4">
        <v>1011</v>
      </c>
    </row>
    <row r="23" spans="1:5" ht="21.95" customHeight="1" x14ac:dyDescent="0.25">
      <c r="A23" s="4">
        <v>9</v>
      </c>
      <c r="B23" s="4" t="s">
        <v>235</v>
      </c>
      <c r="C23" s="4">
        <v>4747</v>
      </c>
      <c r="D23" s="4">
        <v>2263</v>
      </c>
      <c r="E23" s="4">
        <v>2484</v>
      </c>
    </row>
    <row r="24" spans="1:5" ht="21.95" customHeight="1" x14ac:dyDescent="0.25">
      <c r="A24" s="4">
        <v>10</v>
      </c>
      <c r="B24" s="4" t="s">
        <v>236</v>
      </c>
      <c r="C24" s="4">
        <v>3924</v>
      </c>
      <c r="D24" s="4">
        <v>1790</v>
      </c>
      <c r="E24" s="4">
        <v>2134</v>
      </c>
    </row>
    <row r="25" spans="1:5" ht="21.95" customHeight="1" x14ac:dyDescent="0.25">
      <c r="A25" s="4">
        <v>11</v>
      </c>
      <c r="B25" s="4" t="s">
        <v>237</v>
      </c>
      <c r="C25" s="4">
        <v>2371</v>
      </c>
      <c r="D25" s="4">
        <v>1181</v>
      </c>
      <c r="E25" s="4">
        <v>1190</v>
      </c>
    </row>
    <row r="26" spans="1:5" ht="21.95" customHeight="1" x14ac:dyDescent="0.25">
      <c r="A26" s="4">
        <v>12</v>
      </c>
      <c r="B26" s="4" t="s">
        <v>238</v>
      </c>
      <c r="C26" s="4">
        <v>7267</v>
      </c>
      <c r="D26" s="4">
        <v>3376</v>
      </c>
      <c r="E26" s="4">
        <v>3891</v>
      </c>
    </row>
    <row r="27" spans="1:5" ht="21.95" customHeight="1" x14ac:dyDescent="0.25">
      <c r="A27" s="4">
        <v>13</v>
      </c>
      <c r="B27" s="4" t="s">
        <v>239</v>
      </c>
      <c r="C27" s="4">
        <v>1273</v>
      </c>
      <c r="D27" s="4">
        <v>579</v>
      </c>
      <c r="E27" s="4">
        <v>694</v>
      </c>
    </row>
    <row r="28" spans="1:5" ht="21.95" customHeight="1" x14ac:dyDescent="0.25">
      <c r="A28" s="4">
        <v>14</v>
      </c>
      <c r="B28" s="4" t="s">
        <v>240</v>
      </c>
      <c r="C28" s="4">
        <v>3663</v>
      </c>
      <c r="D28" s="4">
        <v>1837</v>
      </c>
      <c r="E28" s="4">
        <v>1826</v>
      </c>
    </row>
    <row r="29" spans="1:5" ht="21.95" customHeight="1" x14ac:dyDescent="0.25">
      <c r="A29" s="4">
        <v>15</v>
      </c>
      <c r="B29" s="4" t="s">
        <v>241</v>
      </c>
      <c r="C29" s="4">
        <v>1068</v>
      </c>
      <c r="D29" s="4">
        <v>537</v>
      </c>
      <c r="E29" s="4">
        <v>531</v>
      </c>
    </row>
    <row r="30" spans="1:5" ht="21.95" customHeight="1" x14ac:dyDescent="0.25">
      <c r="A30" s="4">
        <v>16</v>
      </c>
      <c r="B30" s="4" t="s">
        <v>242</v>
      </c>
      <c r="C30" s="4">
        <v>8992</v>
      </c>
      <c r="D30" s="4">
        <v>4480</v>
      </c>
      <c r="E30" s="4">
        <v>4512</v>
      </c>
    </row>
    <row r="31" spans="1:5" ht="21.95" customHeight="1" x14ac:dyDescent="0.25">
      <c r="A31" s="4">
        <v>17</v>
      </c>
      <c r="B31" s="4" t="s">
        <v>243</v>
      </c>
      <c r="C31" s="4">
        <v>6021</v>
      </c>
      <c r="D31" s="4">
        <v>3076</v>
      </c>
      <c r="E31" s="4">
        <v>2945</v>
      </c>
    </row>
    <row r="32" spans="1:5" ht="21.95" customHeight="1" x14ac:dyDescent="0.25">
      <c r="A32" s="4">
        <v>18</v>
      </c>
      <c r="B32" s="4" t="s">
        <v>244</v>
      </c>
      <c r="C32" s="4">
        <v>2430</v>
      </c>
      <c r="D32" s="4">
        <v>1225</v>
      </c>
      <c r="E32" s="4">
        <v>1205</v>
      </c>
    </row>
    <row r="33" spans="1:5" ht="21.95" customHeight="1" x14ac:dyDescent="0.25">
      <c r="A33" s="4">
        <v>19</v>
      </c>
      <c r="B33" s="4" t="s">
        <v>245</v>
      </c>
      <c r="C33" s="4">
        <v>1287</v>
      </c>
      <c r="D33" s="4">
        <v>612</v>
      </c>
      <c r="E33" s="4">
        <v>675</v>
      </c>
    </row>
    <row r="34" spans="1:5" ht="21.95" customHeight="1" x14ac:dyDescent="0.25">
      <c r="A34" s="5">
        <v>20</v>
      </c>
      <c r="B34" s="5" t="s">
        <v>246</v>
      </c>
      <c r="C34" s="5">
        <v>1722</v>
      </c>
      <c r="D34" s="5">
        <v>809</v>
      </c>
      <c r="E34" s="5">
        <v>913</v>
      </c>
    </row>
  </sheetData>
  <mergeCells count="4">
    <mergeCell ref="A4:A5"/>
    <mergeCell ref="B4:B5"/>
    <mergeCell ref="C4:E4"/>
    <mergeCell ref="A1:E1"/>
  </mergeCells>
  <hyperlinks>
    <hyperlink ref="A1:E1" location="'List of twonship'!A1" display="Tanintharyi Region, Myeik District, Palaw Township"/>
  </hyperlinks>
  <pageMargins left="0.75" right="0.5" top="0.5" bottom="0.2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workbookViewId="0">
      <selection sqref="A1:E1"/>
    </sheetView>
  </sheetViews>
  <sheetFormatPr defaultRowHeight="15" x14ac:dyDescent="0.25"/>
  <cols>
    <col min="1" max="1" width="7.5703125" customWidth="1"/>
    <col min="2" max="2" width="28" customWidth="1"/>
    <col min="3" max="5" width="15.7109375" customWidth="1"/>
    <col min="6" max="6" width="10.28515625" customWidth="1"/>
    <col min="7" max="7" width="28" customWidth="1"/>
  </cols>
  <sheetData>
    <row r="1" spans="1:7" ht="21" customHeight="1" x14ac:dyDescent="0.25">
      <c r="A1" s="32" t="s">
        <v>333</v>
      </c>
      <c r="B1" s="32"/>
      <c r="C1" s="32"/>
      <c r="D1" s="32"/>
      <c r="E1" s="32"/>
    </row>
    <row r="2" spans="1:7" ht="21" customHeight="1" x14ac:dyDescent="0.25">
      <c r="E2" s="23" t="s">
        <v>329</v>
      </c>
    </row>
    <row r="3" spans="1:7" ht="21" customHeight="1" x14ac:dyDescent="0.25"/>
    <row r="4" spans="1:7" ht="15.75" x14ac:dyDescent="0.25">
      <c r="A4" s="30" t="s">
        <v>328</v>
      </c>
      <c r="B4" s="30" t="s">
        <v>347</v>
      </c>
      <c r="C4" s="36" t="s">
        <v>327</v>
      </c>
      <c r="D4" s="37"/>
      <c r="E4" s="38"/>
    </row>
    <row r="5" spans="1:7" ht="15.75" x14ac:dyDescent="0.25">
      <c r="A5" s="31"/>
      <c r="B5" s="31"/>
      <c r="C5" s="7" t="s">
        <v>0</v>
      </c>
      <c r="D5" s="7" t="s">
        <v>1</v>
      </c>
      <c r="E5" s="7" t="s">
        <v>2</v>
      </c>
    </row>
    <row r="6" spans="1:7" ht="21.95" customHeight="1" x14ac:dyDescent="0.25">
      <c r="A6" s="12"/>
      <c r="B6" s="17" t="s">
        <v>0</v>
      </c>
      <c r="C6" s="13">
        <v>106853</v>
      </c>
      <c r="D6" s="13">
        <v>54817</v>
      </c>
      <c r="E6" s="13">
        <v>52036</v>
      </c>
    </row>
    <row r="7" spans="1:7" ht="12" customHeight="1" x14ac:dyDescent="0.25">
      <c r="A7" s="4"/>
      <c r="B7" s="4"/>
      <c r="C7" s="4"/>
      <c r="D7" s="4"/>
      <c r="E7" s="4"/>
    </row>
    <row r="8" spans="1:7" ht="21.95" customHeight="1" x14ac:dyDescent="0.25">
      <c r="A8" s="4"/>
      <c r="B8" s="9" t="s">
        <v>326</v>
      </c>
      <c r="C8" s="9">
        <f>SUM(C9:C10)</f>
        <v>5514</v>
      </c>
      <c r="D8" s="9">
        <f t="shared" ref="D8:E8" si="0">SUM(D9:D10)</f>
        <v>2746</v>
      </c>
      <c r="E8" s="9">
        <f t="shared" si="0"/>
        <v>2768</v>
      </c>
      <c r="G8" s="1"/>
    </row>
    <row r="9" spans="1:7" ht="21.95" customHeight="1" x14ac:dyDescent="0.25">
      <c r="A9" s="4">
        <v>1</v>
      </c>
      <c r="B9" s="4" t="s">
        <v>247</v>
      </c>
      <c r="C9" s="4">
        <v>3199</v>
      </c>
      <c r="D9" s="4">
        <v>1575</v>
      </c>
      <c r="E9" s="4">
        <v>1624</v>
      </c>
    </row>
    <row r="10" spans="1:7" ht="21.95" customHeight="1" x14ac:dyDescent="0.25">
      <c r="A10" s="4">
        <v>2</v>
      </c>
      <c r="B10" s="4" t="s">
        <v>248</v>
      </c>
      <c r="C10" s="4">
        <v>2315</v>
      </c>
      <c r="D10" s="4">
        <v>1171</v>
      </c>
      <c r="E10" s="4">
        <v>1144</v>
      </c>
    </row>
    <row r="11" spans="1:7" ht="21.95" customHeight="1" x14ac:dyDescent="0.25">
      <c r="A11" s="4"/>
      <c r="B11" s="9" t="s">
        <v>346</v>
      </c>
      <c r="C11" s="9">
        <f>SUM(C12:C30)</f>
        <v>101339</v>
      </c>
      <c r="D11" s="9">
        <f t="shared" ref="D11:E11" si="1">SUM(D12:D30)</f>
        <v>52071</v>
      </c>
      <c r="E11" s="9">
        <f t="shared" si="1"/>
        <v>49268</v>
      </c>
    </row>
    <row r="12" spans="1:7" ht="21.95" customHeight="1" x14ac:dyDescent="0.25">
      <c r="A12" s="4">
        <v>1</v>
      </c>
      <c r="B12" s="4" t="s">
        <v>249</v>
      </c>
      <c r="C12" s="4">
        <v>5293</v>
      </c>
      <c r="D12" s="4">
        <v>2733</v>
      </c>
      <c r="E12" s="4">
        <v>2560</v>
      </c>
    </row>
    <row r="13" spans="1:7" ht="21.95" customHeight="1" x14ac:dyDescent="0.25">
      <c r="A13" s="4">
        <v>2</v>
      </c>
      <c r="B13" s="4" t="s">
        <v>250</v>
      </c>
      <c r="C13" s="4">
        <v>7113</v>
      </c>
      <c r="D13" s="4">
        <v>3589</v>
      </c>
      <c r="E13" s="4">
        <v>3524</v>
      </c>
    </row>
    <row r="14" spans="1:7" ht="21.95" customHeight="1" x14ac:dyDescent="0.25">
      <c r="A14" s="4">
        <v>3</v>
      </c>
      <c r="B14" s="4" t="s">
        <v>251</v>
      </c>
      <c r="C14" s="4">
        <v>3960</v>
      </c>
      <c r="D14" s="4">
        <v>2041</v>
      </c>
      <c r="E14" s="4">
        <v>1919</v>
      </c>
    </row>
    <row r="15" spans="1:7" ht="21.95" customHeight="1" x14ac:dyDescent="0.25">
      <c r="A15" s="4">
        <v>4</v>
      </c>
      <c r="B15" s="4" t="s">
        <v>252</v>
      </c>
      <c r="C15" s="4">
        <v>2198</v>
      </c>
      <c r="D15" s="4">
        <v>1077</v>
      </c>
      <c r="E15" s="4">
        <v>1121</v>
      </c>
    </row>
    <row r="16" spans="1:7" ht="21.95" customHeight="1" x14ac:dyDescent="0.25">
      <c r="A16" s="4">
        <v>5</v>
      </c>
      <c r="B16" s="4" t="s">
        <v>253</v>
      </c>
      <c r="C16" s="4">
        <v>3290</v>
      </c>
      <c r="D16" s="4">
        <v>1677</v>
      </c>
      <c r="E16" s="4">
        <v>1613</v>
      </c>
    </row>
    <row r="17" spans="1:5" ht="21.95" customHeight="1" x14ac:dyDescent="0.25">
      <c r="A17" s="4">
        <v>6</v>
      </c>
      <c r="B17" s="4" t="s">
        <v>254</v>
      </c>
      <c r="C17" s="4">
        <v>3770</v>
      </c>
      <c r="D17" s="4">
        <v>2049</v>
      </c>
      <c r="E17" s="4">
        <v>1721</v>
      </c>
    </row>
    <row r="18" spans="1:5" ht="21.95" customHeight="1" x14ac:dyDescent="0.25">
      <c r="A18" s="4">
        <v>7</v>
      </c>
      <c r="B18" s="4" t="s">
        <v>255</v>
      </c>
      <c r="C18" s="4">
        <v>2402</v>
      </c>
      <c r="D18" s="4">
        <v>1225</v>
      </c>
      <c r="E18" s="4">
        <v>1177</v>
      </c>
    </row>
    <row r="19" spans="1:5" ht="21.95" customHeight="1" x14ac:dyDescent="0.25">
      <c r="A19" s="4">
        <v>8</v>
      </c>
      <c r="B19" s="4" t="s">
        <v>256</v>
      </c>
      <c r="C19" s="4">
        <v>15648</v>
      </c>
      <c r="D19" s="4">
        <v>8589</v>
      </c>
      <c r="E19" s="4">
        <v>7059</v>
      </c>
    </row>
    <row r="20" spans="1:5" ht="21.95" customHeight="1" x14ac:dyDescent="0.25">
      <c r="A20" s="4">
        <v>9</v>
      </c>
      <c r="B20" s="4" t="s">
        <v>257</v>
      </c>
      <c r="C20" s="4">
        <v>796</v>
      </c>
      <c r="D20" s="4">
        <v>434</v>
      </c>
      <c r="E20" s="4">
        <v>362</v>
      </c>
    </row>
    <row r="21" spans="1:5" ht="21.95" customHeight="1" x14ac:dyDescent="0.25">
      <c r="A21" s="4">
        <v>10</v>
      </c>
      <c r="B21" s="4" t="s">
        <v>258</v>
      </c>
      <c r="C21" s="4">
        <v>1996</v>
      </c>
      <c r="D21" s="4">
        <v>1022</v>
      </c>
      <c r="E21" s="4">
        <v>974</v>
      </c>
    </row>
    <row r="22" spans="1:5" ht="21.95" customHeight="1" x14ac:dyDescent="0.25">
      <c r="A22" s="4">
        <v>11</v>
      </c>
      <c r="B22" s="4" t="s">
        <v>259</v>
      </c>
      <c r="C22" s="4">
        <v>3662</v>
      </c>
      <c r="D22" s="4">
        <v>1839</v>
      </c>
      <c r="E22" s="4">
        <v>1823</v>
      </c>
    </row>
    <row r="23" spans="1:5" ht="21.95" customHeight="1" x14ac:dyDescent="0.25">
      <c r="A23" s="4">
        <v>12</v>
      </c>
      <c r="B23" s="4" t="s">
        <v>260</v>
      </c>
      <c r="C23" s="4">
        <v>4563</v>
      </c>
      <c r="D23" s="4">
        <v>2303</v>
      </c>
      <c r="E23" s="4">
        <v>2260</v>
      </c>
    </row>
    <row r="24" spans="1:5" ht="21.95" customHeight="1" x14ac:dyDescent="0.25">
      <c r="A24" s="4">
        <v>13</v>
      </c>
      <c r="B24" s="4" t="s">
        <v>261</v>
      </c>
      <c r="C24" s="4">
        <v>11052</v>
      </c>
      <c r="D24" s="4">
        <v>5464</v>
      </c>
      <c r="E24" s="4">
        <v>5588</v>
      </c>
    </row>
    <row r="25" spans="1:5" ht="21.95" customHeight="1" x14ac:dyDescent="0.25">
      <c r="A25" s="4">
        <v>14</v>
      </c>
      <c r="B25" s="4" t="s">
        <v>262</v>
      </c>
      <c r="C25" s="4">
        <v>11046</v>
      </c>
      <c r="D25" s="4">
        <v>5545</v>
      </c>
      <c r="E25" s="4">
        <v>5501</v>
      </c>
    </row>
    <row r="26" spans="1:5" ht="21.95" customHeight="1" x14ac:dyDescent="0.25">
      <c r="A26" s="4">
        <v>15</v>
      </c>
      <c r="B26" s="4" t="s">
        <v>263</v>
      </c>
      <c r="C26" s="4">
        <v>6418</v>
      </c>
      <c r="D26" s="4">
        <v>3178</v>
      </c>
      <c r="E26" s="4">
        <v>3240</v>
      </c>
    </row>
    <row r="27" spans="1:5" ht="21.95" customHeight="1" x14ac:dyDescent="0.25">
      <c r="A27" s="4">
        <v>16</v>
      </c>
      <c r="B27" s="4" t="s">
        <v>264</v>
      </c>
      <c r="C27" s="4">
        <v>2065</v>
      </c>
      <c r="D27" s="4">
        <v>1051</v>
      </c>
      <c r="E27" s="4">
        <v>1014</v>
      </c>
    </row>
    <row r="28" spans="1:5" ht="21.95" customHeight="1" x14ac:dyDescent="0.25">
      <c r="A28" s="4">
        <v>17</v>
      </c>
      <c r="B28" s="4" t="s">
        <v>265</v>
      </c>
      <c r="C28" s="4">
        <v>4923</v>
      </c>
      <c r="D28" s="4">
        <v>2639</v>
      </c>
      <c r="E28" s="4">
        <v>2284</v>
      </c>
    </row>
    <row r="29" spans="1:5" ht="21.95" customHeight="1" x14ac:dyDescent="0.25">
      <c r="A29" s="4">
        <v>18</v>
      </c>
      <c r="B29" s="4" t="s">
        <v>266</v>
      </c>
      <c r="C29" s="4">
        <v>3307</v>
      </c>
      <c r="D29" s="4">
        <v>1758</v>
      </c>
      <c r="E29" s="4">
        <v>1549</v>
      </c>
    </row>
    <row r="30" spans="1:5" ht="21.95" customHeight="1" x14ac:dyDescent="0.25">
      <c r="A30" s="5">
        <v>19</v>
      </c>
      <c r="B30" s="5" t="s">
        <v>267</v>
      </c>
      <c r="C30" s="5">
        <v>7837</v>
      </c>
      <c r="D30" s="5">
        <v>3858</v>
      </c>
      <c r="E30" s="5">
        <v>3979</v>
      </c>
    </row>
  </sheetData>
  <mergeCells count="4">
    <mergeCell ref="A4:A5"/>
    <mergeCell ref="B4:B5"/>
    <mergeCell ref="C4:E4"/>
    <mergeCell ref="A1:E1"/>
  </mergeCells>
  <hyperlinks>
    <hyperlink ref="A1:E1" location="'List of twonship'!A1" display="Tanintharyi Region, Myeik District, Tanintharyi Township"/>
  </hyperlinks>
  <pageMargins left="0.75" right="0.5" top="0.5" bottom="0.2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selection sqref="A1:E1"/>
    </sheetView>
  </sheetViews>
  <sheetFormatPr defaultRowHeight="15" x14ac:dyDescent="0.25"/>
  <cols>
    <col min="1" max="1" width="5.7109375" customWidth="1"/>
    <col min="2" max="2" width="23.42578125" customWidth="1"/>
    <col min="3" max="5" width="15.7109375" customWidth="1"/>
    <col min="6" max="6" width="10.28515625" customWidth="1"/>
    <col min="7" max="7" width="24.5703125" customWidth="1"/>
    <col min="11" max="11" width="14.85546875" customWidth="1"/>
  </cols>
  <sheetData>
    <row r="1" spans="1:5" ht="21" customHeight="1" x14ac:dyDescent="0.25">
      <c r="A1" s="39" t="s">
        <v>337</v>
      </c>
      <c r="B1" s="39"/>
      <c r="C1" s="39"/>
      <c r="D1" s="39"/>
      <c r="E1" s="39"/>
    </row>
    <row r="2" spans="1:5" ht="21" customHeight="1" x14ac:dyDescent="0.25">
      <c r="E2" s="23" t="s">
        <v>329</v>
      </c>
    </row>
    <row r="3" spans="1:5" ht="21" customHeight="1" x14ac:dyDescent="0.25"/>
    <row r="4" spans="1:5" ht="15.75" x14ac:dyDescent="0.25">
      <c r="A4" s="30" t="s">
        <v>328</v>
      </c>
      <c r="B4" s="30" t="s">
        <v>347</v>
      </c>
      <c r="C4" s="36" t="s">
        <v>327</v>
      </c>
      <c r="D4" s="37"/>
      <c r="E4" s="38"/>
    </row>
    <row r="5" spans="1:5" ht="15.75" x14ac:dyDescent="0.25">
      <c r="A5" s="31"/>
      <c r="B5" s="31"/>
      <c r="C5" s="7" t="s">
        <v>0</v>
      </c>
      <c r="D5" s="7" t="s">
        <v>1</v>
      </c>
      <c r="E5" s="7" t="s">
        <v>2</v>
      </c>
    </row>
    <row r="6" spans="1:5" ht="21.95" customHeight="1" x14ac:dyDescent="0.25">
      <c r="A6" s="12"/>
      <c r="B6" s="17" t="s">
        <v>0</v>
      </c>
      <c r="C6" s="13">
        <v>36554</v>
      </c>
      <c r="D6" s="13">
        <v>18119</v>
      </c>
      <c r="E6" s="13">
        <v>18435</v>
      </c>
    </row>
    <row r="7" spans="1:5" ht="21.95" customHeight="1" x14ac:dyDescent="0.25">
      <c r="A7" s="4"/>
      <c r="B7" s="4"/>
      <c r="C7" s="4"/>
      <c r="D7" s="4"/>
      <c r="E7" s="4"/>
    </row>
    <row r="8" spans="1:5" ht="21.95" customHeight="1" x14ac:dyDescent="0.25">
      <c r="A8" s="4"/>
      <c r="B8" s="9" t="s">
        <v>326</v>
      </c>
      <c r="C8" s="9">
        <f>SUM(C9:C12)</f>
        <v>6176</v>
      </c>
      <c r="D8" s="9">
        <f t="shared" ref="D8:E8" si="0">SUM(D9:D12)</f>
        <v>3064</v>
      </c>
      <c r="E8" s="9">
        <f t="shared" si="0"/>
        <v>3112</v>
      </c>
    </row>
    <row r="9" spans="1:5" ht="21.95" customHeight="1" x14ac:dyDescent="0.25">
      <c r="A9" s="4">
        <v>1</v>
      </c>
      <c r="B9" s="4" t="s">
        <v>154</v>
      </c>
      <c r="C9" s="4">
        <v>3019</v>
      </c>
      <c r="D9" s="4">
        <v>1451</v>
      </c>
      <c r="E9" s="4">
        <v>1568</v>
      </c>
    </row>
    <row r="10" spans="1:5" ht="21.95" customHeight="1" x14ac:dyDescent="0.25">
      <c r="A10" s="4">
        <v>2</v>
      </c>
      <c r="B10" s="4" t="s">
        <v>155</v>
      </c>
      <c r="C10" s="4">
        <v>615</v>
      </c>
      <c r="D10" s="4">
        <v>291</v>
      </c>
      <c r="E10" s="4">
        <v>324</v>
      </c>
    </row>
    <row r="11" spans="1:5" ht="21.95" customHeight="1" x14ac:dyDescent="0.25">
      <c r="A11" s="4">
        <v>3</v>
      </c>
      <c r="B11" s="4" t="s">
        <v>156</v>
      </c>
      <c r="C11" s="4">
        <v>598</v>
      </c>
      <c r="D11" s="4">
        <v>358</v>
      </c>
      <c r="E11" s="4">
        <v>240</v>
      </c>
    </row>
    <row r="12" spans="1:5" ht="21.95" customHeight="1" x14ac:dyDescent="0.25">
      <c r="A12" s="4">
        <v>4</v>
      </c>
      <c r="B12" s="4" t="s">
        <v>164</v>
      </c>
      <c r="C12" s="4">
        <v>1944</v>
      </c>
      <c r="D12" s="4">
        <v>964</v>
      </c>
      <c r="E12" s="4">
        <v>980</v>
      </c>
    </row>
    <row r="13" spans="1:5" ht="21.95" customHeight="1" x14ac:dyDescent="0.25">
      <c r="A13" s="4"/>
      <c r="B13" s="9" t="s">
        <v>346</v>
      </c>
      <c r="C13" s="9">
        <f>SUM(C14:C19)</f>
        <v>30378</v>
      </c>
      <c r="D13" s="9">
        <f t="shared" ref="D13:E13" si="1">SUM(D14:D19)</f>
        <v>15055</v>
      </c>
      <c r="E13" s="9">
        <f t="shared" si="1"/>
        <v>15323</v>
      </c>
    </row>
    <row r="14" spans="1:5" ht="21.95" customHeight="1" x14ac:dyDescent="0.25">
      <c r="A14" s="4">
        <v>1</v>
      </c>
      <c r="B14" s="4" t="s">
        <v>268</v>
      </c>
      <c r="C14" s="4">
        <v>5905</v>
      </c>
      <c r="D14" s="4">
        <v>2904</v>
      </c>
      <c r="E14" s="4">
        <v>3001</v>
      </c>
    </row>
    <row r="15" spans="1:5" ht="21.95" customHeight="1" x14ac:dyDescent="0.25">
      <c r="A15" s="4">
        <v>2</v>
      </c>
      <c r="B15" s="4" t="s">
        <v>269</v>
      </c>
      <c r="C15" s="4">
        <v>7951</v>
      </c>
      <c r="D15" s="4">
        <v>4027</v>
      </c>
      <c r="E15" s="4">
        <v>3924</v>
      </c>
    </row>
    <row r="16" spans="1:5" ht="21.95" customHeight="1" x14ac:dyDescent="0.25">
      <c r="A16" s="4">
        <v>3</v>
      </c>
      <c r="B16" s="4" t="s">
        <v>270</v>
      </c>
      <c r="C16" s="4">
        <v>2893</v>
      </c>
      <c r="D16" s="4">
        <v>1471</v>
      </c>
      <c r="E16" s="4">
        <v>1422</v>
      </c>
    </row>
    <row r="17" spans="1:5" ht="21.95" customHeight="1" x14ac:dyDescent="0.25">
      <c r="A17" s="4">
        <v>4</v>
      </c>
      <c r="B17" s="4" t="s">
        <v>271</v>
      </c>
      <c r="C17" s="4">
        <v>3813</v>
      </c>
      <c r="D17" s="4">
        <v>1893</v>
      </c>
      <c r="E17" s="4">
        <v>1920</v>
      </c>
    </row>
    <row r="18" spans="1:5" ht="21.95" customHeight="1" x14ac:dyDescent="0.25">
      <c r="A18" s="4">
        <v>5</v>
      </c>
      <c r="B18" s="4" t="s">
        <v>272</v>
      </c>
      <c r="C18" s="4">
        <v>8127</v>
      </c>
      <c r="D18" s="4">
        <v>3900</v>
      </c>
      <c r="E18" s="4">
        <v>4227</v>
      </c>
    </row>
    <row r="19" spans="1:5" ht="21.95" customHeight="1" x14ac:dyDescent="0.25">
      <c r="A19" s="5">
        <v>6</v>
      </c>
      <c r="B19" s="5" t="s">
        <v>273</v>
      </c>
      <c r="C19" s="5">
        <v>1689</v>
      </c>
      <c r="D19" s="5">
        <v>860</v>
      </c>
      <c r="E19" s="5">
        <v>829</v>
      </c>
    </row>
  </sheetData>
  <mergeCells count="4">
    <mergeCell ref="A4:A5"/>
    <mergeCell ref="B4:B5"/>
    <mergeCell ref="C4:E4"/>
    <mergeCell ref="A1:E1"/>
  </mergeCells>
  <hyperlinks>
    <hyperlink ref="A1:E1" location="'List of twonship'!A1" display="Tanintharyi Region, Myeik District, Palauk (Sub-Township)"/>
  </hyperlinks>
  <pageMargins left="0.75" right="0.5" top="0.5" bottom="0.2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workbookViewId="0">
      <selection sqref="A1:E1"/>
    </sheetView>
  </sheetViews>
  <sheetFormatPr defaultRowHeight="15" x14ac:dyDescent="0.25"/>
  <cols>
    <col min="1" max="1" width="8.5703125" customWidth="1"/>
    <col min="2" max="2" width="40.28515625" customWidth="1"/>
    <col min="3" max="5" width="15.7109375" customWidth="1"/>
    <col min="7" max="7" width="30.42578125" customWidth="1"/>
  </cols>
  <sheetData>
    <row r="1" spans="1:7" ht="21" customHeight="1" x14ac:dyDescent="0.25">
      <c r="A1" s="32" t="s">
        <v>334</v>
      </c>
      <c r="B1" s="32"/>
      <c r="C1" s="32"/>
      <c r="D1" s="32"/>
      <c r="E1" s="32"/>
    </row>
    <row r="2" spans="1:7" ht="21" customHeight="1" x14ac:dyDescent="0.25">
      <c r="E2" s="23" t="s">
        <v>329</v>
      </c>
    </row>
    <row r="3" spans="1:7" ht="21" customHeight="1" x14ac:dyDescent="0.25"/>
    <row r="4" spans="1:7" ht="15.75" x14ac:dyDescent="0.25">
      <c r="A4" s="30" t="s">
        <v>328</v>
      </c>
      <c r="B4" s="30" t="s">
        <v>347</v>
      </c>
      <c r="C4" s="36" t="s">
        <v>327</v>
      </c>
      <c r="D4" s="37"/>
      <c r="E4" s="38"/>
    </row>
    <row r="5" spans="1:7" ht="15.75" x14ac:dyDescent="0.25">
      <c r="A5" s="31"/>
      <c r="B5" s="31"/>
      <c r="C5" s="7" t="s">
        <v>0</v>
      </c>
      <c r="D5" s="7" t="s">
        <v>1</v>
      </c>
      <c r="E5" s="7" t="s">
        <v>2</v>
      </c>
    </row>
    <row r="6" spans="1:7" ht="21.95" customHeight="1" x14ac:dyDescent="0.25">
      <c r="A6" s="12"/>
      <c r="B6" s="17" t="s">
        <v>0</v>
      </c>
      <c r="C6" s="13">
        <v>116980</v>
      </c>
      <c r="D6" s="13">
        <v>59507</v>
      </c>
      <c r="E6" s="13">
        <v>57473</v>
      </c>
    </row>
    <row r="7" spans="1:7" ht="21.95" customHeight="1" x14ac:dyDescent="0.25">
      <c r="A7" s="4"/>
      <c r="B7" s="4"/>
      <c r="C7" s="4"/>
      <c r="D7" s="4"/>
      <c r="E7" s="4"/>
    </row>
    <row r="8" spans="1:7" ht="21.95" customHeight="1" x14ac:dyDescent="0.25">
      <c r="A8" s="4"/>
      <c r="B8" s="9" t="s">
        <v>326</v>
      </c>
      <c r="C8" s="9">
        <f>SUM(C9:C18)</f>
        <v>57949</v>
      </c>
      <c r="D8" s="9">
        <f t="shared" ref="D8:E8" si="0">SUM(D9:D18)</f>
        <v>28657</v>
      </c>
      <c r="E8" s="9">
        <f t="shared" si="0"/>
        <v>29292</v>
      </c>
    </row>
    <row r="9" spans="1:7" ht="21.95" customHeight="1" x14ac:dyDescent="0.25">
      <c r="A9" s="4">
        <v>1</v>
      </c>
      <c r="B9" s="4" t="s">
        <v>274</v>
      </c>
      <c r="C9" s="4">
        <v>3585</v>
      </c>
      <c r="D9" s="4">
        <v>1823</v>
      </c>
      <c r="E9" s="4">
        <v>1762</v>
      </c>
    </row>
    <row r="10" spans="1:7" ht="21.95" customHeight="1" x14ac:dyDescent="0.25">
      <c r="A10" s="4">
        <v>2</v>
      </c>
      <c r="B10" s="4" t="s">
        <v>275</v>
      </c>
      <c r="C10" s="4">
        <v>3776</v>
      </c>
      <c r="D10" s="4">
        <v>1804</v>
      </c>
      <c r="E10" s="4">
        <v>1972</v>
      </c>
    </row>
    <row r="11" spans="1:7" ht="21.95" customHeight="1" x14ac:dyDescent="0.25">
      <c r="A11" s="4">
        <v>3</v>
      </c>
      <c r="B11" s="4" t="s">
        <v>276</v>
      </c>
      <c r="C11" s="4">
        <v>7557</v>
      </c>
      <c r="D11" s="4">
        <v>3696</v>
      </c>
      <c r="E11" s="4">
        <v>3861</v>
      </c>
    </row>
    <row r="12" spans="1:7" ht="21.95" customHeight="1" x14ac:dyDescent="0.25">
      <c r="A12" s="4">
        <v>4</v>
      </c>
      <c r="B12" s="4" t="s">
        <v>277</v>
      </c>
      <c r="C12" s="4">
        <v>3495</v>
      </c>
      <c r="D12" s="4">
        <v>1708</v>
      </c>
      <c r="E12" s="4">
        <v>1787</v>
      </c>
      <c r="G12" s="14"/>
    </row>
    <row r="13" spans="1:7" ht="21.95" customHeight="1" x14ac:dyDescent="0.25">
      <c r="A13" s="4">
        <v>5</v>
      </c>
      <c r="B13" s="4" t="s">
        <v>278</v>
      </c>
      <c r="C13" s="4">
        <v>7926</v>
      </c>
      <c r="D13" s="4">
        <v>3838</v>
      </c>
      <c r="E13" s="4">
        <v>4088</v>
      </c>
    </row>
    <row r="14" spans="1:7" ht="21.95" customHeight="1" x14ac:dyDescent="0.25">
      <c r="A14" s="4">
        <v>6</v>
      </c>
      <c r="B14" s="4" t="s">
        <v>279</v>
      </c>
      <c r="C14" s="4">
        <v>3634</v>
      </c>
      <c r="D14" s="4">
        <v>1810</v>
      </c>
      <c r="E14" s="4">
        <v>1824</v>
      </c>
    </row>
    <row r="15" spans="1:7" ht="21.95" customHeight="1" x14ac:dyDescent="0.25">
      <c r="A15" s="4">
        <v>7</v>
      </c>
      <c r="B15" s="4" t="s">
        <v>280</v>
      </c>
      <c r="C15" s="4">
        <v>2610</v>
      </c>
      <c r="D15" s="4">
        <v>1296</v>
      </c>
      <c r="E15" s="4">
        <v>1314</v>
      </c>
    </row>
    <row r="16" spans="1:7" ht="21.95" customHeight="1" x14ac:dyDescent="0.25">
      <c r="A16" s="4">
        <v>8</v>
      </c>
      <c r="B16" s="4" t="s">
        <v>281</v>
      </c>
      <c r="C16" s="4">
        <v>5855</v>
      </c>
      <c r="D16" s="4">
        <v>2968</v>
      </c>
      <c r="E16" s="4">
        <v>2887</v>
      </c>
    </row>
    <row r="17" spans="1:5" ht="21.95" customHeight="1" x14ac:dyDescent="0.25">
      <c r="A17" s="4">
        <v>9</v>
      </c>
      <c r="B17" s="4" t="s">
        <v>282</v>
      </c>
      <c r="C17" s="4">
        <v>10533</v>
      </c>
      <c r="D17" s="4">
        <v>5148</v>
      </c>
      <c r="E17" s="4">
        <v>5385</v>
      </c>
    </row>
    <row r="18" spans="1:5" ht="21.95" customHeight="1" x14ac:dyDescent="0.25">
      <c r="A18" s="4">
        <v>10</v>
      </c>
      <c r="B18" s="4" t="s">
        <v>283</v>
      </c>
      <c r="C18" s="4">
        <v>8978</v>
      </c>
      <c r="D18" s="4">
        <v>4566</v>
      </c>
      <c r="E18" s="4">
        <v>4412</v>
      </c>
    </row>
    <row r="19" spans="1:5" ht="21.95" customHeight="1" x14ac:dyDescent="0.25">
      <c r="A19" s="4"/>
      <c r="B19" s="9" t="s">
        <v>346</v>
      </c>
      <c r="C19" s="9">
        <f>SUM(C20:C28)</f>
        <v>59031</v>
      </c>
      <c r="D19" s="9">
        <f t="shared" ref="D19:E19" si="1">SUM(D20:D28)</f>
        <v>30850</v>
      </c>
      <c r="E19" s="9">
        <f t="shared" si="1"/>
        <v>28181</v>
      </c>
    </row>
    <row r="20" spans="1:5" ht="21.95" customHeight="1" x14ac:dyDescent="0.25">
      <c r="A20" s="4">
        <v>1</v>
      </c>
      <c r="B20" s="4" t="s">
        <v>284</v>
      </c>
      <c r="C20" s="4">
        <v>5888</v>
      </c>
      <c r="D20" s="4">
        <v>3031</v>
      </c>
      <c r="E20" s="4">
        <v>2857</v>
      </c>
    </row>
    <row r="21" spans="1:5" ht="21.95" customHeight="1" x14ac:dyDescent="0.25">
      <c r="A21" s="4">
        <v>2</v>
      </c>
      <c r="B21" s="4" t="s">
        <v>285</v>
      </c>
      <c r="C21" s="4">
        <v>1291</v>
      </c>
      <c r="D21" s="4">
        <v>751</v>
      </c>
      <c r="E21" s="4">
        <v>540</v>
      </c>
    </row>
    <row r="22" spans="1:5" ht="21.95" customHeight="1" x14ac:dyDescent="0.25">
      <c r="A22" s="4">
        <v>3</v>
      </c>
      <c r="B22" s="4" t="s">
        <v>286</v>
      </c>
      <c r="C22" s="4">
        <v>6627</v>
      </c>
      <c r="D22" s="4">
        <v>3538</v>
      </c>
      <c r="E22" s="4">
        <v>3089</v>
      </c>
    </row>
    <row r="23" spans="1:5" ht="21.95" customHeight="1" x14ac:dyDescent="0.25">
      <c r="A23" s="4">
        <v>4</v>
      </c>
      <c r="B23" s="4" t="s">
        <v>287</v>
      </c>
      <c r="C23" s="4">
        <v>8836</v>
      </c>
      <c r="D23" s="4">
        <v>4697</v>
      </c>
      <c r="E23" s="4">
        <v>4139</v>
      </c>
    </row>
    <row r="24" spans="1:5" ht="21.95" customHeight="1" x14ac:dyDescent="0.25">
      <c r="A24" s="4">
        <v>5</v>
      </c>
      <c r="B24" s="4" t="s">
        <v>288</v>
      </c>
      <c r="C24" s="4">
        <v>5872</v>
      </c>
      <c r="D24" s="4">
        <v>3020</v>
      </c>
      <c r="E24" s="4">
        <v>2852</v>
      </c>
    </row>
    <row r="25" spans="1:5" ht="21.95" customHeight="1" x14ac:dyDescent="0.25">
      <c r="A25" s="4">
        <v>6</v>
      </c>
      <c r="B25" s="4" t="s">
        <v>289</v>
      </c>
      <c r="C25" s="4">
        <v>7740</v>
      </c>
      <c r="D25" s="4">
        <v>4127</v>
      </c>
      <c r="E25" s="4">
        <v>3613</v>
      </c>
    </row>
    <row r="26" spans="1:5" ht="21.95" customHeight="1" x14ac:dyDescent="0.25">
      <c r="A26" s="4">
        <v>7</v>
      </c>
      <c r="B26" s="4" t="s">
        <v>290</v>
      </c>
      <c r="C26" s="4">
        <v>6914</v>
      </c>
      <c r="D26" s="4">
        <v>3401</v>
      </c>
      <c r="E26" s="4">
        <v>3513</v>
      </c>
    </row>
    <row r="27" spans="1:5" ht="21.95" customHeight="1" x14ac:dyDescent="0.25">
      <c r="A27" s="4">
        <v>8</v>
      </c>
      <c r="B27" s="4" t="s">
        <v>291</v>
      </c>
      <c r="C27" s="4">
        <v>4089</v>
      </c>
      <c r="D27" s="4">
        <v>2063</v>
      </c>
      <c r="E27" s="4">
        <v>2026</v>
      </c>
    </row>
    <row r="28" spans="1:5" ht="21.95" customHeight="1" x14ac:dyDescent="0.25">
      <c r="A28" s="5">
        <v>9</v>
      </c>
      <c r="B28" s="5" t="s">
        <v>292</v>
      </c>
      <c r="C28" s="5">
        <v>11774</v>
      </c>
      <c r="D28" s="5">
        <v>6222</v>
      </c>
      <c r="E28" s="5">
        <v>5552</v>
      </c>
    </row>
  </sheetData>
  <mergeCells count="4">
    <mergeCell ref="A4:A5"/>
    <mergeCell ref="B4:B5"/>
    <mergeCell ref="C4:E4"/>
    <mergeCell ref="A1:E1"/>
  </mergeCells>
  <hyperlinks>
    <hyperlink ref="A1:E1" location="'List of twonship'!A1" display="Tanintharyi Region,Kawthoung District, Kawthoung Township"/>
  </hyperlinks>
  <pageMargins left="0.75" right="0.5" top="0.5" bottom="0.2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selection sqref="A1:E1"/>
    </sheetView>
  </sheetViews>
  <sheetFormatPr defaultRowHeight="15" x14ac:dyDescent="0.25"/>
  <cols>
    <col min="1" max="1" width="5.42578125" customWidth="1"/>
    <col min="2" max="2" width="45" customWidth="1"/>
    <col min="3" max="5" width="15.7109375" customWidth="1"/>
    <col min="7" max="7" width="30.28515625" customWidth="1"/>
  </cols>
  <sheetData>
    <row r="1" spans="1:7" ht="21" customHeight="1" x14ac:dyDescent="0.25">
      <c r="A1" s="32" t="s">
        <v>335</v>
      </c>
      <c r="B1" s="32"/>
      <c r="C1" s="32"/>
      <c r="D1" s="32"/>
      <c r="E1" s="32"/>
    </row>
    <row r="2" spans="1:7" ht="21" customHeight="1" x14ac:dyDescent="0.25">
      <c r="E2" s="23" t="s">
        <v>329</v>
      </c>
    </row>
    <row r="3" spans="1:7" ht="21" customHeight="1" x14ac:dyDescent="0.25"/>
    <row r="4" spans="1:7" ht="15.75" x14ac:dyDescent="0.25">
      <c r="A4" s="30" t="s">
        <v>328</v>
      </c>
      <c r="B4" s="30" t="s">
        <v>347</v>
      </c>
      <c r="C4" s="36" t="s">
        <v>327</v>
      </c>
      <c r="D4" s="37"/>
      <c r="E4" s="38"/>
    </row>
    <row r="5" spans="1:7" ht="15.75" x14ac:dyDescent="0.25">
      <c r="A5" s="31"/>
      <c r="B5" s="31"/>
      <c r="C5" s="7" t="s">
        <v>0</v>
      </c>
      <c r="D5" s="7" t="s">
        <v>1</v>
      </c>
      <c r="E5" s="7" t="s">
        <v>2</v>
      </c>
    </row>
    <row r="6" spans="1:7" ht="21.95" customHeight="1" x14ac:dyDescent="0.25">
      <c r="A6" s="4"/>
      <c r="B6" s="17" t="s">
        <v>0</v>
      </c>
      <c r="C6" s="9">
        <v>46821</v>
      </c>
      <c r="D6" s="9">
        <v>24992</v>
      </c>
      <c r="E6" s="9">
        <v>21829</v>
      </c>
    </row>
    <row r="7" spans="1:7" ht="8.25" customHeight="1" x14ac:dyDescent="0.25">
      <c r="A7" s="4"/>
      <c r="B7" s="4"/>
      <c r="C7" s="4"/>
      <c r="D7" s="4"/>
      <c r="E7" s="4"/>
    </row>
    <row r="8" spans="1:7" ht="21.95" customHeight="1" x14ac:dyDescent="0.25">
      <c r="A8" s="4"/>
      <c r="B8" s="9" t="s">
        <v>326</v>
      </c>
      <c r="C8" s="9">
        <f>SUM(C9:C12)</f>
        <v>5384</v>
      </c>
      <c r="D8" s="9">
        <f t="shared" ref="D8:E8" si="0">SUM(D9:D12)</f>
        <v>2707</v>
      </c>
      <c r="E8" s="9">
        <f t="shared" si="0"/>
        <v>2677</v>
      </c>
    </row>
    <row r="9" spans="1:7" ht="21.95" customHeight="1" x14ac:dyDescent="0.25">
      <c r="A9" s="4">
        <v>1</v>
      </c>
      <c r="B9" s="4" t="s">
        <v>293</v>
      </c>
      <c r="C9" s="4">
        <v>1586</v>
      </c>
      <c r="D9" s="4">
        <v>790</v>
      </c>
      <c r="E9" s="4">
        <v>796</v>
      </c>
    </row>
    <row r="10" spans="1:7" ht="21.95" customHeight="1" x14ac:dyDescent="0.25">
      <c r="A10" s="4">
        <v>2</v>
      </c>
      <c r="B10" s="4" t="s">
        <v>294</v>
      </c>
      <c r="C10" s="4">
        <v>1248</v>
      </c>
      <c r="D10" s="4">
        <v>631</v>
      </c>
      <c r="E10" s="4">
        <v>617</v>
      </c>
    </row>
    <row r="11" spans="1:7" ht="21.95" customHeight="1" x14ac:dyDescent="0.25">
      <c r="A11" s="4">
        <v>3</v>
      </c>
      <c r="B11" s="4" t="s">
        <v>295</v>
      </c>
      <c r="C11" s="4">
        <v>885</v>
      </c>
      <c r="D11" s="4">
        <v>431</v>
      </c>
      <c r="E11" s="4">
        <v>454</v>
      </c>
      <c r="G11" s="14"/>
    </row>
    <row r="12" spans="1:7" ht="21.95" customHeight="1" x14ac:dyDescent="0.25">
      <c r="A12" s="4">
        <v>4</v>
      </c>
      <c r="B12" s="4" t="s">
        <v>296</v>
      </c>
      <c r="C12" s="4">
        <v>1665</v>
      </c>
      <c r="D12" s="4">
        <v>855</v>
      </c>
      <c r="E12" s="4">
        <v>810</v>
      </c>
    </row>
    <row r="13" spans="1:7" ht="21.95" customHeight="1" x14ac:dyDescent="0.25">
      <c r="A13" s="4"/>
      <c r="B13" s="9" t="s">
        <v>346</v>
      </c>
      <c r="C13" s="9">
        <f>SUM(C14:C23)</f>
        <v>41437</v>
      </c>
      <c r="D13" s="9">
        <f t="shared" ref="D13:E13" si="1">SUM(D14:D23)</f>
        <v>22285</v>
      </c>
      <c r="E13" s="9">
        <f t="shared" si="1"/>
        <v>19152</v>
      </c>
    </row>
    <row r="14" spans="1:7" ht="21.95" customHeight="1" x14ac:dyDescent="0.25">
      <c r="A14" s="4">
        <v>1</v>
      </c>
      <c r="B14" s="4" t="s">
        <v>297</v>
      </c>
      <c r="C14" s="4">
        <v>903</v>
      </c>
      <c r="D14" s="4">
        <v>474</v>
      </c>
      <c r="E14" s="4">
        <v>429</v>
      </c>
    </row>
    <row r="15" spans="1:7" ht="21.95" customHeight="1" x14ac:dyDescent="0.25">
      <c r="A15" s="4">
        <v>2</v>
      </c>
      <c r="B15" s="4" t="s">
        <v>298</v>
      </c>
      <c r="C15" s="4">
        <v>2151</v>
      </c>
      <c r="D15" s="4">
        <v>1223</v>
      </c>
      <c r="E15" s="4">
        <v>928</v>
      </c>
    </row>
    <row r="16" spans="1:7" ht="21.95" customHeight="1" x14ac:dyDescent="0.25">
      <c r="A16" s="4">
        <v>3</v>
      </c>
      <c r="B16" s="4" t="s">
        <v>299</v>
      </c>
      <c r="C16" s="4">
        <v>2872</v>
      </c>
      <c r="D16" s="4">
        <v>1662</v>
      </c>
      <c r="E16" s="4">
        <v>1210</v>
      </c>
    </row>
    <row r="17" spans="1:5" ht="21.95" customHeight="1" x14ac:dyDescent="0.25">
      <c r="A17" s="4">
        <v>4</v>
      </c>
      <c r="B17" s="4" t="s">
        <v>300</v>
      </c>
      <c r="C17" s="4">
        <v>6198</v>
      </c>
      <c r="D17" s="4">
        <v>3455</v>
      </c>
      <c r="E17" s="4">
        <v>2743</v>
      </c>
    </row>
    <row r="18" spans="1:5" ht="21.95" customHeight="1" x14ac:dyDescent="0.25">
      <c r="A18" s="4">
        <v>5</v>
      </c>
      <c r="B18" s="4" t="s">
        <v>301</v>
      </c>
      <c r="C18" s="4">
        <v>8820</v>
      </c>
      <c r="D18" s="4">
        <v>4669</v>
      </c>
      <c r="E18" s="4">
        <v>4151</v>
      </c>
    </row>
    <row r="19" spans="1:5" ht="21.95" customHeight="1" x14ac:dyDescent="0.25">
      <c r="A19" s="4">
        <v>6</v>
      </c>
      <c r="B19" s="4" t="s">
        <v>302</v>
      </c>
      <c r="C19" s="4">
        <v>6252</v>
      </c>
      <c r="D19" s="4">
        <v>3315</v>
      </c>
      <c r="E19" s="4">
        <v>2937</v>
      </c>
    </row>
    <row r="20" spans="1:5" ht="21.95" customHeight="1" x14ac:dyDescent="0.25">
      <c r="A20" s="4">
        <v>7</v>
      </c>
      <c r="B20" s="4" t="s">
        <v>303</v>
      </c>
      <c r="C20" s="4">
        <v>4286</v>
      </c>
      <c r="D20" s="4">
        <v>2188</v>
      </c>
      <c r="E20" s="4">
        <v>2098</v>
      </c>
    </row>
    <row r="21" spans="1:5" ht="21.95" customHeight="1" x14ac:dyDescent="0.25">
      <c r="A21" s="4">
        <v>8</v>
      </c>
      <c r="B21" s="4" t="s">
        <v>304</v>
      </c>
      <c r="C21" s="4">
        <v>5899</v>
      </c>
      <c r="D21" s="4">
        <v>3078</v>
      </c>
      <c r="E21" s="4">
        <v>2821</v>
      </c>
    </row>
    <row r="22" spans="1:5" ht="21.95" customHeight="1" x14ac:dyDescent="0.25">
      <c r="A22" s="4">
        <v>9</v>
      </c>
      <c r="B22" s="4" t="s">
        <v>305</v>
      </c>
      <c r="C22" s="4">
        <v>477</v>
      </c>
      <c r="D22" s="4">
        <v>245</v>
      </c>
      <c r="E22" s="4">
        <v>232</v>
      </c>
    </row>
    <row r="23" spans="1:5" ht="21.95" customHeight="1" x14ac:dyDescent="0.25">
      <c r="A23" s="5">
        <v>10</v>
      </c>
      <c r="B23" s="5" t="s">
        <v>306</v>
      </c>
      <c r="C23" s="5">
        <v>3579</v>
      </c>
      <c r="D23" s="5">
        <v>1976</v>
      </c>
      <c r="E23" s="5">
        <v>1603</v>
      </c>
    </row>
  </sheetData>
  <mergeCells count="4">
    <mergeCell ref="A4:A5"/>
    <mergeCell ref="B4:B5"/>
    <mergeCell ref="C4:E4"/>
    <mergeCell ref="A1:E1"/>
  </mergeCells>
  <hyperlinks>
    <hyperlink ref="A1:E1" location="'List of twonship'!A1" display="Tanintharyi Region,Kawthoung District, Bokepyin Township"/>
  </hyperlinks>
  <pageMargins left="0.75" right="0.5" top="0.5" bottom="0.2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sqref="A1:E1"/>
    </sheetView>
  </sheetViews>
  <sheetFormatPr defaultRowHeight="15" x14ac:dyDescent="0.25"/>
  <cols>
    <col min="1" max="1" width="6.42578125" customWidth="1"/>
    <col min="2" max="2" width="28.7109375" customWidth="1"/>
    <col min="3" max="4" width="15.7109375" customWidth="1"/>
    <col min="5" max="5" width="19.28515625" customWidth="1"/>
    <col min="7" max="7" width="29.28515625" customWidth="1"/>
  </cols>
  <sheetData>
    <row r="1" spans="1:5" ht="21" customHeight="1" x14ac:dyDescent="0.25">
      <c r="A1" s="32" t="s">
        <v>338</v>
      </c>
      <c r="B1" s="32"/>
      <c r="C1" s="32"/>
      <c r="D1" s="32"/>
      <c r="E1" s="32"/>
    </row>
    <row r="2" spans="1:5" ht="21" customHeight="1" x14ac:dyDescent="0.25">
      <c r="E2" s="23" t="s">
        <v>329</v>
      </c>
    </row>
    <row r="3" spans="1:5" ht="21" customHeight="1" x14ac:dyDescent="0.25"/>
    <row r="4" spans="1:5" ht="15.75" x14ac:dyDescent="0.25">
      <c r="A4" s="30" t="s">
        <v>328</v>
      </c>
      <c r="B4" s="30" t="s">
        <v>347</v>
      </c>
      <c r="C4" s="36" t="s">
        <v>327</v>
      </c>
      <c r="D4" s="37"/>
      <c r="E4" s="38"/>
    </row>
    <row r="5" spans="1:5" ht="15.75" x14ac:dyDescent="0.25">
      <c r="A5" s="31"/>
      <c r="B5" s="31"/>
      <c r="C5" s="7" t="s">
        <v>0</v>
      </c>
      <c r="D5" s="7" t="s">
        <v>1</v>
      </c>
      <c r="E5" s="7" t="s">
        <v>2</v>
      </c>
    </row>
    <row r="6" spans="1:5" ht="21.95" customHeight="1" x14ac:dyDescent="0.25">
      <c r="A6" s="12"/>
      <c r="B6" s="17" t="s">
        <v>0</v>
      </c>
      <c r="C6" s="13">
        <v>23040</v>
      </c>
      <c r="D6" s="13">
        <v>12656</v>
      </c>
      <c r="E6" s="13">
        <v>10384</v>
      </c>
    </row>
    <row r="7" spans="1:5" ht="10.5" customHeight="1" x14ac:dyDescent="0.25">
      <c r="A7" s="4"/>
      <c r="B7" s="4"/>
      <c r="C7" s="4"/>
      <c r="D7" s="4"/>
      <c r="E7" s="4"/>
    </row>
    <row r="8" spans="1:5" ht="21.95" customHeight="1" x14ac:dyDescent="0.25">
      <c r="A8" s="4"/>
      <c r="B8" s="9" t="s">
        <v>326</v>
      </c>
      <c r="C8" s="9">
        <f>SUM(C9:C13)</f>
        <v>10757</v>
      </c>
      <c r="D8" s="9">
        <f t="shared" ref="D8:E8" si="0">SUM(D9:D13)</f>
        <v>5924</v>
      </c>
      <c r="E8" s="9">
        <f t="shared" si="0"/>
        <v>4833</v>
      </c>
    </row>
    <row r="9" spans="1:5" ht="21.95" customHeight="1" x14ac:dyDescent="0.25">
      <c r="A9" s="4">
        <v>1</v>
      </c>
      <c r="B9" s="4" t="s">
        <v>154</v>
      </c>
      <c r="C9" s="4">
        <v>1603</v>
      </c>
      <c r="D9" s="4">
        <v>816</v>
      </c>
      <c r="E9" s="4">
        <v>787</v>
      </c>
    </row>
    <row r="10" spans="1:5" ht="21.95" customHeight="1" x14ac:dyDescent="0.25">
      <c r="A10" s="4">
        <v>2</v>
      </c>
      <c r="B10" s="4" t="s">
        <v>155</v>
      </c>
      <c r="C10" s="4">
        <v>730</v>
      </c>
      <c r="D10" s="4">
        <v>516</v>
      </c>
      <c r="E10" s="4">
        <v>214</v>
      </c>
    </row>
    <row r="11" spans="1:5" ht="21.95" customHeight="1" x14ac:dyDescent="0.25">
      <c r="A11" s="4">
        <v>3</v>
      </c>
      <c r="B11" s="4" t="s">
        <v>156</v>
      </c>
      <c r="C11" s="4">
        <v>939</v>
      </c>
      <c r="D11" s="4">
        <v>495</v>
      </c>
      <c r="E11" s="4">
        <v>444</v>
      </c>
    </row>
    <row r="12" spans="1:5" ht="21.95" customHeight="1" x14ac:dyDescent="0.25">
      <c r="A12" s="4">
        <v>4</v>
      </c>
      <c r="B12" s="4" t="s">
        <v>164</v>
      </c>
      <c r="C12" s="4">
        <v>645</v>
      </c>
      <c r="D12" s="4">
        <v>455</v>
      </c>
      <c r="E12" s="4">
        <v>190</v>
      </c>
    </row>
    <row r="13" spans="1:5" ht="21.95" customHeight="1" x14ac:dyDescent="0.25">
      <c r="A13" s="4">
        <v>5</v>
      </c>
      <c r="B13" s="4" t="s">
        <v>226</v>
      </c>
      <c r="C13" s="4">
        <v>6840</v>
      </c>
      <c r="D13" s="4">
        <v>3642</v>
      </c>
      <c r="E13" s="4">
        <v>3198</v>
      </c>
    </row>
    <row r="14" spans="1:5" ht="21.95" customHeight="1" x14ac:dyDescent="0.25">
      <c r="A14" s="4"/>
      <c r="B14" s="9" t="s">
        <v>346</v>
      </c>
      <c r="C14" s="9">
        <f>SUM(C15:C20)</f>
        <v>12283</v>
      </c>
      <c r="D14" s="9">
        <f t="shared" ref="D14:E14" si="1">SUM(D15:D20)</f>
        <v>6732</v>
      </c>
      <c r="E14" s="9">
        <f t="shared" si="1"/>
        <v>5551</v>
      </c>
    </row>
    <row r="15" spans="1:5" ht="21.95" customHeight="1" x14ac:dyDescent="0.25">
      <c r="A15" s="4">
        <v>1</v>
      </c>
      <c r="B15" s="4" t="s">
        <v>307</v>
      </c>
      <c r="C15" s="4">
        <v>1175</v>
      </c>
      <c r="D15" s="4">
        <v>614</v>
      </c>
      <c r="E15" s="4">
        <v>561</v>
      </c>
    </row>
    <row r="16" spans="1:5" ht="21.95" customHeight="1" x14ac:dyDescent="0.25">
      <c r="A16" s="4">
        <v>2</v>
      </c>
      <c r="B16" s="4" t="s">
        <v>308</v>
      </c>
      <c r="C16" s="4">
        <v>1042</v>
      </c>
      <c r="D16" s="4">
        <v>562</v>
      </c>
      <c r="E16" s="4">
        <v>480</v>
      </c>
    </row>
    <row r="17" spans="1:5" ht="21.95" customHeight="1" x14ac:dyDescent="0.25">
      <c r="A17" s="4">
        <v>3</v>
      </c>
      <c r="B17" s="4" t="s">
        <v>309</v>
      </c>
      <c r="C17" s="4">
        <v>4046</v>
      </c>
      <c r="D17" s="4">
        <v>2253</v>
      </c>
      <c r="E17" s="4">
        <v>1793</v>
      </c>
    </row>
    <row r="18" spans="1:5" ht="21.95" customHeight="1" x14ac:dyDescent="0.25">
      <c r="A18" s="4">
        <v>4</v>
      </c>
      <c r="B18" s="4" t="s">
        <v>310</v>
      </c>
      <c r="C18" s="4">
        <v>3026</v>
      </c>
      <c r="D18" s="4">
        <v>1703</v>
      </c>
      <c r="E18" s="4">
        <v>1323</v>
      </c>
    </row>
    <row r="19" spans="1:5" ht="21.95" customHeight="1" x14ac:dyDescent="0.25">
      <c r="A19" s="4">
        <v>5</v>
      </c>
      <c r="B19" s="4" t="s">
        <v>311</v>
      </c>
      <c r="C19" s="4">
        <v>1387</v>
      </c>
      <c r="D19" s="4">
        <v>725</v>
      </c>
      <c r="E19" s="4">
        <v>662</v>
      </c>
    </row>
    <row r="20" spans="1:5" ht="21.95" customHeight="1" x14ac:dyDescent="0.25">
      <c r="A20" s="5">
        <v>6</v>
      </c>
      <c r="B20" s="5" t="s">
        <v>312</v>
      </c>
      <c r="C20" s="5">
        <v>1607</v>
      </c>
      <c r="D20" s="5">
        <v>875</v>
      </c>
      <c r="E20" s="5">
        <v>732</v>
      </c>
    </row>
  </sheetData>
  <mergeCells count="4">
    <mergeCell ref="A4:A5"/>
    <mergeCell ref="B4:B5"/>
    <mergeCell ref="C4:E4"/>
    <mergeCell ref="A1:E1"/>
  </mergeCells>
  <hyperlinks>
    <hyperlink ref="A1:E1" location="'List of twonship'!A1" display="Tanintharyi Region,Kawthoung District, Khamaukkyi (Sub-Township)"/>
  </hyperlinks>
  <pageMargins left="0.75" right="0.5" top="0.5" bottom="0.2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selection sqref="A1:E1"/>
    </sheetView>
  </sheetViews>
  <sheetFormatPr defaultRowHeight="15" x14ac:dyDescent="0.25"/>
  <cols>
    <col min="1" max="1" width="6.7109375" customWidth="1"/>
    <col min="2" max="2" width="42" customWidth="1"/>
    <col min="3" max="5" width="15.7109375" customWidth="1"/>
    <col min="7" max="7" width="36.85546875" customWidth="1"/>
  </cols>
  <sheetData>
    <row r="1" spans="1:7" ht="21" customHeight="1" x14ac:dyDescent="0.25">
      <c r="A1" s="32" t="s">
        <v>339</v>
      </c>
      <c r="B1" s="32"/>
      <c r="C1" s="32"/>
      <c r="D1" s="32"/>
      <c r="E1" s="32"/>
    </row>
    <row r="2" spans="1:7" ht="21" customHeight="1" x14ac:dyDescent="0.25">
      <c r="E2" s="23" t="s">
        <v>329</v>
      </c>
    </row>
    <row r="3" spans="1:7" ht="21" customHeight="1" x14ac:dyDescent="0.25"/>
    <row r="4" spans="1:7" ht="21.95" customHeight="1" x14ac:dyDescent="0.25">
      <c r="A4" s="30" t="s">
        <v>328</v>
      </c>
      <c r="B4" s="30" t="s">
        <v>347</v>
      </c>
      <c r="C4" s="36" t="s">
        <v>327</v>
      </c>
      <c r="D4" s="37"/>
      <c r="E4" s="38"/>
    </row>
    <row r="5" spans="1:7" ht="21.95" customHeight="1" x14ac:dyDescent="0.25">
      <c r="A5" s="31"/>
      <c r="B5" s="31"/>
      <c r="C5" s="7" t="s">
        <v>0</v>
      </c>
      <c r="D5" s="7" t="s">
        <v>1</v>
      </c>
      <c r="E5" s="7" t="s">
        <v>2</v>
      </c>
    </row>
    <row r="6" spans="1:7" ht="21.95" customHeight="1" x14ac:dyDescent="0.25">
      <c r="A6" s="12"/>
      <c r="B6" s="17" t="s">
        <v>0</v>
      </c>
      <c r="C6" s="13">
        <v>16604</v>
      </c>
      <c r="D6" s="13">
        <v>8798</v>
      </c>
      <c r="E6" s="13">
        <v>7806</v>
      </c>
    </row>
    <row r="7" spans="1:7" ht="10.5" customHeight="1" x14ac:dyDescent="0.25">
      <c r="A7" s="4"/>
      <c r="B7" s="4"/>
      <c r="C7" s="4"/>
      <c r="D7" s="4"/>
      <c r="E7" s="4"/>
    </row>
    <row r="8" spans="1:7" ht="21.95" customHeight="1" x14ac:dyDescent="0.25">
      <c r="A8" s="4"/>
      <c r="B8" s="9" t="s">
        <v>326</v>
      </c>
      <c r="C8" s="9">
        <f>SUM(C9:C11)</f>
        <v>3646</v>
      </c>
      <c r="D8" s="9">
        <f t="shared" ref="D8:E8" si="0">SUM(D9:D11)</f>
        <v>1965</v>
      </c>
      <c r="E8" s="9">
        <f t="shared" si="0"/>
        <v>1681</v>
      </c>
    </row>
    <row r="9" spans="1:7" ht="21.95" customHeight="1" x14ac:dyDescent="0.25">
      <c r="A9" s="4">
        <v>1</v>
      </c>
      <c r="B9" s="4" t="s">
        <v>313</v>
      </c>
      <c r="C9" s="4">
        <v>1566</v>
      </c>
      <c r="D9" s="4">
        <v>784</v>
      </c>
      <c r="E9" s="4">
        <v>782</v>
      </c>
    </row>
    <row r="10" spans="1:7" ht="21.95" customHeight="1" x14ac:dyDescent="0.25">
      <c r="A10" s="4">
        <v>2</v>
      </c>
      <c r="B10" s="4" t="s">
        <v>314</v>
      </c>
      <c r="C10" s="4">
        <v>1453</v>
      </c>
      <c r="D10" s="4">
        <v>769</v>
      </c>
      <c r="E10" s="4">
        <v>684</v>
      </c>
    </row>
    <row r="11" spans="1:7" ht="21.95" customHeight="1" x14ac:dyDescent="0.25">
      <c r="A11" s="4">
        <v>3</v>
      </c>
      <c r="B11" s="4" t="s">
        <v>315</v>
      </c>
      <c r="C11" s="4">
        <v>627</v>
      </c>
      <c r="D11" s="4">
        <v>412</v>
      </c>
      <c r="E11" s="4">
        <v>215</v>
      </c>
    </row>
    <row r="12" spans="1:7" ht="21.95" customHeight="1" x14ac:dyDescent="0.25">
      <c r="A12" s="4"/>
      <c r="B12" s="9" t="s">
        <v>346</v>
      </c>
      <c r="C12" s="9">
        <f>SUM(C13:C19)</f>
        <v>12958</v>
      </c>
      <c r="D12" s="9">
        <f t="shared" ref="D12:E12" si="1">SUM(D13:D19)</f>
        <v>6833</v>
      </c>
      <c r="E12" s="9">
        <f t="shared" si="1"/>
        <v>6125</v>
      </c>
      <c r="G12" s="22"/>
    </row>
    <row r="13" spans="1:7" ht="21.95" customHeight="1" x14ac:dyDescent="0.25">
      <c r="A13" s="4">
        <v>1</v>
      </c>
      <c r="B13" s="4" t="s">
        <v>316</v>
      </c>
      <c r="C13" s="4">
        <v>4604</v>
      </c>
      <c r="D13" s="4">
        <v>2349</v>
      </c>
      <c r="E13" s="4">
        <v>2255</v>
      </c>
    </row>
    <row r="14" spans="1:7" ht="21.95" customHeight="1" x14ac:dyDescent="0.25">
      <c r="A14" s="4">
        <v>2</v>
      </c>
      <c r="B14" s="4" t="s">
        <v>317</v>
      </c>
      <c r="C14" s="4">
        <v>3469</v>
      </c>
      <c r="D14" s="4">
        <v>1888</v>
      </c>
      <c r="E14" s="4">
        <v>1581</v>
      </c>
    </row>
    <row r="15" spans="1:7" ht="21.95" customHeight="1" x14ac:dyDescent="0.25">
      <c r="A15" s="4">
        <v>3</v>
      </c>
      <c r="B15" s="4" t="s">
        <v>318</v>
      </c>
      <c r="C15" s="4">
        <v>474</v>
      </c>
      <c r="D15" s="4">
        <v>241</v>
      </c>
      <c r="E15" s="4">
        <v>233</v>
      </c>
    </row>
    <row r="16" spans="1:7" ht="21.95" customHeight="1" x14ac:dyDescent="0.25">
      <c r="A16" s="4">
        <v>4</v>
      </c>
      <c r="B16" s="4" t="s">
        <v>319</v>
      </c>
      <c r="C16" s="4">
        <v>353</v>
      </c>
      <c r="D16" s="4">
        <v>192</v>
      </c>
      <c r="E16" s="4">
        <v>161</v>
      </c>
    </row>
    <row r="17" spans="1:5" ht="21.95" customHeight="1" x14ac:dyDescent="0.25">
      <c r="A17" s="4">
        <v>5</v>
      </c>
      <c r="B17" s="4" t="s">
        <v>320</v>
      </c>
      <c r="C17" s="4">
        <v>1078</v>
      </c>
      <c r="D17" s="4">
        <v>573</v>
      </c>
      <c r="E17" s="4">
        <v>505</v>
      </c>
    </row>
    <row r="18" spans="1:5" ht="21.95" customHeight="1" x14ac:dyDescent="0.25">
      <c r="A18" s="4">
        <v>6</v>
      </c>
      <c r="B18" s="4" t="s">
        <v>321</v>
      </c>
      <c r="C18" s="4">
        <v>814</v>
      </c>
      <c r="D18" s="4">
        <v>462</v>
      </c>
      <c r="E18" s="4">
        <v>352</v>
      </c>
    </row>
    <row r="19" spans="1:5" ht="21.95" customHeight="1" x14ac:dyDescent="0.25">
      <c r="A19" s="5">
        <v>7</v>
      </c>
      <c r="B19" s="5" t="s">
        <v>322</v>
      </c>
      <c r="C19" s="5">
        <v>2166</v>
      </c>
      <c r="D19" s="5">
        <v>1128</v>
      </c>
      <c r="E19" s="5">
        <v>1038</v>
      </c>
    </row>
  </sheetData>
  <mergeCells count="4">
    <mergeCell ref="A4:A5"/>
    <mergeCell ref="B4:B5"/>
    <mergeCell ref="C4:E4"/>
    <mergeCell ref="A1:E1"/>
  </mergeCells>
  <hyperlinks>
    <hyperlink ref="A1:E1" location="'List of twonship'!A1" display="Tanintharyi Region,Kawthoung District,Pyigyimandaing (Sub-Township)"/>
  </hyperlinks>
  <pageMargins left="0.75" right="0.5" top="0.5" bottom="0.2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>
      <selection sqref="A1:E1"/>
    </sheetView>
  </sheetViews>
  <sheetFormatPr defaultRowHeight="15" x14ac:dyDescent="0.25"/>
  <cols>
    <col min="1" max="1" width="7.28515625" customWidth="1"/>
    <col min="2" max="2" width="23.5703125" customWidth="1"/>
    <col min="3" max="3" width="17.5703125" customWidth="1"/>
    <col min="4" max="4" width="15.7109375" customWidth="1"/>
    <col min="5" max="5" width="19.42578125" customWidth="1"/>
    <col min="7" max="7" width="21.5703125" customWidth="1"/>
    <col min="8" max="10" width="18.7109375" customWidth="1"/>
  </cols>
  <sheetData>
    <row r="1" spans="1:10" ht="21" customHeight="1" x14ac:dyDescent="0.25">
      <c r="A1" s="32" t="s">
        <v>340</v>
      </c>
      <c r="B1" s="32"/>
      <c r="C1" s="32"/>
      <c r="D1" s="32"/>
      <c r="E1" s="32"/>
    </row>
    <row r="2" spans="1:10" ht="21" customHeight="1" x14ac:dyDescent="0.25">
      <c r="E2" s="23" t="s">
        <v>329</v>
      </c>
    </row>
    <row r="3" spans="1:10" ht="21" customHeight="1" x14ac:dyDescent="0.25">
      <c r="B3" s="3"/>
      <c r="C3" s="3"/>
      <c r="D3" s="3"/>
    </row>
    <row r="4" spans="1:10" ht="15.75" x14ac:dyDescent="0.25">
      <c r="A4" s="33" t="s">
        <v>328</v>
      </c>
      <c r="B4" s="30" t="s">
        <v>347</v>
      </c>
      <c r="C4" s="36" t="s">
        <v>327</v>
      </c>
      <c r="D4" s="37"/>
      <c r="E4" s="38"/>
    </row>
    <row r="5" spans="1:10" ht="15.75" x14ac:dyDescent="0.25">
      <c r="A5" s="34"/>
      <c r="B5" s="31"/>
      <c r="C5" s="7" t="s">
        <v>0</v>
      </c>
      <c r="D5" s="7" t="s">
        <v>1</v>
      </c>
      <c r="E5" s="7" t="s">
        <v>2</v>
      </c>
    </row>
    <row r="6" spans="1:10" ht="21.95" customHeight="1" x14ac:dyDescent="0.25">
      <c r="A6" s="6"/>
      <c r="B6" s="17" t="s">
        <v>0</v>
      </c>
      <c r="C6" s="9">
        <v>18293</v>
      </c>
      <c r="D6" s="9">
        <v>9922</v>
      </c>
      <c r="E6" s="9">
        <v>8371</v>
      </c>
    </row>
    <row r="7" spans="1:10" ht="7.5" customHeight="1" x14ac:dyDescent="0.25">
      <c r="A7" s="4"/>
      <c r="B7" s="9"/>
      <c r="C7" s="9"/>
      <c r="D7" s="9"/>
      <c r="E7" s="9"/>
    </row>
    <row r="8" spans="1:10" ht="21.95" customHeight="1" x14ac:dyDescent="0.25">
      <c r="A8" s="4"/>
      <c r="B8" s="9" t="s">
        <v>326</v>
      </c>
      <c r="C8" s="9">
        <f>SUM(C9:C11)</f>
        <v>1412</v>
      </c>
      <c r="D8" s="9">
        <f t="shared" ref="D8:E8" si="0">SUM(D9:D11)</f>
        <v>788</v>
      </c>
      <c r="E8" s="9">
        <f t="shared" si="0"/>
        <v>624</v>
      </c>
    </row>
    <row r="9" spans="1:10" ht="21.95" customHeight="1" x14ac:dyDescent="0.25">
      <c r="A9" s="4">
        <v>1</v>
      </c>
      <c r="B9" s="4" t="s">
        <v>154</v>
      </c>
      <c r="C9" s="4">
        <v>873</v>
      </c>
      <c r="D9" s="4">
        <v>497</v>
      </c>
      <c r="E9" s="4">
        <v>376</v>
      </c>
    </row>
    <row r="10" spans="1:10" ht="21.95" customHeight="1" x14ac:dyDescent="0.25">
      <c r="A10" s="4">
        <v>2</v>
      </c>
      <c r="B10" s="4" t="s">
        <v>155</v>
      </c>
      <c r="C10" s="4">
        <v>152</v>
      </c>
      <c r="D10" s="4">
        <v>72</v>
      </c>
      <c r="E10" s="4">
        <v>80</v>
      </c>
    </row>
    <row r="11" spans="1:10" ht="21.95" customHeight="1" x14ac:dyDescent="0.25">
      <c r="A11" s="4">
        <v>3</v>
      </c>
      <c r="B11" s="4" t="s">
        <v>156</v>
      </c>
      <c r="C11" s="4">
        <v>387</v>
      </c>
      <c r="D11" s="4">
        <v>219</v>
      </c>
      <c r="E11" s="4">
        <v>168</v>
      </c>
    </row>
    <row r="12" spans="1:10" ht="21.95" customHeight="1" x14ac:dyDescent="0.25">
      <c r="A12" s="4"/>
      <c r="B12" s="9" t="s">
        <v>346</v>
      </c>
      <c r="C12" s="9">
        <f>SUM(C13:C15)</f>
        <v>16881</v>
      </c>
      <c r="D12" s="9">
        <f t="shared" ref="D12:E12" si="1">SUM(D13:D15)</f>
        <v>9134</v>
      </c>
      <c r="E12" s="9">
        <f t="shared" si="1"/>
        <v>7747</v>
      </c>
    </row>
    <row r="13" spans="1:10" ht="21.95" customHeight="1" x14ac:dyDescent="0.25">
      <c r="A13" s="15">
        <v>1</v>
      </c>
      <c r="B13" s="4" t="s">
        <v>323</v>
      </c>
      <c r="C13" s="4">
        <v>10678</v>
      </c>
      <c r="D13" s="4">
        <v>5735</v>
      </c>
      <c r="E13" s="4">
        <v>4943</v>
      </c>
    </row>
    <row r="14" spans="1:10" ht="21.95" customHeight="1" x14ac:dyDescent="0.25">
      <c r="A14" s="15">
        <v>2</v>
      </c>
      <c r="B14" s="4" t="s">
        <v>324</v>
      </c>
      <c r="C14" s="4">
        <v>3896</v>
      </c>
      <c r="D14" s="4">
        <v>2125</v>
      </c>
      <c r="E14" s="4">
        <v>1771</v>
      </c>
    </row>
    <row r="15" spans="1:10" ht="21.95" customHeight="1" x14ac:dyDescent="0.25">
      <c r="A15" s="16">
        <v>3</v>
      </c>
      <c r="B15" s="5" t="s">
        <v>325</v>
      </c>
      <c r="C15" s="5">
        <v>2307</v>
      </c>
      <c r="D15" s="5">
        <v>1274</v>
      </c>
      <c r="E15" s="5">
        <v>1033</v>
      </c>
    </row>
    <row r="16" spans="1:10" ht="15.75" x14ac:dyDescent="0.25">
      <c r="G16" s="3"/>
      <c r="H16" s="3"/>
      <c r="I16" s="3"/>
      <c r="J16" s="3"/>
    </row>
  </sheetData>
  <mergeCells count="4">
    <mergeCell ref="A1:E1"/>
    <mergeCell ref="C4:E4"/>
    <mergeCell ref="B4:B5"/>
    <mergeCell ref="A4:A5"/>
  </mergeCells>
  <hyperlinks>
    <hyperlink ref="A1:E1" location="'List of twonship'!A1" display="Tanintharyi Region, Kawthoung District, Karathuri (Sub-Township)"/>
  </hyperlinks>
  <pageMargins left="0.75" right="0.5" top="0.5" bottom="0.2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P22" sqref="P22"/>
    </sheetView>
  </sheetViews>
  <sheetFormatPr defaultRowHeight="15" x14ac:dyDescent="0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K11" sqref="K11"/>
    </sheetView>
  </sheetViews>
  <sheetFormatPr defaultRowHeight="15" x14ac:dyDescent="0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8</vt:i4>
      </vt:variant>
    </vt:vector>
  </HeadingPairs>
  <TitlesOfParts>
    <vt:vector size="28" baseType="lpstr">
      <vt:lpstr>List of twonship</vt:lpstr>
      <vt:lpstr> Dawei</vt:lpstr>
      <vt:lpstr> Lounglon</vt:lpstr>
      <vt:lpstr>Thayetchaung</vt:lpstr>
      <vt:lpstr>Yebyu</vt:lpstr>
      <vt:lpstr>Myitta(Sub-Tsp)</vt:lpstr>
      <vt:lpstr> Kaleinaung(Sub-Tsp)</vt:lpstr>
      <vt:lpstr> Myeik</vt:lpstr>
      <vt:lpstr>Kyunsu</vt:lpstr>
      <vt:lpstr>Palaw</vt:lpstr>
      <vt:lpstr>Tanintharyi</vt:lpstr>
      <vt:lpstr> Palauk(Sub-Tsp)</vt:lpstr>
      <vt:lpstr>Kawthoung</vt:lpstr>
      <vt:lpstr>Bokepyin</vt:lpstr>
      <vt:lpstr> Khamaukkyi(Sub-Tsp)</vt:lpstr>
      <vt:lpstr>Pyigyimandaing(Sub-Tsp)</vt:lpstr>
      <vt:lpstr>Karathuri(Sub-Tsp)</vt:lpstr>
      <vt:lpstr>Sheet2</vt:lpstr>
      <vt:lpstr>Sheet3</vt:lpstr>
      <vt:lpstr>Sheet4</vt:lpstr>
      <vt:lpstr>' Dawei'!Print_Titles</vt:lpstr>
      <vt:lpstr>' Lounglon'!Print_Titles</vt:lpstr>
      <vt:lpstr>' Myeik'!Print_Titles</vt:lpstr>
      <vt:lpstr>Bokepyin!Print_Titles</vt:lpstr>
      <vt:lpstr>Kyunsu!Print_Titles</vt:lpstr>
      <vt:lpstr>Palaw!Print_Titles</vt:lpstr>
      <vt:lpstr>Thayetchaung!Print_Titles</vt:lpstr>
      <vt:lpstr>Yebyu!Print_Titles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Sandar Myint</dc:creator>
  <cp:lastModifiedBy>Naing Phyo Kyaw</cp:lastModifiedBy>
  <cp:lastPrinted>2015-09-02T02:45:54Z</cp:lastPrinted>
  <dcterms:created xsi:type="dcterms:W3CDTF">2015-06-01T07:30:46Z</dcterms:created>
  <dcterms:modified xsi:type="dcterms:W3CDTF">2015-09-02T06:43:39Z</dcterms:modified>
</cp:coreProperties>
</file>