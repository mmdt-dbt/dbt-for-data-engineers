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7490" windowHeight="10830" tabRatio="682"/>
  </bookViews>
  <sheets>
    <sheet name="list of township" sheetId="34" r:id="rId1"/>
    <sheet name="Myitkyinar" sheetId="2" r:id="rId2"/>
    <sheet name="Waingmaw" sheetId="3" r:id="rId3"/>
    <sheet name="Ingyanyan" sheetId="5" r:id="rId4"/>
    <sheet name="Tanaing" sheetId="6" r:id="rId5"/>
    <sheet name="Chiphwe" sheetId="7" r:id="rId6"/>
    <sheet name="Hsotlaw" sheetId="8" r:id="rId7"/>
    <sheet name="Hsinbo(Sub-Tsp)" sheetId="9" r:id="rId8"/>
    <sheet name="Hsadone(Sub-Tsp)" sheetId="10" r:id="rId9"/>
    <sheet name="Kanpaikti(Sub-Tsp)" sheetId="11" r:id="rId10"/>
    <sheet name="Shinbwanyyan(Sub-Tsp)" sheetId="12" r:id="rId11"/>
    <sheet name="Panwa(Sub-Tsp)" sheetId="13" r:id="rId12"/>
    <sheet name="Mohnyin" sheetId="14" r:id="rId13"/>
    <sheet name="Mogaung" sheetId="15" r:id="rId14"/>
    <sheet name="Phakant" sheetId="16" r:id="rId15"/>
    <sheet name="Hopin(Sub-Tsp)" sheetId="17" r:id="rId16"/>
    <sheet name="Kamine(Sub-Tsp)" sheetId="18" r:id="rId17"/>
    <sheet name="Bhamo" sheetId="19" r:id="rId18"/>
    <sheet name="Shwegu" sheetId="20" r:id="rId19"/>
    <sheet name="Momauk" sheetId="21" r:id="rId20"/>
    <sheet name="Mansi" sheetId="22" r:id="rId21"/>
    <sheet name="Myohla(Sub-Tsp)" sheetId="23" r:id="rId22"/>
    <sheet name=" Lwe`ge`(Sub-Tsp)" sheetId="24" r:id="rId23"/>
    <sheet name=" Dotphoneyan(Sub-Tsp)" sheetId="25" r:id="rId24"/>
    <sheet name="Putao" sheetId="26" r:id="rId25"/>
    <sheet name="Sumprabum" sheetId="27" r:id="rId26"/>
    <sheet name="Machanbaw" sheetId="28" r:id="rId27"/>
    <sheet name="Khaunglanphoo" sheetId="29" r:id="rId28"/>
    <sheet name="Naungmoon" sheetId="30" r:id="rId29"/>
    <sheet name="Pannandin(Sub-Tsp)" sheetId="31" r:id="rId30"/>
    <sheet name="Sheet2" sheetId="32" r:id="rId31"/>
    <sheet name="Sheet3" sheetId="33" r:id="rId32"/>
  </sheets>
  <definedNames>
    <definedName name="_xlnm.Print_Titles" localSheetId="17">Bhamo!$1:$5</definedName>
    <definedName name="_xlnm.Print_Titles" localSheetId="5">Chiphwe!$1:$6</definedName>
    <definedName name="_xlnm.Print_Titles" localSheetId="6">Hsotlaw!$1:$5</definedName>
    <definedName name="_xlnm.Print_Titles" localSheetId="27">Khaunglanphoo!$1:$5</definedName>
    <definedName name="_xlnm.Print_Titles" localSheetId="13">Mogaung!$1:$5</definedName>
    <definedName name="_xlnm.Print_Titles" localSheetId="12">Mohnyin!$1:$5</definedName>
    <definedName name="_xlnm.Print_Titles" localSheetId="1">Myitkyinar!$4:$5</definedName>
    <definedName name="_xlnm.Print_Titles" localSheetId="18">Shwegu!$1:$5</definedName>
    <definedName name="_xlnm.Print_Titles" localSheetId="2">Waingmaw!$1:$5</definedName>
  </definedNames>
  <calcPr calcId="145621"/>
</workbook>
</file>

<file path=xl/calcChain.xml><?xml version="1.0" encoding="utf-8"?>
<calcChain xmlns="http://schemas.openxmlformats.org/spreadsheetml/2006/main">
  <c r="B22" i="34" l="1"/>
  <c r="B19" i="34"/>
  <c r="B30" i="34"/>
  <c r="B29" i="34"/>
  <c r="B28" i="34"/>
  <c r="B27" i="34"/>
  <c r="B26" i="34"/>
  <c r="B25" i="34"/>
  <c r="B24" i="34"/>
  <c r="B23" i="34"/>
  <c r="B21" i="34"/>
  <c r="B20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B4" i="34"/>
  <c r="B3" i="34"/>
  <c r="B2" i="34"/>
  <c r="D11" i="31" l="1"/>
  <c r="E11" i="31"/>
  <c r="C11" i="31"/>
  <c r="D8" i="31"/>
  <c r="E8" i="31"/>
  <c r="E6" i="31" s="1"/>
  <c r="C8" i="31"/>
  <c r="D15" i="30"/>
  <c r="E15" i="30"/>
  <c r="C15" i="30"/>
  <c r="D8" i="30"/>
  <c r="E8" i="30"/>
  <c r="C8" i="30"/>
  <c r="C6" i="30" s="1"/>
  <c r="D14" i="29"/>
  <c r="E14" i="29"/>
  <c r="C14" i="29"/>
  <c r="D8" i="29"/>
  <c r="D6" i="29" s="1"/>
  <c r="E8" i="29"/>
  <c r="C8" i="29"/>
  <c r="D14" i="28"/>
  <c r="E14" i="28"/>
  <c r="C14" i="28"/>
  <c r="D8" i="28"/>
  <c r="E8" i="28"/>
  <c r="C8" i="28"/>
  <c r="D13" i="27"/>
  <c r="E13" i="27"/>
  <c r="C13" i="27"/>
  <c r="D8" i="27"/>
  <c r="E8" i="27"/>
  <c r="C8" i="27"/>
  <c r="C6" i="27" s="1"/>
  <c r="D8" i="26"/>
  <c r="E8" i="26"/>
  <c r="C8" i="26"/>
  <c r="D20" i="26"/>
  <c r="E20" i="26"/>
  <c r="C20" i="26"/>
  <c r="D13" i="25"/>
  <c r="E13" i="25"/>
  <c r="C13" i="25"/>
  <c r="D8" i="25"/>
  <c r="E8" i="25"/>
  <c r="C8" i="25"/>
  <c r="C6" i="25" s="1"/>
  <c r="D17" i="24"/>
  <c r="E17" i="24"/>
  <c r="C17" i="24"/>
  <c r="D8" i="24"/>
  <c r="E8" i="24"/>
  <c r="C8" i="24"/>
  <c r="D14" i="23"/>
  <c r="E14" i="23"/>
  <c r="C14" i="23"/>
  <c r="D8" i="23"/>
  <c r="E8" i="23"/>
  <c r="C8" i="23"/>
  <c r="C6" i="23" s="1"/>
  <c r="D14" i="22"/>
  <c r="E14" i="22"/>
  <c r="C14" i="22"/>
  <c r="D8" i="22"/>
  <c r="E8" i="22"/>
  <c r="C8" i="22"/>
  <c r="D13" i="21"/>
  <c r="E13" i="21"/>
  <c r="C13" i="21"/>
  <c r="D8" i="21"/>
  <c r="E8" i="21"/>
  <c r="C8" i="21"/>
  <c r="C6" i="21" s="1"/>
  <c r="D14" i="20"/>
  <c r="E14" i="20"/>
  <c r="C14" i="20"/>
  <c r="D8" i="20"/>
  <c r="D6" i="20" s="1"/>
  <c r="E8" i="20"/>
  <c r="C8" i="20"/>
  <c r="D23" i="19"/>
  <c r="E23" i="19"/>
  <c r="C23" i="19"/>
  <c r="D8" i="19"/>
  <c r="E8" i="19"/>
  <c r="C8" i="19"/>
  <c r="D8" i="18"/>
  <c r="E8" i="18"/>
  <c r="C8" i="18"/>
  <c r="D11" i="18"/>
  <c r="E11" i="18"/>
  <c r="C11" i="18"/>
  <c r="D14" i="17"/>
  <c r="E14" i="17"/>
  <c r="C14" i="17"/>
  <c r="D8" i="17"/>
  <c r="E8" i="17"/>
  <c r="C8" i="17"/>
  <c r="D8" i="16"/>
  <c r="E8" i="16"/>
  <c r="C8" i="16"/>
  <c r="D15" i="16"/>
  <c r="D6" i="16" s="1"/>
  <c r="E15" i="16"/>
  <c r="C15" i="16"/>
  <c r="D8" i="15"/>
  <c r="E8" i="15"/>
  <c r="C8" i="15"/>
  <c r="D16" i="15"/>
  <c r="E16" i="15"/>
  <c r="C16" i="15"/>
  <c r="D8" i="14"/>
  <c r="E8" i="14"/>
  <c r="C8" i="14"/>
  <c r="D15" i="14"/>
  <c r="E15" i="14"/>
  <c r="C15" i="14"/>
  <c r="D13" i="13"/>
  <c r="E13" i="13"/>
  <c r="C13" i="13"/>
  <c r="D8" i="13"/>
  <c r="E8" i="13"/>
  <c r="C8" i="13"/>
  <c r="D14" i="12"/>
  <c r="E14" i="12"/>
  <c r="C14" i="12"/>
  <c r="D8" i="12"/>
  <c r="E8" i="12"/>
  <c r="C8" i="12"/>
  <c r="D8" i="11"/>
  <c r="E8" i="11"/>
  <c r="C8" i="11"/>
  <c r="D13" i="11"/>
  <c r="E13" i="11"/>
  <c r="C13" i="11"/>
  <c r="D15" i="10"/>
  <c r="E15" i="10"/>
  <c r="C15" i="10"/>
  <c r="D8" i="10"/>
  <c r="E8" i="10"/>
  <c r="C8" i="10"/>
  <c r="D13" i="9"/>
  <c r="E13" i="9"/>
  <c r="C13" i="9"/>
  <c r="D8" i="9"/>
  <c r="E8" i="9"/>
  <c r="C8" i="9"/>
  <c r="D11" i="8"/>
  <c r="E11" i="8"/>
  <c r="C11" i="8"/>
  <c r="D8" i="8"/>
  <c r="E8" i="8"/>
  <c r="C8" i="8"/>
  <c r="D14" i="7"/>
  <c r="E14" i="7"/>
  <c r="C14" i="7"/>
  <c r="D8" i="7"/>
  <c r="E8" i="7"/>
  <c r="C8" i="7"/>
  <c r="D16" i="6"/>
  <c r="E16" i="6"/>
  <c r="C16" i="6"/>
  <c r="D8" i="6"/>
  <c r="E8" i="6"/>
  <c r="C8" i="6"/>
  <c r="E6" i="20" l="1"/>
  <c r="E6" i="22"/>
  <c r="E6" i="28"/>
  <c r="E6" i="11"/>
  <c r="C6" i="16"/>
  <c r="E6" i="13"/>
  <c r="D6" i="30"/>
  <c r="D6" i="25"/>
  <c r="E6" i="29"/>
  <c r="E6" i="19"/>
  <c r="E6" i="25"/>
  <c r="D6" i="26"/>
  <c r="C6" i="11"/>
  <c r="D6" i="19"/>
  <c r="C6" i="22"/>
  <c r="C6" i="28"/>
  <c r="E6" i="30"/>
  <c r="D6" i="31"/>
  <c r="C6" i="9"/>
  <c r="D6" i="18"/>
  <c r="C6" i="18"/>
  <c r="D6" i="13"/>
  <c r="C6" i="31"/>
  <c r="C6" i="29"/>
  <c r="D6" i="28"/>
  <c r="D6" i="27"/>
  <c r="E6" i="27"/>
  <c r="C6" i="26"/>
  <c r="E6" i="26"/>
  <c r="D6" i="24"/>
  <c r="E6" i="24"/>
  <c r="C6" i="24"/>
  <c r="E6" i="23"/>
  <c r="D6" i="23"/>
  <c r="D6" i="22"/>
  <c r="E6" i="21"/>
  <c r="D6" i="21"/>
  <c r="C6" i="20"/>
  <c r="C6" i="19"/>
  <c r="E6" i="18"/>
  <c r="E6" i="17"/>
  <c r="C6" i="17"/>
  <c r="D6" i="17"/>
  <c r="E6" i="16"/>
  <c r="C6" i="15"/>
  <c r="D6" i="15"/>
  <c r="E6" i="15"/>
  <c r="C6" i="14"/>
  <c r="D6" i="14"/>
  <c r="E6" i="14"/>
  <c r="C6" i="13"/>
  <c r="E6" i="12"/>
  <c r="C6" i="12"/>
  <c r="D6" i="12"/>
  <c r="D6" i="11"/>
  <c r="E6" i="10"/>
  <c r="C6" i="10"/>
  <c r="D6" i="10"/>
  <c r="E6" i="9"/>
  <c r="D6" i="9"/>
  <c r="E6" i="8"/>
  <c r="D6" i="8"/>
  <c r="C6" i="8"/>
  <c r="C6" i="7"/>
  <c r="E6" i="7"/>
  <c r="D6" i="7"/>
  <c r="C6" i="6"/>
  <c r="E6" i="6"/>
  <c r="D6" i="6"/>
  <c r="D14" i="5"/>
  <c r="E14" i="5"/>
  <c r="C14" i="5"/>
  <c r="D8" i="5"/>
  <c r="E8" i="5"/>
  <c r="C8" i="5"/>
  <c r="D15" i="3"/>
  <c r="E15" i="3"/>
  <c r="C15" i="3"/>
  <c r="D8" i="3"/>
  <c r="E8" i="3"/>
  <c r="C8" i="3"/>
  <c r="E6" i="5" l="1"/>
  <c r="D6" i="5"/>
  <c r="C6" i="5"/>
  <c r="E6" i="3"/>
  <c r="D6" i="3"/>
  <c r="C6" i="3"/>
  <c r="D7" i="2"/>
  <c r="E7" i="2"/>
  <c r="C7" i="2"/>
  <c r="D37" i="2"/>
  <c r="E37" i="2"/>
  <c r="C37" i="2"/>
  <c r="D6" i="2" l="1"/>
  <c r="C6" i="2"/>
  <c r="E6" i="2"/>
</calcChain>
</file>

<file path=xl/sharedStrings.xml><?xml version="1.0" encoding="utf-8"?>
<sst xmlns="http://schemas.openxmlformats.org/spreadsheetml/2006/main" count="900" uniqueCount="562">
  <si>
    <t>Total</t>
  </si>
  <si>
    <t>Male</t>
  </si>
  <si>
    <t>Female</t>
  </si>
  <si>
    <t xml:space="preserve">            Aye Yar(W)</t>
  </si>
  <si>
    <t xml:space="preserve">            Thi Dar(W)</t>
  </si>
  <si>
    <t xml:space="preserve">            Yan Gyi Aung(W)</t>
  </si>
  <si>
    <t xml:space="preserve">            Du Ka Htaung(W)</t>
  </si>
  <si>
    <t xml:space="preserve">            Myo Ma(W)</t>
  </si>
  <si>
    <t xml:space="preserve">            Min Yat(W)</t>
  </si>
  <si>
    <t xml:space="preserve">            Shan Su (North)(W)</t>
  </si>
  <si>
    <t xml:space="preserve">            Shan Su (South)(W)</t>
  </si>
  <si>
    <t xml:space="preserve">            Kachin Su(W)</t>
  </si>
  <si>
    <t xml:space="preserve">            Kyun Pin Thar(W)</t>
  </si>
  <si>
    <t xml:space="preserve">            Aye Zay Di (W)</t>
  </si>
  <si>
    <t xml:space="preserve">            Shwe Nyaung Pin(W)</t>
  </si>
  <si>
    <t xml:space="preserve">            Myo Thit (W)</t>
  </si>
  <si>
    <t xml:space="preserve">            Aung Nan(W)</t>
  </si>
  <si>
    <t xml:space="preserve">            Khay Mar Thi Ri(W)</t>
  </si>
  <si>
    <t xml:space="preserve">            Yu Za Na(W)</t>
  </si>
  <si>
    <t xml:space="preserve">            Myay Myint(W)</t>
  </si>
  <si>
    <t xml:space="preserve">            Shwe Set(W)</t>
  </si>
  <si>
    <t xml:space="preserve">            Man Khein(W)</t>
  </si>
  <si>
    <t xml:space="preserve">            Tat Kone(W)</t>
  </si>
  <si>
    <t xml:space="preserve">            Si Tar Pu(W)</t>
  </si>
  <si>
    <t xml:space="preserve">            Ram Pu(W)</t>
  </si>
  <si>
    <t xml:space="preserve">            Kyet Paung Chan(W)</t>
  </si>
  <si>
    <t xml:space="preserve">            Myo Thit Gyi(W)</t>
  </si>
  <si>
    <t xml:space="preserve">            Lel Kone(W)</t>
  </si>
  <si>
    <t xml:space="preserve">            Shwe Aik(W)</t>
  </si>
  <si>
    <t xml:space="preserve">            Shwe Pyi Thar(W)</t>
  </si>
  <si>
    <t xml:space="preserve">            Pan Ma Ti(W)</t>
  </si>
  <si>
    <t xml:space="preserve">            Alam(VT)</t>
  </si>
  <si>
    <t xml:space="preserve">            Nawng Nang(VT)</t>
  </si>
  <si>
    <t xml:space="preserve">            Pa La Na Sa Khan Myar(VT)</t>
  </si>
  <si>
    <t xml:space="preserve">            Nam Jin(VT)</t>
  </si>
  <si>
    <t xml:space="preserve">            Nam Koi(VT)</t>
  </si>
  <si>
    <t xml:space="preserve">            Maw Hpawng(VT)</t>
  </si>
  <si>
    <t xml:space="preserve">            Sha Daung(VT)</t>
  </si>
  <si>
    <t xml:space="preserve">            Lwe Hkaw(VT)</t>
  </si>
  <si>
    <t xml:space="preserve">            Tang Hpre(VT)</t>
  </si>
  <si>
    <t xml:space="preserve">            In Jit Yang(VT)</t>
  </si>
  <si>
    <t xml:space="preserve">            Ti Yang Zug(VT)</t>
  </si>
  <si>
    <t xml:space="preserve">            Ta Law Gyi(VT)</t>
  </si>
  <si>
    <t xml:space="preserve">            Hkaung Hpu Ywar Thit(VT)</t>
  </si>
  <si>
    <t xml:space="preserve">            Hkaung Hpu Ywar Haung(VT)</t>
  </si>
  <si>
    <t xml:space="preserve">            Ho Kat(VT)</t>
  </si>
  <si>
    <t xml:space="preserve">            San Kin(VT)</t>
  </si>
  <si>
    <t xml:space="preserve">            Ah Kye(VT)</t>
  </si>
  <si>
    <t xml:space="preserve">            No(1)(W)</t>
  </si>
  <si>
    <t xml:space="preserve">            No(2)(W)</t>
  </si>
  <si>
    <t xml:space="preserve">            No(3)(W)</t>
  </si>
  <si>
    <t xml:space="preserve">            No(4)(W)</t>
  </si>
  <si>
    <t xml:space="preserve">            No(5)(W)</t>
  </si>
  <si>
    <t xml:space="preserve">            Mading(VT)</t>
  </si>
  <si>
    <t xml:space="preserve">            Moke Lwe(VT)</t>
  </si>
  <si>
    <t xml:space="preserve">            Hkat Cho(VT)</t>
  </si>
  <si>
    <t xml:space="preserve">            Aung Myay(1)(VT)</t>
  </si>
  <si>
    <t xml:space="preserve">            Aung Myay(2)(VT)</t>
  </si>
  <si>
    <t xml:space="preserve">            Mai Na(VT)</t>
  </si>
  <si>
    <t xml:space="preserve">            Nawng Ta Law(VT)</t>
  </si>
  <si>
    <t xml:space="preserve">            Nawng Hee(VT)</t>
  </si>
  <si>
    <t xml:space="preserve">            Ma Hkan Tee(VT)</t>
  </si>
  <si>
    <t xml:space="preserve">            Wu Yang(VT)</t>
  </si>
  <si>
    <t xml:space="preserve">            Shwe Nyaung Pin(VT)</t>
  </si>
  <si>
    <t xml:space="preserve">            Nawng Si Paw(VT)</t>
  </si>
  <si>
    <t xml:space="preserve">            Nawng Chein(VT)</t>
  </si>
  <si>
    <t xml:space="preserve">            Nang War(VT)</t>
  </si>
  <si>
    <t xml:space="preserve">            War Shawng(VT)</t>
  </si>
  <si>
    <t xml:space="preserve">            Ding Jang Yang(VT)</t>
  </si>
  <si>
    <t xml:space="preserve">            Sha Ngaw(VT)</t>
  </si>
  <si>
    <t xml:space="preserve">            Ma Ga Ran Yang(VT)</t>
  </si>
  <si>
    <t xml:space="preserve">            Hpan Dawng(VT)</t>
  </si>
  <si>
    <t xml:space="preserve">            Gang Dau Yang(VT)</t>
  </si>
  <si>
    <t xml:space="preserve">            Nam Sang Yang(VT)</t>
  </si>
  <si>
    <t xml:space="preserve">            Da Bak Yang(VT)</t>
  </si>
  <si>
    <t xml:space="preserve">            Sai Law(VT)</t>
  </si>
  <si>
    <t xml:space="preserve">            Man Wein(VT)</t>
  </si>
  <si>
    <t xml:space="preserve">            San Ka(VT)</t>
  </si>
  <si>
    <t xml:space="preserve">            Hpung Tang Kawng(VT)</t>
  </si>
  <si>
    <t xml:space="preserve">            In Waing Kawng(VT)</t>
  </si>
  <si>
    <t xml:space="preserve">            Myit Son(VT)</t>
  </si>
  <si>
    <t xml:space="preserve">            Sin Sa Kaung(W)</t>
  </si>
  <si>
    <t xml:space="preserve">            Mon Dein Kaung(W)</t>
  </si>
  <si>
    <t xml:space="preserve">            Hu Kaung(W)</t>
  </si>
  <si>
    <t xml:space="preserve">            Kin Sar(W)</t>
  </si>
  <si>
    <t xml:space="preserve">            Du Kaung(W)</t>
  </si>
  <si>
    <t xml:space="preserve">            Pon Khon Kaung(W)</t>
  </si>
  <si>
    <t xml:space="preserve">            Ting Kawk(VT)</t>
  </si>
  <si>
    <t xml:space="preserve">            Nam Hpyet Yang(VT)</t>
  </si>
  <si>
    <t xml:space="preserve">            Kawng Ra(VT)</t>
  </si>
  <si>
    <t xml:space="preserve">            Mai Khun (Mone Hkawm)(VT)</t>
  </si>
  <si>
    <t xml:space="preserve">            Ma Kaw(VT)</t>
  </si>
  <si>
    <t xml:space="preserve">            Shin Lon Ga(VT)</t>
  </si>
  <si>
    <t xml:space="preserve">            Nankhanpar(Nanbyu)(VT)</t>
  </si>
  <si>
    <t xml:space="preserve">            Dalue(VT)</t>
  </si>
  <si>
    <t xml:space="preserve">            Aunglord(VT)</t>
  </si>
  <si>
    <t xml:space="preserve">            Yit Law Hkaung(W)</t>
  </si>
  <si>
    <t xml:space="preserve">            Oke Kat(W)</t>
  </si>
  <si>
    <t xml:space="preserve">            Ba Leit Dan(W)</t>
  </si>
  <si>
    <t xml:space="preserve">            Kan Paing Yan (W)</t>
  </si>
  <si>
    <t xml:space="preserve">            Lai Ma Yang(VT)</t>
  </si>
  <si>
    <t xml:space="preserve">            Zan Nawng(VT)</t>
  </si>
  <si>
    <t xml:space="preserve">            Na Law(VT)</t>
  </si>
  <si>
    <t xml:space="preserve">            Myaw Maw Pa(VT)</t>
  </si>
  <si>
    <t xml:space="preserve">            Man San(VT)</t>
  </si>
  <si>
    <t xml:space="preserve">            Shan Kyaw(VT)</t>
  </si>
  <si>
    <t xml:space="preserve">            Ma Gaung(VT)</t>
  </si>
  <si>
    <t xml:space="preserve">            Bang Li(VT)</t>
  </si>
  <si>
    <t xml:space="preserve">            Nam Maw Zup(VT)</t>
  </si>
  <si>
    <t xml:space="preserve">            Ta Mu(VT)</t>
  </si>
  <si>
    <t xml:space="preserve">            Hpa Lar(VT)</t>
  </si>
  <si>
    <t xml:space="preserve">            Byaw Li(VT)</t>
  </si>
  <si>
    <t xml:space="preserve">            Man Dong(VT)</t>
  </si>
  <si>
    <t xml:space="preserve">            Law Hkawng(VT)</t>
  </si>
  <si>
    <t xml:space="preserve">            Ya Jawng(VT)</t>
  </si>
  <si>
    <t xml:space="preserve">            Jit Lai(VT)</t>
  </si>
  <si>
    <t xml:space="preserve">            Yi Jaw(VT)</t>
  </si>
  <si>
    <t xml:space="preserve">            Mawng Gong(VT)</t>
  </si>
  <si>
    <t xml:space="preserve">            Kyin Htong(VT)</t>
  </si>
  <si>
    <t xml:space="preserve">            Htaw Gawt(VT)</t>
  </si>
  <si>
    <t xml:space="preserve">            Lang Yang(VT)</t>
  </si>
  <si>
    <t xml:space="preserve">            Bwi Lat(VT)</t>
  </si>
  <si>
    <t xml:space="preserve">            Gam Hkun(VT)</t>
  </si>
  <si>
    <t xml:space="preserve">            Htum Shing(VT)</t>
  </si>
  <si>
    <t xml:space="preserve">            Nu Zung Baung(VT)</t>
  </si>
  <si>
    <t xml:space="preserve">            Chit Gaw(VT)</t>
  </si>
  <si>
    <t xml:space="preserve">            Htan Dung(VT)</t>
  </si>
  <si>
    <t xml:space="preserve">            La Ngaw Hkaw(VT)</t>
  </si>
  <si>
    <t xml:space="preserve">            Sa Du Law(VT)</t>
  </si>
  <si>
    <t xml:space="preserve">            Ngwa Hpa Hka(VT)</t>
  </si>
  <si>
    <t xml:space="preserve">            Kan Hpan(VT)</t>
  </si>
  <si>
    <t xml:space="preserve">            Hsawlaw(W)</t>
  </si>
  <si>
    <t xml:space="preserve">            La Hkam(VT)</t>
  </si>
  <si>
    <t xml:space="preserve">            Yin Kyang(VT)</t>
  </si>
  <si>
    <t xml:space="preserve">            Wa Hau(VT)</t>
  </si>
  <si>
    <t xml:space="preserve">            Man Kyi(VT)</t>
  </si>
  <si>
    <t xml:space="preserve">            Han Kaw(VT)</t>
  </si>
  <si>
    <t xml:space="preserve">            Yaw Jaw(VT)</t>
  </si>
  <si>
    <t xml:space="preserve">            Jit Loi(VT)</t>
  </si>
  <si>
    <t xml:space="preserve">            Laung Din(VT)</t>
  </si>
  <si>
    <t xml:space="preserve">            Shin Swei(VT)</t>
  </si>
  <si>
    <t xml:space="preserve">            Myaw Jaung(VT)</t>
  </si>
  <si>
    <t xml:space="preserve">            Man Byawt(VT)</t>
  </si>
  <si>
    <t xml:space="preserve">            Gawt Maw(VT)</t>
  </si>
  <si>
    <t xml:space="preserve">            Lawng Lang(VT)</t>
  </si>
  <si>
    <t xml:space="preserve">            Zan Yu(VT)</t>
  </si>
  <si>
    <t xml:space="preserve">            Kyee Shin(VT)</t>
  </si>
  <si>
    <t xml:space="preserve">            Wa Myit(VT)</t>
  </si>
  <si>
    <t xml:space="preserve">            Htaw Lang(VT)</t>
  </si>
  <si>
    <t xml:space="preserve">            La Kin(VT)</t>
  </si>
  <si>
    <t xml:space="preserve">            Lar Chin(VT)</t>
  </si>
  <si>
    <t xml:space="preserve">            Jar Ran(VT)</t>
  </si>
  <si>
    <t xml:space="preserve">            Ba Shea(VT)</t>
  </si>
  <si>
    <t xml:space="preserve">            Aye Yar U(W)</t>
  </si>
  <si>
    <t xml:space="preserve">            Aung Min Ga Lar(W)</t>
  </si>
  <si>
    <t xml:space="preserve">            Aung Chan Thar(W)</t>
  </si>
  <si>
    <t xml:space="preserve">            Myin Thar(VT)</t>
  </si>
  <si>
    <t xml:space="preserve">            Yae Nar Pin Lon(VT)</t>
  </si>
  <si>
    <t xml:space="preserve">            Pin Taw(VT)</t>
  </si>
  <si>
    <t xml:space="preserve">            Taw Pin Lon(VT)</t>
  </si>
  <si>
    <t xml:space="preserve">            Man Kin(VT)</t>
  </si>
  <si>
    <t xml:space="preserve">            Wea Gyi(VT)</t>
  </si>
  <si>
    <t xml:space="preserve">            Nawng Pwe(VT)</t>
  </si>
  <si>
    <t xml:space="preserve">            Nei Char(VT)</t>
  </si>
  <si>
    <t xml:space="preserve">            Man Hpwar(VT)</t>
  </si>
  <si>
    <t xml:space="preserve">            Nyaung Pin Thar(VT)</t>
  </si>
  <si>
    <t xml:space="preserve">            Waing Lon(VT)</t>
  </si>
  <si>
    <t xml:space="preserve">            Tar Hoe Nar(VT)</t>
  </si>
  <si>
    <t xml:space="preserve">            Sa Nar(VT)</t>
  </si>
  <si>
    <t xml:space="preserve">            La Hpai(VT)</t>
  </si>
  <si>
    <t xml:space="preserve">            Hpung Kraw(VT)</t>
  </si>
  <si>
    <t xml:space="preserve">            Lu Htaung(VT)</t>
  </si>
  <si>
    <t xml:space="preserve">            Saga Pa(VT)</t>
  </si>
  <si>
    <t xml:space="preserve">            Waw Shung(VT)</t>
  </si>
  <si>
    <t xml:space="preserve">            Lawt Pun(VT)</t>
  </si>
  <si>
    <t xml:space="preserve">            Zahkung(VT)</t>
  </si>
  <si>
    <t xml:space="preserve">            Hka Lone(VT)</t>
  </si>
  <si>
    <t xml:space="preserve">            Ta Ron(VT)</t>
  </si>
  <si>
    <t xml:space="preserve">            Lang Jaw(VT)</t>
  </si>
  <si>
    <t xml:space="preserve">            Bawm Myan(VT)</t>
  </si>
  <si>
    <t xml:space="preserve">            La Gwi(VT)</t>
  </si>
  <si>
    <t xml:space="preserve">            Hpa Re(VT)</t>
  </si>
  <si>
    <t xml:space="preserve">            Shi Kyang(VT)</t>
  </si>
  <si>
    <t xml:space="preserve">            Gawt Yum(VT)</t>
  </si>
  <si>
    <t xml:space="preserve">            Hpi Maw(VT)</t>
  </si>
  <si>
    <t xml:space="preserve">            Nam Khar(W)</t>
  </si>
  <si>
    <t xml:space="preserve">            Oke Kyin(W)</t>
  </si>
  <si>
    <t xml:space="preserve">            Ah Shey Su(W)</t>
  </si>
  <si>
    <t xml:space="preserve">            Aung Tha Pyay(W)</t>
  </si>
  <si>
    <t xml:space="preserve">            Forest EA</t>
  </si>
  <si>
    <t xml:space="preserve">            Pin Lon(VT)</t>
  </si>
  <si>
    <t xml:space="preserve">            Maw Han(VT)</t>
  </si>
  <si>
    <t xml:space="preserve">            Se Maing Ywar Thit(VT)</t>
  </si>
  <si>
    <t xml:space="preserve">            Kar Tu(VT)</t>
  </si>
  <si>
    <t xml:space="preserve">            Nyaung Kaing(VT)</t>
  </si>
  <si>
    <t xml:space="preserve">            Bi Lu(VT)</t>
  </si>
  <si>
    <t xml:space="preserve">            In Gyin Kone(VT)</t>
  </si>
  <si>
    <t xml:space="preserve">            Nyaung Kone(VT)</t>
  </si>
  <si>
    <t xml:space="preserve">            Pin He(VT)</t>
  </si>
  <si>
    <t xml:space="preserve">            Inn Kone(VT)</t>
  </si>
  <si>
    <t xml:space="preserve">            Nam Mar(VT)</t>
  </si>
  <si>
    <t xml:space="preserve">            Lel Mee(VT)</t>
  </si>
  <si>
    <t xml:space="preserve">            Nam Saw Law(VT)</t>
  </si>
  <si>
    <t xml:space="preserve">            Taung Inn(VT)</t>
  </si>
  <si>
    <t xml:space="preserve">            Nam Mun(VT)</t>
  </si>
  <si>
    <t xml:space="preserve">            Ma Mon Kaing(VT)</t>
  </si>
  <si>
    <t xml:space="preserve">            Lone Ton(VT)</t>
  </si>
  <si>
    <t xml:space="preserve">            Maing Poke(VT)</t>
  </si>
  <si>
    <t xml:space="preserve">            Lwe Mun(VT)</t>
  </si>
  <si>
    <t xml:space="preserve">            Nyaung Pin(VT)</t>
  </si>
  <si>
    <t xml:space="preserve">            Lone Sant(VT)</t>
  </si>
  <si>
    <t xml:space="preserve">            He Pu(VT)</t>
  </si>
  <si>
    <t xml:space="preserve">            Chaung Wa(VT)</t>
  </si>
  <si>
    <t xml:space="preserve">            Pan Lar(VT)</t>
  </si>
  <si>
    <t xml:space="preserve">            Ma Pyin(VT)</t>
  </si>
  <si>
    <t xml:space="preserve">            He Lon(VT)</t>
  </si>
  <si>
    <t xml:space="preserve">            Ywar Thit Kone(VT)</t>
  </si>
  <si>
    <t xml:space="preserve">            Nam Poke(VT)</t>
  </si>
  <si>
    <t xml:space="preserve">            Nam Yin(W)</t>
  </si>
  <si>
    <t xml:space="preserve">            Oe Tan(W)</t>
  </si>
  <si>
    <t xml:space="preserve">            Ah Lel(W)</t>
  </si>
  <si>
    <t xml:space="preserve">            Ah Shey(W)</t>
  </si>
  <si>
    <t xml:space="preserve">            Zay Kone(W)</t>
  </si>
  <si>
    <t xml:space="preserve">            Nat Gyi Kone(W)</t>
  </si>
  <si>
    <t xml:space="preserve">            Ywar Thit(VT)</t>
  </si>
  <si>
    <t xml:space="preserve">            Nawng Kaing Htaw(VT)</t>
  </si>
  <si>
    <t xml:space="preserve">            Pin Khar(VT)</t>
  </si>
  <si>
    <t xml:space="preserve">            Kyar Inn(VT)</t>
  </si>
  <si>
    <t xml:space="preserve">            Kyun Pin Thar(VT)</t>
  </si>
  <si>
    <t xml:space="preserve">            Yae Shin(VT)</t>
  </si>
  <si>
    <t xml:space="preserve">            Lwe Li Yang(VT)</t>
  </si>
  <si>
    <t xml:space="preserve">            Man Ywet(VT)</t>
  </si>
  <si>
    <t xml:space="preserve">            Saung Khar(VT)</t>
  </si>
  <si>
    <t xml:space="preserve">            Nam Hai(VT)</t>
  </si>
  <si>
    <t xml:space="preserve">            Lwe Law(VT)</t>
  </si>
  <si>
    <t xml:space="preserve">            Aung Thar(VT)</t>
  </si>
  <si>
    <t xml:space="preserve">            Shwe Inn(VT)</t>
  </si>
  <si>
    <t xml:space="preserve">            Hto Pu(VT)</t>
  </si>
  <si>
    <t xml:space="preserve">            Inn Baung(VT)</t>
  </si>
  <si>
    <t xml:space="preserve">            Sar Hmaw(VT)</t>
  </si>
  <si>
    <t xml:space="preserve">            Ka War Yang(VT)</t>
  </si>
  <si>
    <t xml:space="preserve">            Taung Ni(VT)</t>
  </si>
  <si>
    <t xml:space="preserve">            Nam Ma Na(VT)</t>
  </si>
  <si>
    <t xml:space="preserve">            Pint Thar(VT)</t>
  </si>
  <si>
    <t xml:space="preserve">            Ohn Baung(VT)</t>
  </si>
  <si>
    <t xml:space="preserve">            Thaik War Kone(VT)</t>
  </si>
  <si>
    <t xml:space="preserve">            In Kyin Kone(VT)</t>
  </si>
  <si>
    <t xml:space="preserve">            Pin Baw(VT)</t>
  </si>
  <si>
    <t xml:space="preserve">            Kone Tan Gyi(VT)</t>
  </si>
  <si>
    <t xml:space="preserve">            Htone Yae Pauk(VT)</t>
  </si>
  <si>
    <t xml:space="preserve">            Nam Khwin(VT)</t>
  </si>
  <si>
    <t xml:space="preserve">            Nam Ma Tee(VT)</t>
  </si>
  <si>
    <t xml:space="preserve">            Thu Htay Kone(VT)</t>
  </si>
  <si>
    <t xml:space="preserve">            Mya Daung(VT)</t>
  </si>
  <si>
    <t xml:space="preserve">            Kan Hla(VT)</t>
  </si>
  <si>
    <t xml:space="preserve">            See Din Yang(VT)</t>
  </si>
  <si>
    <t xml:space="preserve">            Myo Thit Gyi(VT)</t>
  </si>
  <si>
    <t xml:space="preserve">            Lan Gwa(VT)</t>
  </si>
  <si>
    <t xml:space="preserve">            Nyaung Taw(VT)</t>
  </si>
  <si>
    <t xml:space="preserve">            Ma Ram(VT)</t>
  </si>
  <si>
    <t xml:space="preserve">            Hsut Hlyan(VT)</t>
  </si>
  <si>
    <t xml:space="preserve">            Maw Wam Ward(W)</t>
  </si>
  <si>
    <t xml:space="preserve">            Hnget Pyaw Taw(W)</t>
  </si>
  <si>
    <t xml:space="preserve">            Aye Mya Thar Yar(W)</t>
  </si>
  <si>
    <t xml:space="preserve">            Ma Shi Ka Htaung(W)</t>
  </si>
  <si>
    <t xml:space="preserve">            Lone Khin(VT)</t>
  </si>
  <si>
    <t xml:space="preserve">            Nam Ma Hpyit(VT)</t>
  </si>
  <si>
    <t xml:space="preserve">            Seik Mu(VT)</t>
  </si>
  <si>
    <t xml:space="preserve">            Haung Par(VT)</t>
  </si>
  <si>
    <t xml:space="preserve">            Dun Bone Hka(VT)</t>
  </si>
  <si>
    <t xml:space="preserve">            La War(VT)</t>
  </si>
  <si>
    <t xml:space="preserve">            Dun Bang(VT)</t>
  </si>
  <si>
    <t xml:space="preserve">            Nawng Mi(VT)</t>
  </si>
  <si>
    <t xml:space="preserve">            Wa Ra Zut(VT)</t>
  </si>
  <si>
    <t xml:space="preserve">            Mya Thi Dar(W)</t>
  </si>
  <si>
    <t xml:space="preserve">            Mya Zay Yar(W)</t>
  </si>
  <si>
    <t xml:space="preserve">            Myo Ma(South)(W)</t>
  </si>
  <si>
    <t xml:space="preserve">            Myo Ma(North)(W)</t>
  </si>
  <si>
    <t xml:space="preserve">            Myo Thit Ka Lay(VT)</t>
  </si>
  <si>
    <t xml:space="preserve">            Ta Kwin(VT)</t>
  </si>
  <si>
    <t xml:space="preserve">            Kyar Gyi Kwin(VT)</t>
  </si>
  <si>
    <t xml:space="preserve">            Ywar Thit Gyi(VT)</t>
  </si>
  <si>
    <t xml:space="preserve">            Zaw Ti Kone(VT)</t>
  </si>
  <si>
    <t xml:space="preserve">            Khun Hnit Maing Kone Tan(VT)</t>
  </si>
  <si>
    <t xml:space="preserve">            Inn Lay(VT)</t>
  </si>
  <si>
    <t xml:space="preserve">            Nam Yin(VT)</t>
  </si>
  <si>
    <t xml:space="preserve">            Kamaing(W)</t>
  </si>
  <si>
    <t xml:space="preserve">            Gau Ri(VT)</t>
  </si>
  <si>
    <t xml:space="preserve">            Nam Si In(VT)</t>
  </si>
  <si>
    <t xml:space="preserve">            Ka Htan Yang(VT)</t>
  </si>
  <si>
    <t xml:space="preserve">            Nam Ya(VT)</t>
  </si>
  <si>
    <t xml:space="preserve">            Kat Hmaw Sut(VT)</t>
  </si>
  <si>
    <t xml:space="preserve">            Khun Thar(W)</t>
  </si>
  <si>
    <t xml:space="preserve">            Ah Lel Yat(W)</t>
  </si>
  <si>
    <t xml:space="preserve">            Min Kone(W)</t>
  </si>
  <si>
    <t xml:space="preserve">            Thar Si(W)</t>
  </si>
  <si>
    <t xml:space="preserve">            Pauk Kone(W)</t>
  </si>
  <si>
    <t xml:space="preserve">            Min Kyaung Kone(W)</t>
  </si>
  <si>
    <t xml:space="preserve">            Nyaung Pin(W)</t>
  </si>
  <si>
    <t xml:space="preserve">            Thi Ri(W)</t>
  </si>
  <si>
    <t xml:space="preserve">            Sin Kone(W)</t>
  </si>
  <si>
    <t xml:space="preserve">            Nam Hpar(W)</t>
  </si>
  <si>
    <t xml:space="preserve">            Nawng Kho(W)</t>
  </si>
  <si>
    <t xml:space="preserve">            Shwe Kyee Nar(W)</t>
  </si>
  <si>
    <t xml:space="preserve">            Kywe Gyo Kan Ba Ni(VT)</t>
  </si>
  <si>
    <t xml:space="preserve">            Nawng Laik(VT)</t>
  </si>
  <si>
    <t xml:space="preserve">            Man Khun(VT)</t>
  </si>
  <si>
    <t xml:space="preserve">            Wet Kone(VT)</t>
  </si>
  <si>
    <t xml:space="preserve">            Kho Kyin(VT)</t>
  </si>
  <si>
    <t xml:space="preserve">            Man Hpar(VT)</t>
  </si>
  <si>
    <t xml:space="preserve">            Si In(VT)</t>
  </si>
  <si>
    <t xml:space="preserve">            Moe Hping(VT)</t>
  </si>
  <si>
    <t xml:space="preserve">            Tar Maing Lon(VT)</t>
  </si>
  <si>
    <t xml:space="preserve">            He Lon Thit(VT)</t>
  </si>
  <si>
    <t xml:space="preserve">            He Lon Haung(VT)</t>
  </si>
  <si>
    <t xml:space="preserve">            Sai Kin(VT)</t>
  </si>
  <si>
    <t xml:space="preserve">            Ma Lu La(VT)</t>
  </si>
  <si>
    <t xml:space="preserve">            Nam Hlaing(VT)</t>
  </si>
  <si>
    <t xml:space="preserve">            Hku Li(VT)</t>
  </si>
  <si>
    <t xml:space="preserve">            Ma Au Pin(VT)</t>
  </si>
  <si>
    <t xml:space="preserve">            Man Yay(VT)</t>
  </si>
  <si>
    <t xml:space="preserve">            Sint Kin(VT)</t>
  </si>
  <si>
    <t xml:space="preserve">            Thing Ling(VT)</t>
  </si>
  <si>
    <t xml:space="preserve">            Han Te(VT)</t>
  </si>
  <si>
    <t xml:space="preserve">            Kone Ma Hat(VT)</t>
  </si>
  <si>
    <t xml:space="preserve">            Si He(VT)</t>
  </si>
  <si>
    <t xml:space="preserve">            Kan Ba Ni(VT)</t>
  </si>
  <si>
    <t xml:space="preserve">            Sar Wa Tee(VT)</t>
  </si>
  <si>
    <t xml:space="preserve">            Man Yut(VT)</t>
  </si>
  <si>
    <t xml:space="preserve">            Man Ma Lin(VT)</t>
  </si>
  <si>
    <t xml:space="preserve">            Kawn Hka(VT)</t>
  </si>
  <si>
    <t xml:space="preserve">            Man Pin(VT)</t>
  </si>
  <si>
    <t xml:space="preserve">            Kyun Gyi(VT)</t>
  </si>
  <si>
    <t xml:space="preserve">            Maing Kar(VT)</t>
  </si>
  <si>
    <t xml:space="preserve">            Tha Hpan Pin(VT)</t>
  </si>
  <si>
    <t xml:space="preserve">            Hnget Pyaw Taw(VT)</t>
  </si>
  <si>
    <t xml:space="preserve">            Mya Zay Di(VT)</t>
  </si>
  <si>
    <t xml:space="preserve">            Pa Pau(VT)</t>
  </si>
  <si>
    <t xml:space="preserve">            Kawng Sint(VT)</t>
  </si>
  <si>
    <t xml:space="preserve">            Yae Ni(VT)</t>
  </si>
  <si>
    <t xml:space="preserve">            Kan Thar(VT)</t>
  </si>
  <si>
    <t xml:space="preserve">            Let Pan Tan(VT)</t>
  </si>
  <si>
    <t xml:space="preserve">            Tein Thaw(VT)</t>
  </si>
  <si>
    <t xml:space="preserve">            Sin Hkan(VT)</t>
  </si>
  <si>
    <t xml:space="preserve">            Kawng Ton(VT)</t>
  </si>
  <si>
    <t xml:space="preserve">            Nawng Mo(VT)</t>
  </si>
  <si>
    <t xml:space="preserve">            Thin Baw Inn(VT)</t>
  </si>
  <si>
    <t xml:space="preserve">            Moe Sit(VT)</t>
  </si>
  <si>
    <t xml:space="preserve">            Yae Le(VT)</t>
  </si>
  <si>
    <t xml:space="preserve">            Sin Tat(VT)</t>
  </si>
  <si>
    <t xml:space="preserve">            Sin Hpoke(VT)</t>
  </si>
  <si>
    <t xml:space="preserve">            Nga Bat Gyi(VT)</t>
  </si>
  <si>
    <t xml:space="preserve">            Pan Tin(VT)</t>
  </si>
  <si>
    <t xml:space="preserve">            Si Thaung(VT)</t>
  </si>
  <si>
    <t xml:space="preserve">            Si Thar(VT)</t>
  </si>
  <si>
    <t xml:space="preserve">            Si Maw(VT)</t>
  </si>
  <si>
    <t xml:space="preserve">            Si Mu Gyi(VT)</t>
  </si>
  <si>
    <t xml:space="preserve">            Nawng Let Gyi(VT)</t>
  </si>
  <si>
    <t xml:space="preserve">            Taw Pone(VT)</t>
  </si>
  <si>
    <t xml:space="preserve">            Bo Kone(VT)</t>
  </si>
  <si>
    <t xml:space="preserve">            Shwe Bon Thar(VT)</t>
  </si>
  <si>
    <t xml:space="preserve">            Tein Hun(VT)</t>
  </si>
  <si>
    <t xml:space="preserve">            Tha Yet Kone(VT)</t>
  </si>
  <si>
    <t xml:space="preserve">            Seik Thar(VT)</t>
  </si>
  <si>
    <t xml:space="preserve">            Tha Pyay Hla(VT)</t>
  </si>
  <si>
    <t xml:space="preserve">            Ma Ni Aw Ga(VT)</t>
  </si>
  <si>
    <t xml:space="preserve">            Kyauk Gyi(VT)</t>
  </si>
  <si>
    <t xml:space="preserve">            Myo Kone(VT)</t>
  </si>
  <si>
    <t xml:space="preserve">            Si Thaw(VT)</t>
  </si>
  <si>
    <t xml:space="preserve">            Shwe Chang tar(VT)</t>
  </si>
  <si>
    <t xml:space="preserve">            Khar Nan(W)</t>
  </si>
  <si>
    <t xml:space="preserve">            Ah Lin Kawng(W)</t>
  </si>
  <si>
    <t xml:space="preserve">            Kyay Nan Waing(W)</t>
  </si>
  <si>
    <t xml:space="preserve">            Man Pon(VT)</t>
  </si>
  <si>
    <t xml:space="preserve">            Kyauk Sa Khan(VT)</t>
  </si>
  <si>
    <t xml:space="preserve">            Kun Bang(VT)</t>
  </si>
  <si>
    <t xml:space="preserve">            Ja Hkan Dat(VT)</t>
  </si>
  <si>
    <t xml:space="preserve">            Gwei Ka Htaung(VT)</t>
  </si>
  <si>
    <t xml:space="preserve">            Prang Hku Dong(VT)</t>
  </si>
  <si>
    <t xml:space="preserve">            Myo Thit(VT)</t>
  </si>
  <si>
    <t xml:space="preserve">            Min Gyan(VT)</t>
  </si>
  <si>
    <t xml:space="preserve">            Si Kaw(VT)</t>
  </si>
  <si>
    <t xml:space="preserve">            Khon Sint(VT)</t>
  </si>
  <si>
    <t xml:space="preserve">            Man Nawng(VT)</t>
  </si>
  <si>
    <t xml:space="preserve">            Hnin Ei(VT)</t>
  </si>
  <si>
    <t xml:space="preserve">            Pan Choe Hai(VT)</t>
  </si>
  <si>
    <t xml:space="preserve">            Ma Khwei(VT)</t>
  </si>
  <si>
    <t xml:space="preserve">            Nawng Kun (Nawng Kawn)(VT)</t>
  </si>
  <si>
    <t xml:space="preserve">            Nawng Kon(VT)</t>
  </si>
  <si>
    <t xml:space="preserve">            Maing Khat(VT)</t>
  </si>
  <si>
    <t xml:space="preserve">            Tar Li(VT)</t>
  </si>
  <si>
    <t xml:space="preserve">            Num Lang(VT)</t>
  </si>
  <si>
    <t xml:space="preserve">            Sing Lun(VT)</t>
  </si>
  <si>
    <t xml:space="preserve">            Pan Mu(VT)</t>
  </si>
  <si>
    <t xml:space="preserve">            Kon Pyi(VT)</t>
  </si>
  <si>
    <t xml:space="preserve">            Maw Ya Wa Di(W)</t>
  </si>
  <si>
    <t xml:space="preserve">            Jein Hpawt Myay(W)</t>
  </si>
  <si>
    <t xml:space="preserve">            Pyin Oo Lwin(W)</t>
  </si>
  <si>
    <t xml:space="preserve">            Kawng Yar(W)</t>
  </si>
  <si>
    <t xml:space="preserve">            Chaung Htauk(VT)</t>
  </si>
  <si>
    <t xml:space="preserve">            Man Hkan Yi Hku(VT)</t>
  </si>
  <si>
    <t xml:space="preserve">            Han Htet(VT)</t>
  </si>
  <si>
    <t xml:space="preserve">            Kone Tein(VT)</t>
  </si>
  <si>
    <t xml:space="preserve">            Nam Ma Hpweit(VT)</t>
  </si>
  <si>
    <t xml:space="preserve">            Man Thar (Mansi)(VT)</t>
  </si>
  <si>
    <t xml:space="preserve">            Maing Khaung(VT)</t>
  </si>
  <si>
    <t xml:space="preserve">            Mai Bat(VT)</t>
  </si>
  <si>
    <t xml:space="preserve">            Ton Hone(VT)</t>
  </si>
  <si>
    <t xml:space="preserve">            Man Wein Gyi(VT)</t>
  </si>
  <si>
    <t xml:space="preserve">            Man Mawn(VT)</t>
  </si>
  <si>
    <t xml:space="preserve">            Nawng Loke(VT)</t>
  </si>
  <si>
    <t xml:space="preserve">            Nawng Tsum(VT)</t>
  </si>
  <si>
    <t xml:space="preserve">            Pan Hkam(VT)</t>
  </si>
  <si>
    <t xml:space="preserve">            Nam Hka Pa(VT)</t>
  </si>
  <si>
    <t xml:space="preserve">            Kawng Lwin(VT)</t>
  </si>
  <si>
    <t xml:space="preserve">            Si Au(VT)</t>
  </si>
  <si>
    <t xml:space="preserve">            Than Ta Dar(VT)</t>
  </si>
  <si>
    <t xml:space="preserve">            Si Khan Gyi(VT)</t>
  </si>
  <si>
    <t xml:space="preserve">            Ah Mat Gyi Kone(VT)</t>
  </si>
  <si>
    <t xml:space="preserve">            Min Kyaung Kone(VT)</t>
  </si>
  <si>
    <t xml:space="preserve">            Aung Thi Ri(W)</t>
  </si>
  <si>
    <t xml:space="preserve">            Aung Thit Sar(W)</t>
  </si>
  <si>
    <t xml:space="preserve">            Aung Zay Yar(W)</t>
  </si>
  <si>
    <t xml:space="preserve">            Saing Gyar(W)</t>
  </si>
  <si>
    <t xml:space="preserve">            Kawng Nan(W)</t>
  </si>
  <si>
    <t xml:space="preserve">            Ka Le Chet(VT)</t>
  </si>
  <si>
    <t xml:space="preserve">            Kawng Hsa(VT)</t>
  </si>
  <si>
    <t xml:space="preserve">            Hka Rein Mu Dan(VT)</t>
  </si>
  <si>
    <t xml:space="preserve">            Pan Hkat(VT)</t>
  </si>
  <si>
    <t xml:space="preserve">            Wein Hkam(VT)</t>
  </si>
  <si>
    <t xml:space="preserve">            Au Htan Yang(VT)</t>
  </si>
  <si>
    <t xml:space="preserve">            Tein Hpa Yar(VT)</t>
  </si>
  <si>
    <t xml:space="preserve">            Thein Lon(VT)</t>
  </si>
  <si>
    <t xml:space="preserve">            Hpar Kei(VT)</t>
  </si>
  <si>
    <t xml:space="preserve">            Da Sai(VT)</t>
  </si>
  <si>
    <t xml:space="preserve">            Nar Lon(VT)</t>
  </si>
  <si>
    <t xml:space="preserve">            Man Thea(VT)</t>
  </si>
  <si>
    <t xml:space="preserve">            Ton Hone Yang(VT)</t>
  </si>
  <si>
    <t xml:space="preserve">            Man Maw(VT)</t>
  </si>
  <si>
    <t xml:space="preserve">            Man Ping (Ping)(VT)</t>
  </si>
  <si>
    <t xml:space="preserve">            Pan Hlaing(W)</t>
  </si>
  <si>
    <t xml:space="preserve">            Ho Kho(W)</t>
  </si>
  <si>
    <t xml:space="preserve">            Kawng Ka Htaung(W)</t>
  </si>
  <si>
    <t xml:space="preserve">            Tat Thit(W)</t>
  </si>
  <si>
    <t xml:space="preserve">            Ton Li Htu(W)</t>
  </si>
  <si>
    <t xml:space="preserve">            Par In(W)</t>
  </si>
  <si>
    <t xml:space="preserve">            Lay Yin Kwin(W)</t>
  </si>
  <si>
    <t xml:space="preserve">            Doke Tan(W)</t>
  </si>
  <si>
    <t xml:space="preserve">            Lone Sut(W)</t>
  </si>
  <si>
    <t xml:space="preserve">            Sarl Hkam Dam(VT)</t>
  </si>
  <si>
    <t xml:space="preserve">            Zi Aun(VT)</t>
  </si>
  <si>
    <t xml:space="preserve">            Nam Ton Khu(VT)</t>
  </si>
  <si>
    <t xml:space="preserve">            Pan Ma Ti(VT)</t>
  </si>
  <si>
    <t xml:space="preserve">            Pu Taung(VT)</t>
  </si>
  <si>
    <t xml:space="preserve">            Mar Lu Leit(VT)</t>
  </si>
  <si>
    <t xml:space="preserve">            Man Say(VT)</t>
  </si>
  <si>
    <t xml:space="preserve">            Man Say Khun(VT)</t>
  </si>
  <si>
    <t xml:space="preserve">            Lang Taung(VT)</t>
  </si>
  <si>
    <t xml:space="preserve">            Mu La Shi Di(VT)</t>
  </si>
  <si>
    <t xml:space="preserve">            Hpat Ma(VT)</t>
  </si>
  <si>
    <t xml:space="preserve">            Lon Sha Yang(VT)</t>
  </si>
  <si>
    <t xml:space="preserve">            Tsum Pi Yang(VT)</t>
  </si>
  <si>
    <t xml:space="preserve">            Ma Kat Mon(VT)</t>
  </si>
  <si>
    <t xml:space="preserve">            Ka Ba Yan Khu(W)</t>
  </si>
  <si>
    <t xml:space="preserve">            War Sat Khu(W)</t>
  </si>
  <si>
    <t xml:space="preserve">            In Ta Ga Lu(VT)</t>
  </si>
  <si>
    <t xml:space="preserve">            Hpung Ing Yang(VT)</t>
  </si>
  <si>
    <t xml:space="preserve">            In Gaw Ma(VT)</t>
  </si>
  <si>
    <t xml:space="preserve">            Khin Du Yang(VT)</t>
  </si>
  <si>
    <t xml:space="preserve">            Hka Ka Ran Yang(VT)</t>
  </si>
  <si>
    <t xml:space="preserve">            Ka War Pan(VT)</t>
  </si>
  <si>
    <t xml:space="preserve">            But Hkar(VT)</t>
  </si>
  <si>
    <t xml:space="preserve">            Za Nan Kha(VT)</t>
  </si>
  <si>
    <t xml:space="preserve">            Mai Htaung(VT)</t>
  </si>
  <si>
    <t xml:space="preserve">            In Bu Bawt(VT)</t>
  </si>
  <si>
    <t xml:space="preserve">            Nam Hkam(VT)</t>
  </si>
  <si>
    <t xml:space="preserve">            Hta Ran Dam(VT)</t>
  </si>
  <si>
    <t xml:space="preserve">            Kawng Mu Lon(VT)</t>
  </si>
  <si>
    <t xml:space="preserve">            Man No(VT)</t>
  </si>
  <si>
    <t xml:space="preserve">            Ah Lang Ga(VT)</t>
  </si>
  <si>
    <t xml:space="preserve">            Htang Ga(VT)</t>
  </si>
  <si>
    <t xml:space="preserve">            In Ga Ding Chet(VT)</t>
  </si>
  <si>
    <t xml:space="preserve">            Shin Mway Yang(VT)</t>
  </si>
  <si>
    <t xml:space="preserve">            Ma Jang Ga(VT)</t>
  </si>
  <si>
    <t xml:space="preserve">            Dawng Shar Lar (Dawng Ga)(VT)</t>
  </si>
  <si>
    <t xml:space="preserve">            Ding Bu Ding Sar(VT)</t>
  </si>
  <si>
    <t xml:space="preserve">            Hta Lar Law(VT)</t>
  </si>
  <si>
    <t xml:space="preserve">            Hkaw Lar Dar Ho(VT)</t>
  </si>
  <si>
    <t xml:space="preserve">            Man Kun Dam(VT)</t>
  </si>
  <si>
    <t xml:space="preserve">            Da Ham(VT)</t>
  </si>
  <si>
    <t xml:space="preserve">            Ah Ku(VT)</t>
  </si>
  <si>
    <t xml:space="preserve">            Ka Khin(VT)</t>
  </si>
  <si>
    <t xml:space="preserve">            Kawng Lo Lat(VT)</t>
  </si>
  <si>
    <t xml:space="preserve">            Nyi Wan Htan(VT)</t>
  </si>
  <si>
    <t xml:space="preserve">            Ya Man Chi(VT)</t>
  </si>
  <si>
    <t xml:space="preserve">            Chi Htu Hpan(VT)</t>
  </si>
  <si>
    <t xml:space="preserve">            Zan Yawt(VT)</t>
  </si>
  <si>
    <t xml:space="preserve">            Zee Htan(VT)</t>
  </si>
  <si>
    <t xml:space="preserve">            Dar Lang(VT)</t>
  </si>
  <si>
    <t xml:space="preserve">            Lar Tar Kaw(VT)</t>
  </si>
  <si>
    <t xml:space="preserve">            Za Nin Hti(VT)</t>
  </si>
  <si>
    <t xml:space="preserve">            Hpi Zaw(VT)</t>
  </si>
  <si>
    <t xml:space="preserve">            Hta Hpone(VT)</t>
  </si>
  <si>
    <t xml:space="preserve">            Yat Mar(VT)</t>
  </si>
  <si>
    <t xml:space="preserve">            Shi Lang Dam(VT)</t>
  </si>
  <si>
    <t xml:space="preserve">            Nam Ching(VT)</t>
  </si>
  <si>
    <t xml:space="preserve">            La Ja Ga(VT)</t>
  </si>
  <si>
    <t xml:space="preserve">            Khin Lum(VT)</t>
  </si>
  <si>
    <t xml:space="preserve">            Ma Shawt Hku(VT)</t>
  </si>
  <si>
    <t xml:space="preserve">            Hta Ri Wan Kawng(VT)</t>
  </si>
  <si>
    <t xml:space="preserve">            Nawngmun(VT)</t>
  </si>
  <si>
    <t xml:space="preserve">            Ka San Khu(VT)</t>
  </si>
  <si>
    <t xml:space="preserve">            Htung Lar Dam(VT)</t>
  </si>
  <si>
    <t xml:space="preserve">            Yat Bawt(VT)</t>
  </si>
  <si>
    <t xml:space="preserve">            Gat Htu(VT)</t>
  </si>
  <si>
    <t xml:space="preserve">            Lang Sar Htu(VT)</t>
  </si>
  <si>
    <t xml:space="preserve">            Da Bu Dam(VT)</t>
  </si>
  <si>
    <t xml:space="preserve">            Ah Wi Wan(VT)</t>
  </si>
  <si>
    <t xml:space="preserve">            Ngar War (VT)</t>
  </si>
  <si>
    <t xml:space="preserve">            Da Zun Dam(VT)</t>
  </si>
  <si>
    <t xml:space="preserve">            Ta Su Htu (VT)</t>
  </si>
  <si>
    <t xml:space="preserve">            Ah Li Awng (VT)</t>
  </si>
  <si>
    <t xml:space="preserve">            Ma Khum Kan (VT)</t>
  </si>
  <si>
    <t>Population</t>
  </si>
  <si>
    <t>Ward</t>
  </si>
  <si>
    <t>Kachin State,  Myitkyinar District, Myitkyinar Township</t>
  </si>
  <si>
    <t>29-3-2014</t>
  </si>
  <si>
    <t>Sr</t>
  </si>
  <si>
    <t>Kachin State,  Myitkyinar District,  Waingmaw Township</t>
  </si>
  <si>
    <t>Kachin State,  Myitkyinar District,    Ingyanyan Township</t>
  </si>
  <si>
    <t>Kachin State,  Myitkyinar District,   Chiphwe  Township</t>
  </si>
  <si>
    <t>Kachin State,  Myitkyinar District,  Tanaing  Township</t>
  </si>
  <si>
    <t>Kachin State,  Myitkyinar District,   Hsotlaw Township</t>
  </si>
  <si>
    <t>Kachin State,  Mohnyin District,  Mohnyin Township</t>
  </si>
  <si>
    <t>Kachin State,  Mohnyin District, Mogaung Township</t>
  </si>
  <si>
    <t>Kachin State,  Mohnyin District,   Phakant Township</t>
  </si>
  <si>
    <t>Kachin State,  Mohnyin District,   Hopin (Sub- Township)</t>
  </si>
  <si>
    <t>Kachin State,   Bhamo District,  Bhamo Township</t>
  </si>
  <si>
    <t>Kachin State,   Bhamo District,   Shwegu Township</t>
  </si>
  <si>
    <t>Kachin State,   Bhamo District,   Momauk Township</t>
  </si>
  <si>
    <t>Kachin State,   Bhamo District,   Mansi Township</t>
  </si>
  <si>
    <t>Kachin State,   Bhamo District,   Myohla (Sub-Township)</t>
  </si>
  <si>
    <t>Kachin State,  Myitkyinar District, Hsinbo (Sub- Township)</t>
  </si>
  <si>
    <t>Kachin State, Myitkyinar District, Hsadone (Sub- Township)</t>
  </si>
  <si>
    <t xml:space="preserve"> Kachin State,  Myitkyinar District,  Panwa  
(Sub- Township)</t>
  </si>
  <si>
    <t>Kachin State,  Mohnyin District, Kamine (Sub- Township)</t>
  </si>
  <si>
    <t>Kachin State,   Bhamo District,  Lwe`ge` (Sub-Township)</t>
  </si>
  <si>
    <t>Kachin State, Bhamo District, Dotphoneyan (Sub-Township)</t>
  </si>
  <si>
    <t>Kachin State, Putao District, Putao Township</t>
  </si>
  <si>
    <t>Kachin State, Putao District,  Sumprabum Township</t>
  </si>
  <si>
    <t>Kachin State, Putao District,  Machanbaw Township</t>
  </si>
  <si>
    <t>Kachin State, Putao District,  Khaunglanphoo  Township</t>
  </si>
  <si>
    <t>Kachin State, Putao District, Naungmoon Township</t>
  </si>
  <si>
    <t>Kachin State, Putao District,  Pannandin (Sub- Township)</t>
  </si>
  <si>
    <t>Kachin State, Myitkyinar District, Kanpaikti (Sub- Township)</t>
  </si>
  <si>
    <t>Kachin State,  Myitkyinar District,   Shinbwayyan  (Sub- Township)</t>
  </si>
  <si>
    <r>
      <t xml:space="preserve">       </t>
    </r>
    <r>
      <rPr>
        <b/>
        <sz val="12"/>
        <color theme="1"/>
        <rFont val="Calibri"/>
        <family val="2"/>
        <scheme val="minor"/>
      </rPr>
      <t>Total</t>
    </r>
  </si>
  <si>
    <t xml:space="preserve">          Total</t>
  </si>
  <si>
    <t xml:space="preserve">            Total</t>
  </si>
  <si>
    <t>Village Tract</t>
  </si>
  <si>
    <t>Ward/ Village Tract</t>
  </si>
  <si>
    <t>List of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</si>
</sst>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Times New Roman"/>
      <family val="1"/>
    </font>
    <font>
      <u/>
      <sz val="14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4" xfId="0" applyFont="1" applyBorder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5" fillId="0" borderId="4" xfId="0" applyFont="1" applyBorder="1"/>
    <xf numFmtId="0" fontId="4" fillId="0" borderId="7" xfId="0" applyFont="1" applyBorder="1"/>
    <xf numFmtId="0" fontId="4" fillId="0" borderId="4" xfId="0" applyFont="1" applyFill="1" applyBorder="1"/>
    <xf numFmtId="0" fontId="5" fillId="0" borderId="4" xfId="0" applyFont="1" applyFill="1" applyBorder="1"/>
    <xf numFmtId="0" fontId="4" fillId="0" borderId="2" xfId="0" applyFont="1" applyBorder="1"/>
    <xf numFmtId="0" fontId="4" fillId="0" borderId="8" xfId="0" applyFont="1" applyBorder="1"/>
    <xf numFmtId="0" fontId="4" fillId="0" borderId="3" xfId="0" applyFont="1" applyBorder="1"/>
    <xf numFmtId="0" fontId="5" fillId="0" borderId="3" xfId="0" applyFont="1" applyFill="1" applyBorder="1"/>
    <xf numFmtId="0" fontId="4" fillId="0" borderId="6" xfId="0" applyFont="1" applyBorder="1"/>
    <xf numFmtId="0" fontId="5" fillId="0" borderId="6" xfId="0" applyFont="1" applyFill="1" applyBorder="1"/>
    <xf numFmtId="0" fontId="6" fillId="0" borderId="0" xfId="0" applyFont="1" applyAlignment="1"/>
    <xf numFmtId="0" fontId="0" fillId="0" borderId="0" xfId="0" applyFont="1"/>
    <xf numFmtId="0" fontId="5" fillId="0" borderId="0" xfId="0" applyFont="1" applyAlignment="1">
      <alignment horizontal="right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0" fillId="0" borderId="2" xfId="0" applyFont="1" applyBorder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0" fillId="0" borderId="5" xfId="0" applyFont="1" applyBorder="1"/>
    <xf numFmtId="0" fontId="0" fillId="0" borderId="4" xfId="0" applyFont="1" applyBorder="1"/>
    <xf numFmtId="0" fontId="0" fillId="0" borderId="7" xfId="0" applyFont="1" applyBorder="1"/>
    <xf numFmtId="0" fontId="5" fillId="0" borderId="0" xfId="0" applyFont="1" applyAlignme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1" xfId="0" applyFont="1" applyBorder="1" applyAlignment="1">
      <alignment horizontal="center" vertical="center"/>
    </xf>
    <xf numFmtId="0" fontId="2" fillId="0" borderId="0" xfId="0" applyFont="1" applyBorder="1"/>
    <xf numFmtId="0" fontId="5" fillId="0" borderId="6" xfId="0" applyFont="1" applyBorder="1" applyAlignment="1">
      <alignment horizontal="center" vertical="center"/>
    </xf>
    <xf numFmtId="0" fontId="5" fillId="0" borderId="6" xfId="0" applyFont="1" applyBorder="1"/>
    <xf numFmtId="0" fontId="2" fillId="0" borderId="6" xfId="0" applyFont="1" applyBorder="1"/>
    <xf numFmtId="0" fontId="8" fillId="0" borderId="0" xfId="3"/>
    <xf numFmtId="0" fontId="8" fillId="0" borderId="0" xfId="3"/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8" fillId="0" borderId="0" xfId="3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3" applyAlignment="1">
      <alignment horizontal="center" vertical="center" wrapText="1"/>
    </xf>
    <xf numFmtId="0" fontId="8" fillId="0" borderId="0" xfId="3" applyAlignment="1">
      <alignment horizontal="center" vertical="center"/>
    </xf>
    <xf numFmtId="0" fontId="8" fillId="0" borderId="0" xfId="3" applyBorder="1" applyAlignment="1">
      <alignment horizontal="center" vertical="center"/>
    </xf>
    <xf numFmtId="0" fontId="10" fillId="0" borderId="0" xfId="3" applyFont="1" applyAlignment="1">
      <alignment horizontal="center"/>
    </xf>
  </cellXfs>
  <cellStyles count="4">
    <cellStyle name="Hyperlink" xfId="3" builtinId="8"/>
    <cellStyle name="Normal" xfId="0" builtinId="0"/>
    <cellStyle name="Normal 2 2" xfId="2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sqref="A1:B1"/>
    </sheetView>
  </sheetViews>
  <sheetFormatPr defaultRowHeight="15" x14ac:dyDescent="0.25"/>
  <cols>
    <col min="2" max="2" width="60" bestFit="1" customWidth="1"/>
  </cols>
  <sheetData>
    <row r="1" spans="1:2" ht="18.75" x14ac:dyDescent="0.3">
      <c r="A1" s="37" t="s">
        <v>561</v>
      </c>
      <c r="B1" s="37"/>
    </row>
    <row r="2" spans="1:2" x14ac:dyDescent="0.25">
      <c r="A2">
        <v>1</v>
      </c>
      <c r="B2" s="35" t="str">
        <f>Myitkyinar!A1</f>
        <v>Kachin State,  Myitkyinar District, Myitkyinar Township</v>
      </c>
    </row>
    <row r="3" spans="1:2" x14ac:dyDescent="0.25">
      <c r="A3">
        <v>2</v>
      </c>
      <c r="B3" s="35" t="str">
        <f>Waingmaw!A1</f>
        <v>Kachin State,  Myitkyinar District,  Waingmaw Township</v>
      </c>
    </row>
    <row r="4" spans="1:2" x14ac:dyDescent="0.25">
      <c r="A4">
        <v>3</v>
      </c>
      <c r="B4" s="35" t="str">
        <f>Ingyanyan!A1</f>
        <v>Kachin State,  Myitkyinar District,    Ingyanyan Township</v>
      </c>
    </row>
    <row r="5" spans="1:2" x14ac:dyDescent="0.25">
      <c r="A5">
        <v>4</v>
      </c>
      <c r="B5" s="35" t="str">
        <f>Tanaing!A1</f>
        <v>Kachin State,  Myitkyinar District,  Tanaing  Township</v>
      </c>
    </row>
    <row r="6" spans="1:2" x14ac:dyDescent="0.25">
      <c r="A6">
        <v>5</v>
      </c>
      <c r="B6" s="35" t="str">
        <f>Chiphwe!A1</f>
        <v>Kachin State,  Myitkyinar District,   Chiphwe  Township</v>
      </c>
    </row>
    <row r="7" spans="1:2" x14ac:dyDescent="0.25">
      <c r="A7">
        <v>6</v>
      </c>
      <c r="B7" s="35" t="str">
        <f>Hsotlaw!A1</f>
        <v>Kachin State,  Myitkyinar District,   Hsotlaw Township</v>
      </c>
    </row>
    <row r="8" spans="1:2" x14ac:dyDescent="0.25">
      <c r="A8">
        <v>7</v>
      </c>
      <c r="B8" s="35" t="str">
        <f>'Hsinbo(Sub-Tsp)'!A1</f>
        <v>Kachin State,  Myitkyinar District, Hsinbo (Sub- Township)</v>
      </c>
    </row>
    <row r="9" spans="1:2" x14ac:dyDescent="0.25">
      <c r="A9">
        <v>8</v>
      </c>
      <c r="B9" s="35" t="str">
        <f>'Hsadone(Sub-Tsp)'!A1</f>
        <v>Kachin State, Myitkyinar District, Hsadone (Sub- Township)</v>
      </c>
    </row>
    <row r="10" spans="1:2" x14ac:dyDescent="0.25">
      <c r="A10">
        <v>9</v>
      </c>
      <c r="B10" s="35" t="str">
        <f>'Kanpaikti(Sub-Tsp)'!A1</f>
        <v>Kachin State, Myitkyinar District, Kanpaikti (Sub- Township)</v>
      </c>
    </row>
    <row r="11" spans="1:2" x14ac:dyDescent="0.25">
      <c r="A11">
        <v>10</v>
      </c>
      <c r="B11" s="35" t="str">
        <f>'Shinbwanyyan(Sub-Tsp)'!A1</f>
        <v>Kachin State,  Myitkyinar District,   Shinbwayyan  (Sub- Township)</v>
      </c>
    </row>
    <row r="12" spans="1:2" x14ac:dyDescent="0.25">
      <c r="A12">
        <v>11</v>
      </c>
      <c r="B12" s="35" t="str">
        <f>'Panwa(Sub-Tsp)'!A1</f>
        <v xml:space="preserve"> Kachin State,  Myitkyinar District,  Panwa  
(Sub- Township)</v>
      </c>
    </row>
    <row r="13" spans="1:2" x14ac:dyDescent="0.25">
      <c r="A13">
        <v>12</v>
      </c>
      <c r="B13" s="35" t="str">
        <f>Mohnyin!A1</f>
        <v>Kachin State,  Mohnyin District,  Mohnyin Township</v>
      </c>
    </row>
    <row r="14" spans="1:2" x14ac:dyDescent="0.25">
      <c r="A14">
        <v>13</v>
      </c>
      <c r="B14" s="35" t="str">
        <f>Mogaung!A1</f>
        <v>Kachin State,  Mohnyin District, Mogaung Township</v>
      </c>
    </row>
    <row r="15" spans="1:2" x14ac:dyDescent="0.25">
      <c r="A15">
        <v>14</v>
      </c>
      <c r="B15" s="35" t="str">
        <f>Phakant!A1</f>
        <v>Kachin State,  Mohnyin District,   Phakant Township</v>
      </c>
    </row>
    <row r="16" spans="1:2" x14ac:dyDescent="0.25">
      <c r="A16">
        <v>15</v>
      </c>
      <c r="B16" s="35" t="str">
        <f>'Hopin(Sub-Tsp)'!A1</f>
        <v>Kachin State,  Mohnyin District,   Hopin (Sub- Township)</v>
      </c>
    </row>
    <row r="17" spans="1:2" x14ac:dyDescent="0.25">
      <c r="A17">
        <v>16</v>
      </c>
      <c r="B17" s="35" t="str">
        <f>'Kamine(Sub-Tsp)'!A1</f>
        <v>Kachin State,  Mohnyin District, Kamine (Sub- Township)</v>
      </c>
    </row>
    <row r="18" spans="1:2" x14ac:dyDescent="0.25">
      <c r="A18">
        <v>17</v>
      </c>
      <c r="B18" s="35" t="str">
        <f>Bhamo!A1</f>
        <v>Kachin State,   Bhamo District,  Bhamo Township</v>
      </c>
    </row>
    <row r="19" spans="1:2" x14ac:dyDescent="0.25">
      <c r="A19">
        <v>18</v>
      </c>
      <c r="B19" s="35" t="str">
        <f>Shwegu!A1</f>
        <v>Kachin State,   Bhamo District,   Shwegu Township</v>
      </c>
    </row>
    <row r="20" spans="1:2" x14ac:dyDescent="0.25">
      <c r="A20">
        <v>19</v>
      </c>
      <c r="B20" s="35" t="str">
        <f>Momauk!A1</f>
        <v>Kachin State,   Bhamo District,   Momauk Township</v>
      </c>
    </row>
    <row r="21" spans="1:2" x14ac:dyDescent="0.25">
      <c r="A21">
        <v>20</v>
      </c>
      <c r="B21" s="35" t="str">
        <f>Mansi!A1</f>
        <v>Kachin State,   Bhamo District,   Mansi Township</v>
      </c>
    </row>
    <row r="22" spans="1:2" x14ac:dyDescent="0.25">
      <c r="A22">
        <v>21</v>
      </c>
      <c r="B22" s="35" t="str">
        <f>'Myohla(Sub-Tsp)'!A1</f>
        <v>Kachin State,   Bhamo District,   Myohla (Sub-Township)</v>
      </c>
    </row>
    <row r="23" spans="1:2" x14ac:dyDescent="0.25">
      <c r="A23">
        <v>22</v>
      </c>
      <c r="B23" s="36" t="str">
        <f>' Lwe`ge`(Sub-Tsp)'!A1</f>
        <v>Kachin State,   Bhamo District,  Lwe`ge` (Sub-Township)</v>
      </c>
    </row>
    <row r="24" spans="1:2" x14ac:dyDescent="0.25">
      <c r="A24">
        <v>23</v>
      </c>
      <c r="B24" s="36" t="str">
        <f>' Dotphoneyan(Sub-Tsp)'!A1</f>
        <v>Kachin State, Bhamo District, Dotphoneyan (Sub-Township)</v>
      </c>
    </row>
    <row r="25" spans="1:2" x14ac:dyDescent="0.25">
      <c r="A25">
        <v>24</v>
      </c>
      <c r="B25" s="35" t="str">
        <f>Putao!A1</f>
        <v>Kachin State, Putao District, Putao Township</v>
      </c>
    </row>
    <row r="26" spans="1:2" x14ac:dyDescent="0.25">
      <c r="A26">
        <v>25</v>
      </c>
      <c r="B26" s="35" t="str">
        <f>Sumprabum!A1</f>
        <v>Kachin State, Putao District,  Sumprabum Township</v>
      </c>
    </row>
    <row r="27" spans="1:2" x14ac:dyDescent="0.25">
      <c r="A27">
        <v>26</v>
      </c>
      <c r="B27" s="35" t="str">
        <f>Machanbaw!A1</f>
        <v>Kachin State, Putao District,  Machanbaw Township</v>
      </c>
    </row>
    <row r="28" spans="1:2" x14ac:dyDescent="0.25">
      <c r="A28">
        <v>27</v>
      </c>
      <c r="B28" s="35" t="str">
        <f>Khaunglanphoo!A1</f>
        <v>Kachin State, Putao District,  Khaunglanphoo  Township</v>
      </c>
    </row>
    <row r="29" spans="1:2" x14ac:dyDescent="0.25">
      <c r="A29">
        <v>28</v>
      </c>
      <c r="B29" s="35" t="str">
        <f>Naungmoon!A1</f>
        <v>Kachin State, Putao District, Naungmoon Township</v>
      </c>
    </row>
    <row r="30" spans="1:2" x14ac:dyDescent="0.25">
      <c r="A30">
        <v>29</v>
      </c>
      <c r="B30" s="35" t="str">
        <f>'Pannandin(Sub-Tsp)'!A1</f>
        <v>Kachin State, Putao District,  Pannandin (Sub- Township)</v>
      </c>
    </row>
  </sheetData>
  <mergeCells count="1">
    <mergeCell ref="A1:B1"/>
  </mergeCells>
  <hyperlinks>
    <hyperlink ref="B2" location="Myitkyinar!A1" display="Myitkyinar!A1"/>
    <hyperlink ref="B3" location="Waingmaw!A1" display="Waingmaw!A1"/>
    <hyperlink ref="B4" location="Ingyanyan!A1" display="Ingyanyan!A1"/>
    <hyperlink ref="B5" location="Tanaing!A1" display="Tanaing!A1"/>
    <hyperlink ref="B6" location="Chiphwe!A1" display="Chiphwe!A1"/>
    <hyperlink ref="B7" location="Hsotlaw!A1" display="Hsotlaw!A1"/>
    <hyperlink ref="B8" location="'Hsinbo(Sub-Tsp)'!A1" display="'Hsinbo(Sub-Tsp)'!A1"/>
    <hyperlink ref="B9" location="'Kanpaikti(Sub-Tsp)'!A1" display="'Kanpaikti(Sub-Tsp)'!A1"/>
    <hyperlink ref="B10" location="'Kanpaikti(Sub-Tsp)'!A1" display="'Kanpaikti(Sub-Tsp)'!A1"/>
    <hyperlink ref="B11" location="'Shinbwanyyan(Sub-Tsp)'!A1" display="'Shinbwanyyan(Sub-Tsp)'!A1"/>
    <hyperlink ref="B12" location="'Panwa(Sub-Tsp)'!A1" display="'Panwa(Sub-Tsp)'!A1"/>
    <hyperlink ref="B13" location="Mohnyin!A1" display="Mohnyin!A1"/>
    <hyperlink ref="B14" location="Mogaung!A1" display="Mogaung!A1"/>
    <hyperlink ref="B15" location="Phakant!A1" display="Phakant!A1"/>
    <hyperlink ref="B16" location="'Hopin(Sub-Tsp)'!A1" display="'Hopin(Sub-Tsp)'!A1"/>
    <hyperlink ref="B17" location="'Kamine(Sub-Tsp)'!A1" display="'Kamine(Sub-Tsp)'!A1"/>
    <hyperlink ref="B18" location="Bhamo!A1" display="Bhamo!A1"/>
    <hyperlink ref="B19" location="Shwegu!A1" display="Shwegu!A1"/>
    <hyperlink ref="B20" location="Momauk!A1" display="Momauk!A1"/>
    <hyperlink ref="B21" location="Mansi!A1" display="Mansi!A1"/>
    <hyperlink ref="B22" location="'Myohla(Sub-Tsp)'!A1" display="'Myohla(Sub-Tsp)'!A1"/>
    <hyperlink ref="B25" location="Putao!A1" display="Putao!A1"/>
    <hyperlink ref="B26" location="Sumprabum!A1" display="Sumprabum!A1"/>
    <hyperlink ref="B27" location="Machanbaw!A1" display="Machanbaw!A1"/>
    <hyperlink ref="B28" location="Khaunglanphoo!A1" display="Khaunglanphoo!A1"/>
    <hyperlink ref="B29" location="Naungmoon!A1" display="Naungmoon!A1"/>
    <hyperlink ref="B30" location="'Pannandin(Sub-Tsp)'!A1" display="'Pannandin(Sub-Tsp)'!A1"/>
    <hyperlink ref="B23" location="' Lwe`ge`(Sub-Tsp)'!A1" display="' Lwe`ge`(Sub-Tsp)'!A1"/>
    <hyperlink ref="B24" location="' Dotphoneyan(Sub-Tsp)'!A1" display="' Dotphoneyan(Sub-Tsp)'!A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sqref="A1:E1"/>
    </sheetView>
  </sheetViews>
  <sheetFormatPr defaultRowHeight="15" x14ac:dyDescent="0.25"/>
  <cols>
    <col min="1" max="1" width="5.28515625" style="17" customWidth="1"/>
    <col min="2" max="2" width="34" style="17" customWidth="1"/>
    <col min="3" max="5" width="15.7109375" style="17" customWidth="1"/>
    <col min="6" max="16384" width="9.140625" style="17"/>
  </cols>
  <sheetData>
    <row r="1" spans="1:9" ht="37.5" customHeight="1" x14ac:dyDescent="0.25">
      <c r="A1" s="41" t="s">
        <v>525</v>
      </c>
      <c r="B1" s="41"/>
      <c r="C1" s="41"/>
      <c r="D1" s="41"/>
      <c r="E1" s="41"/>
      <c r="F1" s="16"/>
      <c r="G1" s="16"/>
      <c r="H1" s="16"/>
      <c r="I1" s="16"/>
    </row>
    <row r="2" spans="1:9" ht="18.75" customHeight="1" x14ac:dyDescent="0.25">
      <c r="A2" s="16"/>
      <c r="B2" s="16"/>
      <c r="E2" s="18" t="s">
        <v>526</v>
      </c>
      <c r="F2" s="16"/>
      <c r="G2" s="16"/>
      <c r="H2" s="16"/>
      <c r="I2" s="16"/>
    </row>
    <row r="3" spans="1:9" ht="18.75" customHeight="1" x14ac:dyDescent="0.25">
      <c r="A3" s="16"/>
      <c r="B3" s="16"/>
      <c r="E3" s="18"/>
      <c r="F3" s="16"/>
      <c r="G3" s="16"/>
      <c r="H3" s="16"/>
      <c r="I3" s="16"/>
    </row>
    <row r="4" spans="1:9" ht="33.75" customHeight="1" x14ac:dyDescent="0.25">
      <c r="A4" s="39" t="s">
        <v>527</v>
      </c>
      <c r="B4" s="39" t="s">
        <v>560</v>
      </c>
      <c r="C4" s="38" t="s">
        <v>523</v>
      </c>
      <c r="D4" s="38"/>
      <c r="E4" s="38"/>
    </row>
    <row r="5" spans="1:9" ht="42.75" customHeight="1" x14ac:dyDescent="0.25">
      <c r="A5" s="40"/>
      <c r="B5" s="40"/>
      <c r="C5" s="28" t="s">
        <v>0</v>
      </c>
      <c r="D5" s="28" t="s">
        <v>1</v>
      </c>
      <c r="E5" s="28" t="s">
        <v>2</v>
      </c>
    </row>
    <row r="6" spans="1:9" ht="21.75" customHeight="1" x14ac:dyDescent="0.25">
      <c r="A6" s="14"/>
      <c r="B6" s="14" t="s">
        <v>556</v>
      </c>
      <c r="C6" s="33">
        <f>C7+C37</f>
        <v>306949</v>
      </c>
      <c r="D6" s="33">
        <f>D7+D37</f>
        <v>148485</v>
      </c>
      <c r="E6" s="33">
        <f>E7+E37</f>
        <v>158464</v>
      </c>
    </row>
    <row r="7" spans="1:9" ht="21.75" customHeight="1" x14ac:dyDescent="0.25">
      <c r="A7" s="4"/>
      <c r="B7" s="20" t="s">
        <v>524</v>
      </c>
      <c r="C7" s="6">
        <f>SUM(C8:C35)</f>
        <v>243031</v>
      </c>
      <c r="D7" s="6">
        <f t="shared" ref="D7:E7" si="0">SUM(D8:D35)</f>
        <v>116083</v>
      </c>
      <c r="E7" s="6">
        <f t="shared" si="0"/>
        <v>126948</v>
      </c>
    </row>
    <row r="8" spans="1:9" ht="21.75" customHeight="1" x14ac:dyDescent="0.25">
      <c r="A8" s="4">
        <v>1</v>
      </c>
      <c r="B8" s="4" t="s">
        <v>3</v>
      </c>
      <c r="C8" s="4">
        <v>3647</v>
      </c>
      <c r="D8" s="4">
        <v>1694</v>
      </c>
      <c r="E8" s="4">
        <v>1953</v>
      </c>
    </row>
    <row r="9" spans="1:9" ht="21.75" customHeight="1" x14ac:dyDescent="0.25">
      <c r="A9" s="4">
        <v>2</v>
      </c>
      <c r="B9" s="4" t="s">
        <v>4</v>
      </c>
      <c r="C9" s="4">
        <v>4143</v>
      </c>
      <c r="D9" s="4">
        <v>2094</v>
      </c>
      <c r="E9" s="4">
        <v>2049</v>
      </c>
    </row>
    <row r="10" spans="1:9" ht="21.75" customHeight="1" x14ac:dyDescent="0.25">
      <c r="A10" s="4">
        <v>3</v>
      </c>
      <c r="B10" s="4" t="s">
        <v>5</v>
      </c>
      <c r="C10" s="4">
        <v>5309</v>
      </c>
      <c r="D10" s="4">
        <v>2430</v>
      </c>
      <c r="E10" s="4">
        <v>2879</v>
      </c>
    </row>
    <row r="11" spans="1:9" ht="21.75" customHeight="1" x14ac:dyDescent="0.25">
      <c r="A11" s="4">
        <v>4</v>
      </c>
      <c r="B11" s="4" t="s">
        <v>6</v>
      </c>
      <c r="C11" s="4">
        <v>8888</v>
      </c>
      <c r="D11" s="4">
        <v>3845</v>
      </c>
      <c r="E11" s="4">
        <v>5043</v>
      </c>
    </row>
    <row r="12" spans="1:9" ht="21.75" customHeight="1" x14ac:dyDescent="0.25">
      <c r="A12" s="4">
        <v>5</v>
      </c>
      <c r="B12" s="4" t="s">
        <v>7</v>
      </c>
      <c r="C12" s="4">
        <v>1369</v>
      </c>
      <c r="D12" s="4">
        <v>657</v>
      </c>
      <c r="E12" s="4">
        <v>712</v>
      </c>
    </row>
    <row r="13" spans="1:9" ht="21.75" customHeight="1" x14ac:dyDescent="0.25">
      <c r="A13" s="4">
        <v>6</v>
      </c>
      <c r="B13" s="4" t="s">
        <v>8</v>
      </c>
      <c r="C13" s="4">
        <v>931</v>
      </c>
      <c r="D13" s="4">
        <v>421</v>
      </c>
      <c r="E13" s="4">
        <v>510</v>
      </c>
    </row>
    <row r="14" spans="1:9" ht="21.75" customHeight="1" x14ac:dyDescent="0.25">
      <c r="A14" s="4">
        <v>7</v>
      </c>
      <c r="B14" s="4" t="s">
        <v>9</v>
      </c>
      <c r="C14" s="4">
        <v>1418</v>
      </c>
      <c r="D14" s="4">
        <v>674</v>
      </c>
      <c r="E14" s="4">
        <v>744</v>
      </c>
    </row>
    <row r="15" spans="1:9" ht="21.75" customHeight="1" x14ac:dyDescent="0.25">
      <c r="A15" s="4">
        <v>8</v>
      </c>
      <c r="B15" s="4" t="s">
        <v>10</v>
      </c>
      <c r="C15" s="4">
        <v>1366</v>
      </c>
      <c r="D15" s="4">
        <v>664</v>
      </c>
      <c r="E15" s="4">
        <v>702</v>
      </c>
    </row>
    <row r="16" spans="1:9" ht="21.75" customHeight="1" x14ac:dyDescent="0.25">
      <c r="A16" s="4">
        <v>9</v>
      </c>
      <c r="B16" s="4" t="s">
        <v>11</v>
      </c>
      <c r="C16" s="4">
        <v>2267</v>
      </c>
      <c r="D16" s="4">
        <v>1024</v>
      </c>
      <c r="E16" s="4">
        <v>1243</v>
      </c>
    </row>
    <row r="17" spans="1:5" ht="21.75" customHeight="1" x14ac:dyDescent="0.25">
      <c r="A17" s="4">
        <v>10</v>
      </c>
      <c r="B17" s="4" t="s">
        <v>12</v>
      </c>
      <c r="C17" s="4">
        <v>6106</v>
      </c>
      <c r="D17" s="4">
        <v>2786</v>
      </c>
      <c r="E17" s="4">
        <v>3320</v>
      </c>
    </row>
    <row r="18" spans="1:5" ht="21.75" customHeight="1" x14ac:dyDescent="0.25">
      <c r="A18" s="4">
        <v>11</v>
      </c>
      <c r="B18" s="4" t="s">
        <v>13</v>
      </c>
      <c r="C18" s="4">
        <v>5004</v>
      </c>
      <c r="D18" s="4">
        <v>2321</v>
      </c>
      <c r="E18" s="4">
        <v>2683</v>
      </c>
    </row>
    <row r="19" spans="1:5" ht="21.75" customHeight="1" x14ac:dyDescent="0.25">
      <c r="A19" s="4">
        <v>12</v>
      </c>
      <c r="B19" s="4" t="s">
        <v>14</v>
      </c>
      <c r="C19" s="4">
        <v>9491</v>
      </c>
      <c r="D19" s="4">
        <v>4277</v>
      </c>
      <c r="E19" s="4">
        <v>5214</v>
      </c>
    </row>
    <row r="20" spans="1:5" ht="21.75" customHeight="1" x14ac:dyDescent="0.25">
      <c r="A20" s="4">
        <v>13</v>
      </c>
      <c r="B20" s="4" t="s">
        <v>15</v>
      </c>
      <c r="C20" s="4">
        <v>2067</v>
      </c>
      <c r="D20" s="4">
        <v>990</v>
      </c>
      <c r="E20" s="4">
        <v>1077</v>
      </c>
    </row>
    <row r="21" spans="1:5" ht="21.75" customHeight="1" x14ac:dyDescent="0.25">
      <c r="A21" s="4">
        <v>14</v>
      </c>
      <c r="B21" s="4" t="s">
        <v>16</v>
      </c>
      <c r="C21" s="4">
        <v>7332</v>
      </c>
      <c r="D21" s="4">
        <v>3438</v>
      </c>
      <c r="E21" s="4">
        <v>3894</v>
      </c>
    </row>
    <row r="22" spans="1:5" ht="21.75" customHeight="1" x14ac:dyDescent="0.25">
      <c r="A22" s="4">
        <v>15</v>
      </c>
      <c r="B22" s="4" t="s">
        <v>17</v>
      </c>
      <c r="C22" s="4">
        <v>7630</v>
      </c>
      <c r="D22" s="4">
        <v>3626</v>
      </c>
      <c r="E22" s="4">
        <v>4004</v>
      </c>
    </row>
    <row r="23" spans="1:5" ht="21.75" customHeight="1" x14ac:dyDescent="0.25">
      <c r="A23" s="4">
        <v>16</v>
      </c>
      <c r="B23" s="4" t="s">
        <v>18</v>
      </c>
      <c r="C23" s="4">
        <v>6460</v>
      </c>
      <c r="D23" s="4">
        <v>3023</v>
      </c>
      <c r="E23" s="4">
        <v>3437</v>
      </c>
    </row>
    <row r="24" spans="1:5" ht="21.75" customHeight="1" x14ac:dyDescent="0.25">
      <c r="A24" s="4">
        <v>17</v>
      </c>
      <c r="B24" s="4" t="s">
        <v>19</v>
      </c>
      <c r="C24" s="4">
        <v>5660</v>
      </c>
      <c r="D24" s="4">
        <v>2686</v>
      </c>
      <c r="E24" s="4">
        <v>2974</v>
      </c>
    </row>
    <row r="25" spans="1:5" ht="21.75" customHeight="1" x14ac:dyDescent="0.25">
      <c r="A25" s="4">
        <v>18</v>
      </c>
      <c r="B25" s="4" t="s">
        <v>20</v>
      </c>
      <c r="C25" s="4">
        <v>9409</v>
      </c>
      <c r="D25" s="4">
        <v>4581</v>
      </c>
      <c r="E25" s="4">
        <v>4828</v>
      </c>
    </row>
    <row r="26" spans="1:5" ht="21.75" customHeight="1" x14ac:dyDescent="0.25">
      <c r="A26" s="4">
        <v>19</v>
      </c>
      <c r="B26" s="4" t="s">
        <v>21</v>
      </c>
      <c r="C26" s="4">
        <v>9223</v>
      </c>
      <c r="D26" s="4">
        <v>4599</v>
      </c>
      <c r="E26" s="4">
        <v>4624</v>
      </c>
    </row>
    <row r="27" spans="1:5" ht="21.75" customHeight="1" x14ac:dyDescent="0.25">
      <c r="A27" s="4">
        <v>20</v>
      </c>
      <c r="B27" s="4" t="s">
        <v>22</v>
      </c>
      <c r="C27" s="4">
        <v>27354</v>
      </c>
      <c r="D27" s="4">
        <v>12773</v>
      </c>
      <c r="E27" s="4">
        <v>14581</v>
      </c>
    </row>
    <row r="28" spans="1:5" ht="21.75" customHeight="1" x14ac:dyDescent="0.25">
      <c r="A28" s="4">
        <v>21</v>
      </c>
      <c r="B28" s="4" t="s">
        <v>23</v>
      </c>
      <c r="C28" s="4">
        <v>19969</v>
      </c>
      <c r="D28" s="4">
        <v>9249</v>
      </c>
      <c r="E28" s="4">
        <v>10720</v>
      </c>
    </row>
    <row r="29" spans="1:5" ht="21.75" customHeight="1" x14ac:dyDescent="0.25">
      <c r="A29" s="4">
        <v>22</v>
      </c>
      <c r="B29" s="4" t="s">
        <v>24</v>
      </c>
      <c r="C29" s="4">
        <v>26197</v>
      </c>
      <c r="D29" s="4">
        <v>12311</v>
      </c>
      <c r="E29" s="4">
        <v>13886</v>
      </c>
    </row>
    <row r="30" spans="1:5" ht="21.75" customHeight="1" x14ac:dyDescent="0.25">
      <c r="A30" s="4">
        <v>23</v>
      </c>
      <c r="B30" s="4" t="s">
        <v>25</v>
      </c>
      <c r="C30" s="4">
        <v>5234</v>
      </c>
      <c r="D30" s="4">
        <v>2553</v>
      </c>
      <c r="E30" s="4">
        <v>2681</v>
      </c>
    </row>
    <row r="31" spans="1:5" ht="21.75" customHeight="1" x14ac:dyDescent="0.25">
      <c r="A31" s="4">
        <v>24</v>
      </c>
      <c r="B31" s="4" t="s">
        <v>26</v>
      </c>
      <c r="C31" s="4">
        <v>23760</v>
      </c>
      <c r="D31" s="4">
        <v>11576</v>
      </c>
      <c r="E31" s="4">
        <v>12184</v>
      </c>
    </row>
    <row r="32" spans="1:5" ht="21.75" customHeight="1" x14ac:dyDescent="0.25">
      <c r="A32" s="4">
        <v>25</v>
      </c>
      <c r="B32" s="4" t="s">
        <v>27</v>
      </c>
      <c r="C32" s="4">
        <v>23413</v>
      </c>
      <c r="D32" s="4">
        <v>11918</v>
      </c>
      <c r="E32" s="4">
        <v>11495</v>
      </c>
    </row>
    <row r="33" spans="1:5" ht="21.75" customHeight="1" x14ac:dyDescent="0.25">
      <c r="A33" s="4">
        <v>26</v>
      </c>
      <c r="B33" s="4" t="s">
        <v>28</v>
      </c>
      <c r="C33" s="4">
        <v>1418</v>
      </c>
      <c r="D33" s="4">
        <v>770</v>
      </c>
      <c r="E33" s="4">
        <v>648</v>
      </c>
    </row>
    <row r="34" spans="1:5" ht="21.75" customHeight="1" x14ac:dyDescent="0.25">
      <c r="A34" s="4">
        <v>27</v>
      </c>
      <c r="B34" s="4" t="s">
        <v>29</v>
      </c>
      <c r="C34" s="4">
        <v>1012</v>
      </c>
      <c r="D34" s="4">
        <v>490</v>
      </c>
      <c r="E34" s="4">
        <v>522</v>
      </c>
    </row>
    <row r="35" spans="1:5" ht="21.75" customHeight="1" x14ac:dyDescent="0.25">
      <c r="A35" s="4">
        <v>28</v>
      </c>
      <c r="B35" s="4" t="s">
        <v>30</v>
      </c>
      <c r="C35" s="4">
        <v>16954</v>
      </c>
      <c r="D35" s="4">
        <v>8613</v>
      </c>
      <c r="E35" s="4">
        <v>8341</v>
      </c>
    </row>
    <row r="36" spans="1:5" ht="21.75" customHeight="1" x14ac:dyDescent="0.25">
      <c r="A36" s="5"/>
      <c r="B36" s="5"/>
      <c r="C36" s="5"/>
      <c r="D36" s="5"/>
      <c r="E36" s="5"/>
    </row>
    <row r="37" spans="1:5" ht="27.75" customHeight="1" x14ac:dyDescent="0.25">
      <c r="A37" s="4"/>
      <c r="B37" s="20" t="s">
        <v>559</v>
      </c>
      <c r="C37" s="6">
        <f>C38+C39+C40+C41+C42+C43+C44+C45+C46++C47+C48+C49+C50+C51+C52+C53+C54</f>
        <v>63918</v>
      </c>
      <c r="D37" s="6">
        <f t="shared" ref="D37:E37" si="1">D38+D39+D40+D41+D42+D43+D44+D45+D46++D47+D48+D49+D50+D51+D52+D53+D54</f>
        <v>32402</v>
      </c>
      <c r="E37" s="6">
        <f t="shared" si="1"/>
        <v>31516</v>
      </c>
    </row>
    <row r="38" spans="1:5" ht="21" customHeight="1" x14ac:dyDescent="0.25">
      <c r="A38" s="4">
        <v>1</v>
      </c>
      <c r="B38" s="4" t="s">
        <v>31</v>
      </c>
      <c r="C38" s="4">
        <v>4669</v>
      </c>
      <c r="D38" s="4">
        <v>2293</v>
      </c>
      <c r="E38" s="4">
        <v>2376</v>
      </c>
    </row>
    <row r="39" spans="1:5" ht="21" customHeight="1" x14ac:dyDescent="0.25">
      <c r="A39" s="4">
        <v>2</v>
      </c>
      <c r="B39" s="4" t="s">
        <v>32</v>
      </c>
      <c r="C39" s="4">
        <v>7930</v>
      </c>
      <c r="D39" s="4">
        <v>3669</v>
      </c>
      <c r="E39" s="4">
        <v>4261</v>
      </c>
    </row>
    <row r="40" spans="1:5" ht="21" customHeight="1" x14ac:dyDescent="0.25">
      <c r="A40" s="4">
        <v>3</v>
      </c>
      <c r="B40" s="4" t="s">
        <v>33</v>
      </c>
      <c r="C40" s="4">
        <v>7379</v>
      </c>
      <c r="D40" s="4">
        <v>3670</v>
      </c>
      <c r="E40" s="4">
        <v>3709</v>
      </c>
    </row>
    <row r="41" spans="1:5" ht="21" customHeight="1" x14ac:dyDescent="0.25">
      <c r="A41" s="4">
        <v>4</v>
      </c>
      <c r="B41" s="4" t="s">
        <v>34</v>
      </c>
      <c r="C41" s="4">
        <v>2117</v>
      </c>
      <c r="D41" s="4">
        <v>1094</v>
      </c>
      <c r="E41" s="4">
        <v>1023</v>
      </c>
    </row>
    <row r="42" spans="1:5" ht="21" customHeight="1" x14ac:dyDescent="0.25">
      <c r="A42" s="4">
        <v>5</v>
      </c>
      <c r="B42" s="4" t="s">
        <v>35</v>
      </c>
      <c r="C42" s="4">
        <v>8515</v>
      </c>
      <c r="D42" s="4">
        <v>4608</v>
      </c>
      <c r="E42" s="4">
        <v>3907</v>
      </c>
    </row>
    <row r="43" spans="1:5" ht="21" customHeight="1" x14ac:dyDescent="0.25">
      <c r="A43" s="4">
        <v>6</v>
      </c>
      <c r="B43" s="4" t="s">
        <v>36</v>
      </c>
      <c r="C43" s="4">
        <v>9772</v>
      </c>
      <c r="D43" s="4">
        <v>5266</v>
      </c>
      <c r="E43" s="4">
        <v>4506</v>
      </c>
    </row>
    <row r="44" spans="1:5" ht="21" customHeight="1" x14ac:dyDescent="0.25">
      <c r="A44" s="4">
        <v>7</v>
      </c>
      <c r="B44" s="4" t="s">
        <v>37</v>
      </c>
      <c r="C44" s="4">
        <v>2435</v>
      </c>
      <c r="D44" s="4">
        <v>1220</v>
      </c>
      <c r="E44" s="4">
        <v>1215</v>
      </c>
    </row>
    <row r="45" spans="1:5" ht="21" customHeight="1" x14ac:dyDescent="0.25">
      <c r="A45" s="4">
        <v>8</v>
      </c>
      <c r="B45" s="4" t="s">
        <v>38</v>
      </c>
      <c r="C45" s="4">
        <v>3979</v>
      </c>
      <c r="D45" s="4">
        <v>2095</v>
      </c>
      <c r="E45" s="4">
        <v>1884</v>
      </c>
    </row>
    <row r="46" spans="1:5" ht="21" customHeight="1" x14ac:dyDescent="0.25">
      <c r="A46" s="4">
        <v>9</v>
      </c>
      <c r="B46" s="4" t="s">
        <v>39</v>
      </c>
      <c r="C46" s="4">
        <v>2075</v>
      </c>
      <c r="D46" s="4">
        <v>1009</v>
      </c>
      <c r="E46" s="4">
        <v>1066</v>
      </c>
    </row>
    <row r="47" spans="1:5" ht="21" customHeight="1" x14ac:dyDescent="0.25">
      <c r="A47" s="4">
        <v>10</v>
      </c>
      <c r="B47" s="4" t="s">
        <v>40</v>
      </c>
      <c r="C47" s="4">
        <v>397</v>
      </c>
      <c r="D47" s="4">
        <v>197</v>
      </c>
      <c r="E47" s="4">
        <v>200</v>
      </c>
    </row>
    <row r="48" spans="1:5" ht="21" customHeight="1" x14ac:dyDescent="0.25">
      <c r="A48" s="4">
        <v>11</v>
      </c>
      <c r="B48" s="4" t="s">
        <v>41</v>
      </c>
      <c r="C48" s="4">
        <v>841</v>
      </c>
      <c r="D48" s="4">
        <v>445</v>
      </c>
      <c r="E48" s="4">
        <v>396</v>
      </c>
    </row>
    <row r="49" spans="1:5" ht="21" customHeight="1" x14ac:dyDescent="0.25">
      <c r="A49" s="4">
        <v>12</v>
      </c>
      <c r="B49" s="4" t="s">
        <v>42</v>
      </c>
      <c r="C49" s="4">
        <v>6879</v>
      </c>
      <c r="D49" s="4">
        <v>3410</v>
      </c>
      <c r="E49" s="4">
        <v>3469</v>
      </c>
    </row>
    <row r="50" spans="1:5" ht="21" customHeight="1" x14ac:dyDescent="0.25">
      <c r="A50" s="4">
        <v>13</v>
      </c>
      <c r="B50" s="4" t="s">
        <v>43</v>
      </c>
      <c r="C50" s="4">
        <v>1793</v>
      </c>
      <c r="D50" s="4">
        <v>906</v>
      </c>
      <c r="E50" s="4">
        <v>887</v>
      </c>
    </row>
    <row r="51" spans="1:5" ht="21" customHeight="1" x14ac:dyDescent="0.25">
      <c r="A51" s="4">
        <v>14</v>
      </c>
      <c r="B51" s="4" t="s">
        <v>44</v>
      </c>
      <c r="C51" s="4">
        <v>819</v>
      </c>
      <c r="D51" s="4">
        <v>375</v>
      </c>
      <c r="E51" s="4">
        <v>444</v>
      </c>
    </row>
    <row r="52" spans="1:5" ht="21" customHeight="1" x14ac:dyDescent="0.25">
      <c r="A52" s="4">
        <v>15</v>
      </c>
      <c r="B52" s="4" t="s">
        <v>45</v>
      </c>
      <c r="C52" s="4">
        <v>1450</v>
      </c>
      <c r="D52" s="4">
        <v>731</v>
      </c>
      <c r="E52" s="4">
        <v>719</v>
      </c>
    </row>
    <row r="53" spans="1:5" ht="21" customHeight="1" x14ac:dyDescent="0.25">
      <c r="A53" s="4">
        <v>16</v>
      </c>
      <c r="B53" s="4" t="s">
        <v>46</v>
      </c>
      <c r="C53" s="4">
        <v>540</v>
      </c>
      <c r="D53" s="4">
        <v>269</v>
      </c>
      <c r="E53" s="4">
        <v>271</v>
      </c>
    </row>
    <row r="54" spans="1:5" ht="21" customHeight="1" x14ac:dyDescent="0.25">
      <c r="A54" s="7">
        <v>17</v>
      </c>
      <c r="B54" s="7" t="s">
        <v>47</v>
      </c>
      <c r="C54" s="7">
        <v>2328</v>
      </c>
      <c r="D54" s="7">
        <v>1145</v>
      </c>
      <c r="E54" s="7">
        <v>1183</v>
      </c>
    </row>
    <row r="55" spans="1:5" ht="21" customHeight="1" x14ac:dyDescent="0.25">
      <c r="A55" s="21"/>
      <c r="B55" s="21"/>
      <c r="C55" s="21"/>
      <c r="D55" s="21"/>
      <c r="E55" s="21"/>
    </row>
  </sheetData>
  <mergeCells count="4">
    <mergeCell ref="C4:E4"/>
    <mergeCell ref="A4:A5"/>
    <mergeCell ref="B4:B5"/>
    <mergeCell ref="A1:E1"/>
  </mergeCells>
  <hyperlinks>
    <hyperlink ref="A1:E1" location="'list of township'!A1" display="Kachin State,  Myitkyinar District, Myitkyinar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sqref="A1:E1"/>
    </sheetView>
  </sheetViews>
  <sheetFormatPr defaultColWidth="8.85546875" defaultRowHeight="21" x14ac:dyDescent="0.35"/>
  <cols>
    <col min="1" max="1" width="7.85546875" style="1" customWidth="1"/>
    <col min="2" max="2" width="27" style="1" bestFit="1" customWidth="1"/>
    <col min="3" max="5" width="15.7109375" style="1" customWidth="1"/>
    <col min="6" max="16384" width="8.85546875" style="1"/>
  </cols>
  <sheetData>
    <row r="1" spans="1:6" ht="25.5" customHeight="1" x14ac:dyDescent="0.35">
      <c r="A1" s="48" t="s">
        <v>528</v>
      </c>
      <c r="B1" s="48"/>
      <c r="C1" s="48"/>
      <c r="D1" s="48"/>
      <c r="E1" s="48"/>
      <c r="F1" s="22"/>
    </row>
    <row r="2" spans="1:6" ht="25.5" customHeight="1" x14ac:dyDescent="0.35">
      <c r="A2" s="23"/>
      <c r="B2" s="22"/>
      <c r="E2" s="18" t="s">
        <v>526</v>
      </c>
      <c r="F2" s="22"/>
    </row>
    <row r="3" spans="1:6" ht="18" customHeight="1" x14ac:dyDescent="0.35">
      <c r="A3" s="23"/>
      <c r="B3" s="22"/>
      <c r="E3" s="18"/>
      <c r="F3" s="22"/>
    </row>
    <row r="4" spans="1:6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6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6" ht="25.5" customHeight="1" x14ac:dyDescent="0.35">
      <c r="A6" s="14"/>
      <c r="B6" s="33" t="s">
        <v>557</v>
      </c>
      <c r="C6" s="33">
        <f>C8+C15</f>
        <v>106366</v>
      </c>
      <c r="D6" s="33">
        <f>D8+D15</f>
        <v>52698</v>
      </c>
      <c r="E6" s="33">
        <f>E8+E15</f>
        <v>53668</v>
      </c>
    </row>
    <row r="7" spans="1:6" s="17" customFormat="1" ht="16.5" customHeight="1" x14ac:dyDescent="0.25">
      <c r="A7" s="4"/>
      <c r="B7" s="4"/>
      <c r="C7" s="4"/>
      <c r="D7" s="4"/>
      <c r="E7" s="4"/>
    </row>
    <row r="8" spans="1:6" s="17" customFormat="1" ht="15.75" x14ac:dyDescent="0.25">
      <c r="A8" s="4"/>
      <c r="B8" s="20" t="s">
        <v>524</v>
      </c>
      <c r="C8" s="6">
        <f>SUM(C9:C13)</f>
        <v>21969</v>
      </c>
      <c r="D8" s="6">
        <f t="shared" ref="D8:E8" si="0">SUM(D9:D13)</f>
        <v>10827</v>
      </c>
      <c r="E8" s="6">
        <f t="shared" si="0"/>
        <v>11142</v>
      </c>
    </row>
    <row r="9" spans="1:6" x14ac:dyDescent="0.35">
      <c r="A9" s="4">
        <v>1</v>
      </c>
      <c r="B9" s="4" t="s">
        <v>48</v>
      </c>
      <c r="C9" s="4">
        <v>5349</v>
      </c>
      <c r="D9" s="4">
        <v>2536</v>
      </c>
      <c r="E9" s="4">
        <v>2813</v>
      </c>
    </row>
    <row r="10" spans="1:6" x14ac:dyDescent="0.35">
      <c r="A10" s="4">
        <v>2</v>
      </c>
      <c r="B10" s="4" t="s">
        <v>49</v>
      </c>
      <c r="C10" s="4">
        <v>3810</v>
      </c>
      <c r="D10" s="4">
        <v>1826</v>
      </c>
      <c r="E10" s="4">
        <v>1984</v>
      </c>
    </row>
    <row r="11" spans="1:6" x14ac:dyDescent="0.35">
      <c r="A11" s="4">
        <v>3</v>
      </c>
      <c r="B11" s="4" t="s">
        <v>50</v>
      </c>
      <c r="C11" s="4">
        <v>6253</v>
      </c>
      <c r="D11" s="4">
        <v>3124</v>
      </c>
      <c r="E11" s="4">
        <v>3129</v>
      </c>
    </row>
    <row r="12" spans="1:6" x14ac:dyDescent="0.35">
      <c r="A12" s="4">
        <v>4</v>
      </c>
      <c r="B12" s="4" t="s">
        <v>51</v>
      </c>
      <c r="C12" s="4">
        <v>4415</v>
      </c>
      <c r="D12" s="4">
        <v>2238</v>
      </c>
      <c r="E12" s="4">
        <v>2177</v>
      </c>
    </row>
    <row r="13" spans="1:6" x14ac:dyDescent="0.35">
      <c r="A13" s="4">
        <v>5</v>
      </c>
      <c r="B13" s="4" t="s">
        <v>52</v>
      </c>
      <c r="C13" s="4">
        <v>2142</v>
      </c>
      <c r="D13" s="4">
        <v>1103</v>
      </c>
      <c r="E13" s="4">
        <v>1039</v>
      </c>
    </row>
    <row r="14" spans="1:6" x14ac:dyDescent="0.35">
      <c r="A14" s="4"/>
      <c r="B14" s="4"/>
      <c r="C14" s="4"/>
      <c r="D14" s="4"/>
      <c r="E14" s="4"/>
    </row>
    <row r="15" spans="1:6" x14ac:dyDescent="0.35">
      <c r="A15" s="4"/>
      <c r="B15" s="20" t="s">
        <v>559</v>
      </c>
      <c r="C15" s="6">
        <f>SUM(C16:C41)</f>
        <v>84397</v>
      </c>
      <c r="D15" s="6">
        <f t="shared" ref="D15:E15" si="1">SUM(D16:D41)</f>
        <v>41871</v>
      </c>
      <c r="E15" s="6">
        <f t="shared" si="1"/>
        <v>42526</v>
      </c>
    </row>
    <row r="16" spans="1:6" x14ac:dyDescent="0.35">
      <c r="A16" s="4">
        <v>1</v>
      </c>
      <c r="B16" s="4" t="s">
        <v>53</v>
      </c>
      <c r="C16" s="4">
        <v>4745</v>
      </c>
      <c r="D16" s="4">
        <v>2295</v>
      </c>
      <c r="E16" s="4">
        <v>2450</v>
      </c>
    </row>
    <row r="17" spans="1:5" x14ac:dyDescent="0.35">
      <c r="A17" s="4">
        <v>2</v>
      </c>
      <c r="B17" s="4" t="s">
        <v>54</v>
      </c>
      <c r="C17" s="4">
        <v>1928</v>
      </c>
      <c r="D17" s="4">
        <v>933</v>
      </c>
      <c r="E17" s="4">
        <v>995</v>
      </c>
    </row>
    <row r="18" spans="1:5" x14ac:dyDescent="0.35">
      <c r="A18" s="4">
        <v>3</v>
      </c>
      <c r="B18" s="4" t="s">
        <v>55</v>
      </c>
      <c r="C18" s="4">
        <v>10524</v>
      </c>
      <c r="D18" s="4">
        <v>5147</v>
      </c>
      <c r="E18" s="4">
        <v>5377</v>
      </c>
    </row>
    <row r="19" spans="1:5" x14ac:dyDescent="0.35">
      <c r="A19" s="4">
        <v>4</v>
      </c>
      <c r="B19" s="4" t="s">
        <v>56</v>
      </c>
      <c r="C19" s="4">
        <v>5190</v>
      </c>
      <c r="D19" s="4">
        <v>2615</v>
      </c>
      <c r="E19" s="4">
        <v>2575</v>
      </c>
    </row>
    <row r="20" spans="1:5" x14ac:dyDescent="0.35">
      <c r="A20" s="4">
        <v>5</v>
      </c>
      <c r="B20" s="4" t="s">
        <v>57</v>
      </c>
      <c r="C20" s="4">
        <v>848</v>
      </c>
      <c r="D20" s="4">
        <v>416</v>
      </c>
      <c r="E20" s="4">
        <v>432</v>
      </c>
    </row>
    <row r="21" spans="1:5" x14ac:dyDescent="0.35">
      <c r="A21" s="4">
        <v>6</v>
      </c>
      <c r="B21" s="4" t="s">
        <v>58</v>
      </c>
      <c r="C21" s="4">
        <v>14211</v>
      </c>
      <c r="D21" s="4">
        <v>6854</v>
      </c>
      <c r="E21" s="4">
        <v>7357</v>
      </c>
    </row>
    <row r="22" spans="1:5" x14ac:dyDescent="0.35">
      <c r="A22" s="4">
        <v>7</v>
      </c>
      <c r="B22" s="4" t="s">
        <v>59</v>
      </c>
      <c r="C22" s="4">
        <v>2708</v>
      </c>
      <c r="D22" s="4">
        <v>1296</v>
      </c>
      <c r="E22" s="4">
        <v>1412</v>
      </c>
    </row>
    <row r="23" spans="1:5" x14ac:dyDescent="0.35">
      <c r="A23" s="4">
        <v>8</v>
      </c>
      <c r="B23" s="4" t="s">
        <v>60</v>
      </c>
      <c r="C23" s="4">
        <v>2040</v>
      </c>
      <c r="D23" s="4">
        <v>1007</v>
      </c>
      <c r="E23" s="4">
        <v>1033</v>
      </c>
    </row>
    <row r="24" spans="1:5" x14ac:dyDescent="0.35">
      <c r="A24" s="4">
        <v>9</v>
      </c>
      <c r="B24" s="4" t="s">
        <v>61</v>
      </c>
      <c r="C24" s="4">
        <v>2134</v>
      </c>
      <c r="D24" s="4">
        <v>1030</v>
      </c>
      <c r="E24" s="4">
        <v>1104</v>
      </c>
    </row>
    <row r="25" spans="1:5" x14ac:dyDescent="0.35">
      <c r="A25" s="4">
        <v>10</v>
      </c>
      <c r="B25" s="4" t="s">
        <v>62</v>
      </c>
      <c r="C25" s="4">
        <v>5935</v>
      </c>
      <c r="D25" s="4">
        <v>2841</v>
      </c>
      <c r="E25" s="4">
        <v>3094</v>
      </c>
    </row>
    <row r="26" spans="1:5" x14ac:dyDescent="0.35">
      <c r="A26" s="4">
        <v>11</v>
      </c>
      <c r="B26" s="4" t="s">
        <v>63</v>
      </c>
      <c r="C26" s="4">
        <v>3492</v>
      </c>
      <c r="D26" s="4">
        <v>1811</v>
      </c>
      <c r="E26" s="4">
        <v>1681</v>
      </c>
    </row>
    <row r="27" spans="1:5" x14ac:dyDescent="0.35">
      <c r="A27" s="4">
        <v>12</v>
      </c>
      <c r="B27" s="4" t="s">
        <v>64</v>
      </c>
      <c r="C27" s="4">
        <v>2218</v>
      </c>
      <c r="D27" s="4">
        <v>1054</v>
      </c>
      <c r="E27" s="4">
        <v>1164</v>
      </c>
    </row>
    <row r="28" spans="1:5" x14ac:dyDescent="0.35">
      <c r="A28" s="4">
        <v>13</v>
      </c>
      <c r="B28" s="4" t="s">
        <v>65</v>
      </c>
      <c r="C28" s="4">
        <v>7380</v>
      </c>
      <c r="D28" s="4">
        <v>3774</v>
      </c>
      <c r="E28" s="4">
        <v>3606</v>
      </c>
    </row>
    <row r="29" spans="1:5" x14ac:dyDescent="0.35">
      <c r="A29" s="4">
        <v>14</v>
      </c>
      <c r="B29" s="4" t="s">
        <v>66</v>
      </c>
      <c r="C29" s="4">
        <v>3091</v>
      </c>
      <c r="D29" s="4">
        <v>1509</v>
      </c>
      <c r="E29" s="4">
        <v>1582</v>
      </c>
    </row>
    <row r="30" spans="1:5" x14ac:dyDescent="0.35">
      <c r="A30" s="4">
        <v>15</v>
      </c>
      <c r="B30" s="4" t="s">
        <v>67</v>
      </c>
      <c r="C30" s="4">
        <v>4450</v>
      </c>
      <c r="D30" s="4">
        <v>2177</v>
      </c>
      <c r="E30" s="4">
        <v>2273</v>
      </c>
    </row>
    <row r="31" spans="1:5" x14ac:dyDescent="0.35">
      <c r="A31" s="4">
        <v>16</v>
      </c>
      <c r="B31" s="4" t="s">
        <v>68</v>
      </c>
      <c r="C31" s="4">
        <v>984</v>
      </c>
      <c r="D31" s="4">
        <v>475</v>
      </c>
      <c r="E31" s="4">
        <v>509</v>
      </c>
    </row>
    <row r="32" spans="1:5" x14ac:dyDescent="0.35">
      <c r="A32" s="4">
        <v>17</v>
      </c>
      <c r="B32" s="4" t="s">
        <v>69</v>
      </c>
      <c r="C32" s="4">
        <v>615</v>
      </c>
      <c r="D32" s="4">
        <v>360</v>
      </c>
      <c r="E32" s="4">
        <v>255</v>
      </c>
    </row>
    <row r="33" spans="1:5" x14ac:dyDescent="0.35">
      <c r="A33" s="4">
        <v>18</v>
      </c>
      <c r="B33" s="4" t="s">
        <v>70</v>
      </c>
      <c r="C33" s="4">
        <v>234</v>
      </c>
      <c r="D33" s="4">
        <v>131</v>
      </c>
      <c r="E33" s="4">
        <v>103</v>
      </c>
    </row>
    <row r="34" spans="1:5" x14ac:dyDescent="0.35">
      <c r="A34" s="4">
        <v>19</v>
      </c>
      <c r="B34" s="4" t="s">
        <v>71</v>
      </c>
      <c r="C34" s="4">
        <v>2652</v>
      </c>
      <c r="D34" s="4">
        <v>1486</v>
      </c>
      <c r="E34" s="4">
        <v>1166</v>
      </c>
    </row>
    <row r="35" spans="1:5" x14ac:dyDescent="0.35">
      <c r="A35" s="4">
        <v>20</v>
      </c>
      <c r="B35" s="4" t="s">
        <v>72</v>
      </c>
      <c r="C35" s="4">
        <v>2</v>
      </c>
      <c r="D35" s="4">
        <v>2</v>
      </c>
      <c r="E35" s="4">
        <v>0</v>
      </c>
    </row>
    <row r="36" spans="1:5" x14ac:dyDescent="0.35">
      <c r="A36" s="4">
        <v>21</v>
      </c>
      <c r="B36" s="4" t="s">
        <v>73</v>
      </c>
      <c r="C36" s="4">
        <v>43</v>
      </c>
      <c r="D36" s="4">
        <v>40</v>
      </c>
      <c r="E36" s="4">
        <v>3</v>
      </c>
    </row>
    <row r="37" spans="1:5" x14ac:dyDescent="0.35">
      <c r="A37" s="4">
        <v>22</v>
      </c>
      <c r="B37" s="4" t="s">
        <v>74</v>
      </c>
      <c r="C37" s="4">
        <v>9</v>
      </c>
      <c r="D37" s="4">
        <v>8</v>
      </c>
      <c r="E37" s="4">
        <v>1</v>
      </c>
    </row>
    <row r="38" spans="1:5" x14ac:dyDescent="0.35">
      <c r="A38" s="4">
        <v>23</v>
      </c>
      <c r="B38" s="4" t="s">
        <v>75</v>
      </c>
      <c r="C38" s="4">
        <v>1187</v>
      </c>
      <c r="D38" s="4">
        <v>619</v>
      </c>
      <c r="E38" s="4">
        <v>568</v>
      </c>
    </row>
    <row r="39" spans="1:5" x14ac:dyDescent="0.35">
      <c r="A39" s="4">
        <v>24</v>
      </c>
      <c r="B39" s="4" t="s">
        <v>76</v>
      </c>
      <c r="C39" s="4">
        <v>3142</v>
      </c>
      <c r="D39" s="4">
        <v>1624</v>
      </c>
      <c r="E39" s="4">
        <v>1518</v>
      </c>
    </row>
    <row r="40" spans="1:5" x14ac:dyDescent="0.35">
      <c r="A40" s="4">
        <v>25</v>
      </c>
      <c r="B40" s="4" t="s">
        <v>77</v>
      </c>
      <c r="C40" s="4">
        <v>4072</v>
      </c>
      <c r="D40" s="4">
        <v>2093</v>
      </c>
      <c r="E40" s="4">
        <v>1979</v>
      </c>
    </row>
    <row r="41" spans="1:5" x14ac:dyDescent="0.35">
      <c r="A41" s="7">
        <v>26</v>
      </c>
      <c r="B41" s="7" t="s">
        <v>78</v>
      </c>
      <c r="C41" s="7">
        <v>563</v>
      </c>
      <c r="D41" s="7">
        <v>274</v>
      </c>
      <c r="E41" s="7">
        <v>289</v>
      </c>
    </row>
    <row r="42" spans="1:5" x14ac:dyDescent="0.35">
      <c r="A42" s="10"/>
      <c r="B42" s="10"/>
      <c r="C42" s="10"/>
      <c r="D42" s="10"/>
      <c r="E42" s="10"/>
    </row>
  </sheetData>
  <mergeCells count="4">
    <mergeCell ref="B4:B5"/>
    <mergeCell ref="A4:A5"/>
    <mergeCell ref="C4:E4"/>
    <mergeCell ref="A1:E1"/>
  </mergeCells>
  <hyperlinks>
    <hyperlink ref="A1:E1" location="'list of township'!A1" display="Kachin State,  Myitkyinar District,  Waingmaw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sqref="A1:E1"/>
    </sheetView>
  </sheetViews>
  <sheetFormatPr defaultRowHeight="15" x14ac:dyDescent="0.25"/>
  <cols>
    <col min="1" max="1" width="6.7109375" style="17" customWidth="1"/>
    <col min="2" max="2" width="27.28515625" style="17" bestFit="1" customWidth="1"/>
    <col min="3" max="5" width="15.7109375" style="17" customWidth="1"/>
    <col min="6" max="16384" width="9.140625" style="17"/>
  </cols>
  <sheetData>
    <row r="1" spans="1:7" s="1" customFormat="1" ht="25.5" customHeight="1" x14ac:dyDescent="0.35">
      <c r="A1" s="42" t="s">
        <v>529</v>
      </c>
      <c r="B1" s="42"/>
      <c r="C1" s="42"/>
      <c r="D1" s="42"/>
      <c r="E1" s="42"/>
      <c r="F1" s="22"/>
      <c r="G1" s="22"/>
    </row>
    <row r="2" spans="1:7" s="1" customFormat="1" ht="25.5" customHeight="1" x14ac:dyDescent="0.35">
      <c r="A2" s="22"/>
      <c r="D2" s="22"/>
      <c r="E2" s="18" t="s">
        <v>526</v>
      </c>
    </row>
    <row r="3" spans="1:7" s="1" customFormat="1" ht="25.5" customHeight="1" x14ac:dyDescent="0.35">
      <c r="A3" s="22"/>
      <c r="D3" s="22"/>
      <c r="E3" s="18"/>
    </row>
    <row r="4" spans="1:7" s="1" customFormat="1" ht="2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7" s="1" customFormat="1" ht="21" x14ac:dyDescent="0.35">
      <c r="A5" s="43"/>
      <c r="B5" s="43"/>
      <c r="C5" s="32" t="s">
        <v>0</v>
      </c>
      <c r="D5" s="32" t="s">
        <v>1</v>
      </c>
      <c r="E5" s="32" t="s">
        <v>2</v>
      </c>
    </row>
    <row r="6" spans="1:7" s="1" customFormat="1" ht="21" customHeight="1" x14ac:dyDescent="0.35">
      <c r="A6" s="4"/>
      <c r="B6" s="6" t="s">
        <v>558</v>
      </c>
      <c r="C6" s="6">
        <f>C8+C14</f>
        <v>1732</v>
      </c>
      <c r="D6" s="6">
        <f>D8+D14</f>
        <v>946</v>
      </c>
      <c r="E6" s="6">
        <f>E8+E14</f>
        <v>786</v>
      </c>
    </row>
    <row r="7" spans="1:7" ht="21" customHeight="1" x14ac:dyDescent="0.25">
      <c r="A7" s="4"/>
      <c r="B7" s="4"/>
      <c r="C7" s="4"/>
      <c r="D7" s="4"/>
      <c r="E7" s="4"/>
    </row>
    <row r="8" spans="1:7" ht="21" customHeight="1" x14ac:dyDescent="0.25">
      <c r="A8" s="4"/>
      <c r="B8" s="20" t="s">
        <v>524</v>
      </c>
      <c r="C8" s="6">
        <f>SUM(C9:C12)</f>
        <v>445</v>
      </c>
      <c r="D8" s="6">
        <f t="shared" ref="D8:E8" si="0">SUM(D9:D12)</f>
        <v>244</v>
      </c>
      <c r="E8" s="6">
        <f t="shared" si="0"/>
        <v>201</v>
      </c>
    </row>
    <row r="9" spans="1:7" ht="21" customHeight="1" x14ac:dyDescent="0.25">
      <c r="A9" s="4">
        <v>1</v>
      </c>
      <c r="B9" s="4" t="s">
        <v>48</v>
      </c>
      <c r="C9" s="4">
        <v>95</v>
      </c>
      <c r="D9" s="4">
        <v>44</v>
      </c>
      <c r="E9" s="4">
        <v>51</v>
      </c>
    </row>
    <row r="10" spans="1:7" ht="21" customHeight="1" x14ac:dyDescent="0.25">
      <c r="A10" s="4">
        <v>2</v>
      </c>
      <c r="B10" s="4" t="s">
        <v>49</v>
      </c>
      <c r="C10" s="4">
        <v>36</v>
      </c>
      <c r="D10" s="4">
        <v>18</v>
      </c>
      <c r="E10" s="4">
        <v>18</v>
      </c>
    </row>
    <row r="11" spans="1:7" ht="21" customHeight="1" x14ac:dyDescent="0.25">
      <c r="A11" s="4">
        <v>3</v>
      </c>
      <c r="B11" s="4" t="s">
        <v>50</v>
      </c>
      <c r="C11" s="4">
        <v>59</v>
      </c>
      <c r="D11" s="4">
        <v>49</v>
      </c>
      <c r="E11" s="4">
        <v>10</v>
      </c>
    </row>
    <row r="12" spans="1:7" ht="21" customHeight="1" x14ac:dyDescent="0.25">
      <c r="A12" s="4">
        <v>4</v>
      </c>
      <c r="B12" s="4" t="s">
        <v>51</v>
      </c>
      <c r="C12" s="4">
        <v>255</v>
      </c>
      <c r="D12" s="4">
        <v>133</v>
      </c>
      <c r="E12" s="4">
        <v>122</v>
      </c>
    </row>
    <row r="13" spans="1:7" ht="21" customHeight="1" x14ac:dyDescent="0.25">
      <c r="A13" s="4"/>
      <c r="B13" s="4"/>
      <c r="C13" s="4"/>
      <c r="D13" s="4"/>
      <c r="E13" s="4"/>
    </row>
    <row r="14" spans="1:7" ht="21" customHeight="1" x14ac:dyDescent="0.25">
      <c r="A14" s="4"/>
      <c r="B14" s="20" t="s">
        <v>559</v>
      </c>
      <c r="C14" s="6">
        <f>C15+C16</f>
        <v>1287</v>
      </c>
      <c r="D14" s="6">
        <f>D15+D16</f>
        <v>702</v>
      </c>
      <c r="E14" s="6">
        <f>E15+E16</f>
        <v>585</v>
      </c>
    </row>
    <row r="15" spans="1:7" ht="21" customHeight="1" x14ac:dyDescent="0.25">
      <c r="A15" s="4">
        <v>1</v>
      </c>
      <c r="B15" s="4" t="s">
        <v>79</v>
      </c>
      <c r="C15" s="4">
        <v>639</v>
      </c>
      <c r="D15" s="4">
        <v>357</v>
      </c>
      <c r="E15" s="4">
        <v>282</v>
      </c>
    </row>
    <row r="16" spans="1:7" ht="21" customHeight="1" x14ac:dyDescent="0.25">
      <c r="A16" s="7">
        <v>2</v>
      </c>
      <c r="B16" s="7" t="s">
        <v>80</v>
      </c>
      <c r="C16" s="7">
        <v>648</v>
      </c>
      <c r="D16" s="7">
        <v>345</v>
      </c>
      <c r="E16" s="7">
        <v>303</v>
      </c>
    </row>
    <row r="17" spans="1:5" x14ac:dyDescent="0.25">
      <c r="A17" s="21"/>
      <c r="B17" s="21"/>
      <c r="C17" s="21"/>
      <c r="D17" s="21"/>
      <c r="E17" s="21"/>
    </row>
  </sheetData>
  <mergeCells count="4">
    <mergeCell ref="A4:A5"/>
    <mergeCell ref="B4:B5"/>
    <mergeCell ref="C4:E4"/>
    <mergeCell ref="A1:E1"/>
  </mergeCells>
  <hyperlinks>
    <hyperlink ref="A1:E1" location="'list of township'!A1" display="Kachin State,  Myitkyinar District,    Ingyanyan Township"/>
  </hyperlinks>
  <pageMargins left="0.75" right="0.5" top="0.5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1"/>
    </sheetView>
  </sheetViews>
  <sheetFormatPr defaultRowHeight="15" x14ac:dyDescent="0.25"/>
  <cols>
    <col min="1" max="1" width="7.140625" style="17" customWidth="1"/>
    <col min="2" max="2" width="36" style="17" bestFit="1" customWidth="1"/>
    <col min="3" max="5" width="12.7109375" style="17" customWidth="1"/>
    <col min="6" max="16384" width="9.140625" style="17"/>
  </cols>
  <sheetData>
    <row r="1" spans="1:5" s="1" customFormat="1" ht="25.5" customHeight="1" x14ac:dyDescent="0.35">
      <c r="A1" s="42" t="s">
        <v>531</v>
      </c>
      <c r="B1" s="42"/>
      <c r="C1" s="42"/>
      <c r="D1" s="42"/>
      <c r="E1" s="42"/>
    </row>
    <row r="2" spans="1:5" s="1" customFormat="1" ht="25.5" customHeight="1" x14ac:dyDescent="0.35">
      <c r="A2" s="22"/>
      <c r="D2" s="22"/>
      <c r="E2" s="18" t="s">
        <v>526</v>
      </c>
    </row>
    <row r="3" spans="1:5" s="1" customFormat="1" ht="25.5" customHeight="1" x14ac:dyDescent="0.35">
      <c r="A3" s="22"/>
      <c r="D3" s="22"/>
      <c r="E3" s="18"/>
    </row>
    <row r="4" spans="1:5" s="1" customFormat="1" ht="2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5" s="1" customFormat="1" ht="2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5" s="1" customFormat="1" ht="21.75" customHeight="1" x14ac:dyDescent="0.35">
      <c r="A6" s="14"/>
      <c r="B6" s="33" t="s">
        <v>558</v>
      </c>
      <c r="C6" s="33">
        <f>C8+C16</f>
        <v>48566</v>
      </c>
      <c r="D6" s="33">
        <f t="shared" ref="D6:E6" si="0">D8+D16</f>
        <v>25773</v>
      </c>
      <c r="E6" s="33">
        <f t="shared" si="0"/>
        <v>22793</v>
      </c>
    </row>
    <row r="7" spans="1:5" ht="21.75" customHeight="1" x14ac:dyDescent="0.25">
      <c r="A7" s="4"/>
      <c r="B7" s="4"/>
      <c r="C7" s="4"/>
      <c r="D7" s="4"/>
      <c r="E7" s="4"/>
    </row>
    <row r="8" spans="1:5" ht="21.75" customHeight="1" x14ac:dyDescent="0.25">
      <c r="A8" s="4"/>
      <c r="B8" s="20" t="s">
        <v>524</v>
      </c>
      <c r="C8" s="6">
        <f>SUM(C9:C14)</f>
        <v>31998</v>
      </c>
      <c r="D8" s="6">
        <f t="shared" ref="D8:E8" si="1">SUM(D9:D14)</f>
        <v>17007</v>
      </c>
      <c r="E8" s="6">
        <f t="shared" si="1"/>
        <v>14991</v>
      </c>
    </row>
    <row r="9" spans="1:5" ht="21.75" customHeight="1" x14ac:dyDescent="0.25">
      <c r="A9" s="4">
        <v>1</v>
      </c>
      <c r="B9" s="4" t="s">
        <v>81</v>
      </c>
      <c r="C9" s="4">
        <v>5244</v>
      </c>
      <c r="D9" s="4">
        <v>2854</v>
      </c>
      <c r="E9" s="4">
        <v>2390</v>
      </c>
    </row>
    <row r="10" spans="1:5" ht="21.75" customHeight="1" x14ac:dyDescent="0.25">
      <c r="A10" s="4">
        <v>2</v>
      </c>
      <c r="B10" s="4" t="s">
        <v>82</v>
      </c>
      <c r="C10" s="4">
        <v>8669</v>
      </c>
      <c r="D10" s="4">
        <v>4533</v>
      </c>
      <c r="E10" s="4">
        <v>4136</v>
      </c>
    </row>
    <row r="11" spans="1:5" ht="21.75" customHeight="1" x14ac:dyDescent="0.25">
      <c r="A11" s="4">
        <v>3</v>
      </c>
      <c r="B11" s="4" t="s">
        <v>83</v>
      </c>
      <c r="C11" s="4">
        <v>3661</v>
      </c>
      <c r="D11" s="4">
        <v>1833</v>
      </c>
      <c r="E11" s="4">
        <v>1828</v>
      </c>
    </row>
    <row r="12" spans="1:5" ht="21.75" customHeight="1" x14ac:dyDescent="0.25">
      <c r="A12" s="4">
        <v>4</v>
      </c>
      <c r="B12" s="4" t="s">
        <v>84</v>
      </c>
      <c r="C12" s="4">
        <v>5351</v>
      </c>
      <c r="D12" s="4">
        <v>2949</v>
      </c>
      <c r="E12" s="4">
        <v>2402</v>
      </c>
    </row>
    <row r="13" spans="1:5" ht="21.75" customHeight="1" x14ac:dyDescent="0.25">
      <c r="A13" s="4">
        <v>5</v>
      </c>
      <c r="B13" s="4" t="s">
        <v>85</v>
      </c>
      <c r="C13" s="4">
        <v>3286</v>
      </c>
      <c r="D13" s="4">
        <v>1739</v>
      </c>
      <c r="E13" s="4">
        <v>1547</v>
      </c>
    </row>
    <row r="14" spans="1:5" ht="21.75" customHeight="1" x14ac:dyDescent="0.25">
      <c r="A14" s="4">
        <v>6</v>
      </c>
      <c r="B14" s="4" t="s">
        <v>86</v>
      </c>
      <c r="C14" s="4">
        <v>5787</v>
      </c>
      <c r="D14" s="4">
        <v>3099</v>
      </c>
      <c r="E14" s="4">
        <v>2688</v>
      </c>
    </row>
    <row r="15" spans="1:5" ht="21.75" customHeight="1" x14ac:dyDescent="0.25">
      <c r="A15" s="4"/>
      <c r="B15" s="4"/>
      <c r="C15" s="4"/>
      <c r="D15" s="4"/>
      <c r="E15" s="4"/>
    </row>
    <row r="16" spans="1:5" ht="21.75" customHeight="1" x14ac:dyDescent="0.25">
      <c r="A16" s="4"/>
      <c r="B16" s="20" t="s">
        <v>559</v>
      </c>
      <c r="C16" s="6">
        <f>SUM(C17:C25)</f>
        <v>16568</v>
      </c>
      <c r="D16" s="6">
        <f t="shared" ref="D16:E16" si="2">SUM(D17:D25)</f>
        <v>8766</v>
      </c>
      <c r="E16" s="6">
        <f t="shared" si="2"/>
        <v>7802</v>
      </c>
    </row>
    <row r="17" spans="1:5" ht="21.75" customHeight="1" x14ac:dyDescent="0.25">
      <c r="A17" s="4">
        <v>1</v>
      </c>
      <c r="B17" s="4" t="s">
        <v>87</v>
      </c>
      <c r="C17" s="4">
        <v>1635</v>
      </c>
      <c r="D17" s="4">
        <v>848</v>
      </c>
      <c r="E17" s="4">
        <v>787</v>
      </c>
    </row>
    <row r="18" spans="1:5" ht="21.75" customHeight="1" x14ac:dyDescent="0.25">
      <c r="A18" s="4">
        <v>2</v>
      </c>
      <c r="B18" s="4" t="s">
        <v>88</v>
      </c>
      <c r="C18" s="4">
        <v>460</v>
      </c>
      <c r="D18" s="4">
        <v>272</v>
      </c>
      <c r="E18" s="4">
        <v>188</v>
      </c>
    </row>
    <row r="19" spans="1:5" ht="21.75" customHeight="1" x14ac:dyDescent="0.25">
      <c r="A19" s="4">
        <v>3</v>
      </c>
      <c r="B19" s="4" t="s">
        <v>89</v>
      </c>
      <c r="C19" s="4">
        <v>2145</v>
      </c>
      <c r="D19" s="4">
        <v>1139</v>
      </c>
      <c r="E19" s="4">
        <v>1006</v>
      </c>
    </row>
    <row r="20" spans="1:5" ht="21.75" customHeight="1" x14ac:dyDescent="0.25">
      <c r="A20" s="4">
        <v>4</v>
      </c>
      <c r="B20" s="4" t="s">
        <v>90</v>
      </c>
      <c r="C20" s="4">
        <v>2240</v>
      </c>
      <c r="D20" s="4">
        <v>1232</v>
      </c>
      <c r="E20" s="4">
        <v>1008</v>
      </c>
    </row>
    <row r="21" spans="1:5" ht="21.75" customHeight="1" x14ac:dyDescent="0.25">
      <c r="A21" s="4">
        <v>5</v>
      </c>
      <c r="B21" s="4" t="s">
        <v>91</v>
      </c>
      <c r="C21" s="4">
        <v>5904</v>
      </c>
      <c r="D21" s="4">
        <v>3077</v>
      </c>
      <c r="E21" s="4">
        <v>2827</v>
      </c>
    </row>
    <row r="22" spans="1:5" ht="21.75" customHeight="1" x14ac:dyDescent="0.25">
      <c r="A22" s="4">
        <v>6</v>
      </c>
      <c r="B22" s="4" t="s">
        <v>92</v>
      </c>
      <c r="C22" s="4">
        <v>519</v>
      </c>
      <c r="D22" s="4">
        <v>296</v>
      </c>
      <c r="E22" s="4">
        <v>223</v>
      </c>
    </row>
    <row r="23" spans="1:5" ht="21.75" customHeight="1" x14ac:dyDescent="0.25">
      <c r="A23" s="4">
        <v>7</v>
      </c>
      <c r="B23" s="4" t="s">
        <v>93</v>
      </c>
      <c r="C23" s="4">
        <v>1598</v>
      </c>
      <c r="D23" s="4">
        <v>804</v>
      </c>
      <c r="E23" s="4">
        <v>794</v>
      </c>
    </row>
    <row r="24" spans="1:5" ht="21.75" customHeight="1" x14ac:dyDescent="0.25">
      <c r="A24" s="4">
        <v>8</v>
      </c>
      <c r="B24" s="4" t="s">
        <v>94</v>
      </c>
      <c r="C24" s="4">
        <v>483</v>
      </c>
      <c r="D24" s="4">
        <v>247</v>
      </c>
      <c r="E24" s="4">
        <v>236</v>
      </c>
    </row>
    <row r="25" spans="1:5" ht="21.75" customHeight="1" x14ac:dyDescent="0.25">
      <c r="A25" s="4">
        <v>9</v>
      </c>
      <c r="B25" s="4" t="s">
        <v>95</v>
      </c>
      <c r="C25" s="4">
        <v>1584</v>
      </c>
      <c r="D25" s="4">
        <v>851</v>
      </c>
      <c r="E25" s="4">
        <v>733</v>
      </c>
    </row>
    <row r="26" spans="1:5" ht="21.75" customHeight="1" x14ac:dyDescent="0.25">
      <c r="A26" s="24"/>
      <c r="B26" s="24"/>
      <c r="C26" s="24"/>
      <c r="D26" s="24"/>
      <c r="E26" s="24"/>
    </row>
  </sheetData>
  <mergeCells count="4">
    <mergeCell ref="A4:A5"/>
    <mergeCell ref="B4:B5"/>
    <mergeCell ref="C4:E4"/>
    <mergeCell ref="A1:E1"/>
  </mergeCells>
  <hyperlinks>
    <hyperlink ref="A1:E1" location="'list of township'!A1" display="Kachin State,  Myitkyinar District,  Tanaing  Township"/>
  </hyperlinks>
  <pageMargins left="0.75" right="0.5" top="0.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selection sqref="A1:E1"/>
    </sheetView>
  </sheetViews>
  <sheetFormatPr defaultRowHeight="15" x14ac:dyDescent="0.25"/>
  <cols>
    <col min="1" max="1" width="9.140625" style="17"/>
    <col min="2" max="2" width="27.7109375" style="17" customWidth="1"/>
    <col min="3" max="5" width="15.7109375" style="17" customWidth="1"/>
    <col min="6" max="16384" width="9.140625" style="17"/>
  </cols>
  <sheetData>
    <row r="1" spans="1:5" s="1" customFormat="1" ht="25.5" customHeight="1" x14ac:dyDescent="0.35">
      <c r="A1" s="42" t="s">
        <v>530</v>
      </c>
      <c r="B1" s="42"/>
      <c r="C1" s="42"/>
      <c r="D1" s="42"/>
      <c r="E1" s="42"/>
    </row>
    <row r="2" spans="1:5" s="1" customFormat="1" ht="25.5" customHeight="1" x14ac:dyDescent="0.35">
      <c r="A2" s="22"/>
      <c r="B2" s="22"/>
      <c r="D2" s="22"/>
      <c r="E2" s="18" t="s">
        <v>526</v>
      </c>
    </row>
    <row r="3" spans="1:5" s="1" customFormat="1" ht="25.5" customHeight="1" x14ac:dyDescent="0.35">
      <c r="A3" s="22"/>
      <c r="B3" s="22"/>
      <c r="D3" s="22"/>
      <c r="E3" s="18"/>
    </row>
    <row r="4" spans="1:5" s="1" customFormat="1" ht="25.5" customHeight="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5" s="1" customFormat="1" ht="2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5" s="1" customFormat="1" ht="21" x14ac:dyDescent="0.35">
      <c r="A6" s="34"/>
      <c r="B6" s="33" t="s">
        <v>558</v>
      </c>
      <c r="C6" s="33">
        <f>C8+C14</f>
        <v>11303</v>
      </c>
      <c r="D6" s="33">
        <f t="shared" ref="D6:E6" si="0">D8+D14</f>
        <v>5831</v>
      </c>
      <c r="E6" s="33">
        <f t="shared" si="0"/>
        <v>5472</v>
      </c>
    </row>
    <row r="7" spans="1:5" s="1" customFormat="1" ht="21.75" customHeight="1" x14ac:dyDescent="0.35">
      <c r="A7" s="2"/>
      <c r="B7" s="4"/>
      <c r="C7" s="4"/>
      <c r="D7" s="4"/>
      <c r="E7" s="4"/>
    </row>
    <row r="8" spans="1:5" ht="21.75" customHeight="1" x14ac:dyDescent="0.25">
      <c r="A8" s="25"/>
      <c r="B8" s="20" t="s">
        <v>524</v>
      </c>
      <c r="C8" s="6">
        <f>SUM(C9:C12)</f>
        <v>1567</v>
      </c>
      <c r="D8" s="6">
        <f>SUM(D9:D12)</f>
        <v>768</v>
      </c>
      <c r="E8" s="6">
        <f>SUM(E9:E12)</f>
        <v>799</v>
      </c>
    </row>
    <row r="9" spans="1:5" ht="21.75" customHeight="1" x14ac:dyDescent="0.25">
      <c r="A9" s="25">
        <v>1</v>
      </c>
      <c r="B9" s="4" t="s">
        <v>96</v>
      </c>
      <c r="C9" s="4">
        <v>703</v>
      </c>
      <c r="D9" s="4">
        <v>355</v>
      </c>
      <c r="E9" s="4">
        <v>348</v>
      </c>
    </row>
    <row r="10" spans="1:5" ht="21.75" customHeight="1" x14ac:dyDescent="0.25">
      <c r="A10" s="25">
        <v>2</v>
      </c>
      <c r="B10" s="4" t="s">
        <v>97</v>
      </c>
      <c r="C10" s="4">
        <v>535</v>
      </c>
      <c r="D10" s="4">
        <v>242</v>
      </c>
      <c r="E10" s="4">
        <v>293</v>
      </c>
    </row>
    <row r="11" spans="1:5" ht="21.75" customHeight="1" x14ac:dyDescent="0.25">
      <c r="A11" s="25">
        <v>3</v>
      </c>
      <c r="B11" s="4" t="s">
        <v>98</v>
      </c>
      <c r="C11" s="4">
        <v>245</v>
      </c>
      <c r="D11" s="4">
        <v>135</v>
      </c>
      <c r="E11" s="4">
        <v>110</v>
      </c>
    </row>
    <row r="12" spans="1:5" ht="21.75" customHeight="1" x14ac:dyDescent="0.25">
      <c r="A12" s="25">
        <v>4</v>
      </c>
      <c r="B12" s="4" t="s">
        <v>99</v>
      </c>
      <c r="C12" s="4">
        <v>84</v>
      </c>
      <c r="D12" s="4">
        <v>36</v>
      </c>
      <c r="E12" s="4">
        <v>48</v>
      </c>
    </row>
    <row r="13" spans="1:5" ht="21.75" customHeight="1" x14ac:dyDescent="0.25">
      <c r="A13" s="25"/>
      <c r="B13" s="4"/>
      <c r="C13" s="4"/>
      <c r="D13" s="4"/>
      <c r="E13" s="4"/>
    </row>
    <row r="14" spans="1:5" ht="21.75" customHeight="1" x14ac:dyDescent="0.25">
      <c r="A14" s="25"/>
      <c r="B14" s="20" t="s">
        <v>559</v>
      </c>
      <c r="C14" s="6">
        <f>SUM(C15:C45)</f>
        <v>9736</v>
      </c>
      <c r="D14" s="6">
        <f t="shared" ref="D14:E14" si="1">SUM(D15:D45)</f>
        <v>5063</v>
      </c>
      <c r="E14" s="6">
        <f t="shared" si="1"/>
        <v>4673</v>
      </c>
    </row>
    <row r="15" spans="1:5" ht="21.75" customHeight="1" x14ac:dyDescent="0.25">
      <c r="A15" s="25">
        <v>1</v>
      </c>
      <c r="B15" s="4" t="s">
        <v>100</v>
      </c>
      <c r="C15" s="4">
        <v>86</v>
      </c>
      <c r="D15" s="4">
        <v>33</v>
      </c>
      <c r="E15" s="4">
        <v>53</v>
      </c>
    </row>
    <row r="16" spans="1:5" ht="21.75" customHeight="1" x14ac:dyDescent="0.25">
      <c r="A16" s="25">
        <v>2</v>
      </c>
      <c r="B16" s="4" t="s">
        <v>101</v>
      </c>
      <c r="C16" s="4">
        <v>203</v>
      </c>
      <c r="D16" s="4">
        <v>104</v>
      </c>
      <c r="E16" s="4">
        <v>99</v>
      </c>
    </row>
    <row r="17" spans="1:5" ht="21.75" customHeight="1" x14ac:dyDescent="0.25">
      <c r="A17" s="25">
        <v>3</v>
      </c>
      <c r="B17" s="4" t="s">
        <v>102</v>
      </c>
      <c r="C17" s="4">
        <v>83</v>
      </c>
      <c r="D17" s="4">
        <v>43</v>
      </c>
      <c r="E17" s="4">
        <v>40</v>
      </c>
    </row>
    <row r="18" spans="1:5" ht="21.75" customHeight="1" x14ac:dyDescent="0.25">
      <c r="A18" s="25">
        <v>4</v>
      </c>
      <c r="B18" s="4" t="s">
        <v>103</v>
      </c>
      <c r="C18" s="4">
        <v>96</v>
      </c>
      <c r="D18" s="4">
        <v>42</v>
      </c>
      <c r="E18" s="4">
        <v>54</v>
      </c>
    </row>
    <row r="19" spans="1:5" ht="21.75" customHeight="1" x14ac:dyDescent="0.25">
      <c r="A19" s="25">
        <v>5</v>
      </c>
      <c r="B19" s="4" t="s">
        <v>104</v>
      </c>
      <c r="C19" s="4">
        <v>75</v>
      </c>
      <c r="D19" s="4">
        <v>44</v>
      </c>
      <c r="E19" s="4">
        <v>31</v>
      </c>
    </row>
    <row r="20" spans="1:5" ht="21.75" customHeight="1" x14ac:dyDescent="0.25">
      <c r="A20" s="25">
        <v>6</v>
      </c>
      <c r="B20" s="4" t="s">
        <v>105</v>
      </c>
      <c r="C20" s="4">
        <v>137</v>
      </c>
      <c r="D20" s="4">
        <v>66</v>
      </c>
      <c r="E20" s="4">
        <v>71</v>
      </c>
    </row>
    <row r="21" spans="1:5" ht="21.75" customHeight="1" x14ac:dyDescent="0.25">
      <c r="A21" s="25">
        <v>7</v>
      </c>
      <c r="B21" s="4" t="s">
        <v>106</v>
      </c>
      <c r="C21" s="4">
        <v>695</v>
      </c>
      <c r="D21" s="4">
        <v>335</v>
      </c>
      <c r="E21" s="4">
        <v>360</v>
      </c>
    </row>
    <row r="22" spans="1:5" ht="21.75" customHeight="1" x14ac:dyDescent="0.25">
      <c r="A22" s="25">
        <v>8</v>
      </c>
      <c r="B22" s="4" t="s">
        <v>107</v>
      </c>
      <c r="C22" s="4">
        <v>321</v>
      </c>
      <c r="D22" s="4">
        <v>173</v>
      </c>
      <c r="E22" s="4">
        <v>148</v>
      </c>
    </row>
    <row r="23" spans="1:5" ht="21.75" customHeight="1" x14ac:dyDescent="0.25">
      <c r="A23" s="25">
        <v>9</v>
      </c>
      <c r="B23" s="4" t="s">
        <v>108</v>
      </c>
      <c r="C23" s="4">
        <v>216</v>
      </c>
      <c r="D23" s="4">
        <v>126</v>
      </c>
      <c r="E23" s="4">
        <v>90</v>
      </c>
    </row>
    <row r="24" spans="1:5" ht="21.75" customHeight="1" x14ac:dyDescent="0.25">
      <c r="A24" s="25">
        <v>10</v>
      </c>
      <c r="B24" s="4" t="s">
        <v>109</v>
      </c>
      <c r="C24" s="4">
        <v>53</v>
      </c>
      <c r="D24" s="4">
        <v>25</v>
      </c>
      <c r="E24" s="4">
        <v>28</v>
      </c>
    </row>
    <row r="25" spans="1:5" ht="21.75" customHeight="1" x14ac:dyDescent="0.25">
      <c r="A25" s="25">
        <v>11</v>
      </c>
      <c r="B25" s="4" t="s">
        <v>110</v>
      </c>
      <c r="C25" s="4">
        <v>53</v>
      </c>
      <c r="D25" s="4">
        <v>28</v>
      </c>
      <c r="E25" s="4">
        <v>25</v>
      </c>
    </row>
    <row r="26" spans="1:5" ht="21.75" customHeight="1" x14ac:dyDescent="0.25">
      <c r="A26" s="25">
        <v>12</v>
      </c>
      <c r="B26" s="4" t="s">
        <v>111</v>
      </c>
      <c r="C26" s="4">
        <v>47</v>
      </c>
      <c r="D26" s="4">
        <v>20</v>
      </c>
      <c r="E26" s="4">
        <v>27</v>
      </c>
    </row>
    <row r="27" spans="1:5" ht="21.75" customHeight="1" x14ac:dyDescent="0.25">
      <c r="A27" s="25">
        <v>13</v>
      </c>
      <c r="B27" s="4" t="s">
        <v>112</v>
      </c>
      <c r="C27" s="4">
        <v>44</v>
      </c>
      <c r="D27" s="4">
        <v>25</v>
      </c>
      <c r="E27" s="4">
        <v>19</v>
      </c>
    </row>
    <row r="28" spans="1:5" ht="21.75" customHeight="1" x14ac:dyDescent="0.25">
      <c r="A28" s="25">
        <v>14</v>
      </c>
      <c r="B28" s="4" t="s">
        <v>113</v>
      </c>
      <c r="C28" s="4">
        <v>212</v>
      </c>
      <c r="D28" s="4">
        <v>116</v>
      </c>
      <c r="E28" s="4">
        <v>96</v>
      </c>
    </row>
    <row r="29" spans="1:5" ht="21.75" customHeight="1" x14ac:dyDescent="0.25">
      <c r="A29" s="25">
        <v>15</v>
      </c>
      <c r="B29" s="4" t="s">
        <v>114</v>
      </c>
      <c r="C29" s="4">
        <v>17</v>
      </c>
      <c r="D29" s="4">
        <v>9</v>
      </c>
      <c r="E29" s="4">
        <v>8</v>
      </c>
    </row>
    <row r="30" spans="1:5" ht="21.75" customHeight="1" x14ac:dyDescent="0.25">
      <c r="A30" s="25">
        <v>16</v>
      </c>
      <c r="B30" s="4" t="s">
        <v>115</v>
      </c>
      <c r="C30" s="4">
        <v>343</v>
      </c>
      <c r="D30" s="4">
        <v>169</v>
      </c>
      <c r="E30" s="4">
        <v>174</v>
      </c>
    </row>
    <row r="31" spans="1:5" ht="21.75" customHeight="1" x14ac:dyDescent="0.25">
      <c r="A31" s="25">
        <v>17</v>
      </c>
      <c r="B31" s="4" t="s">
        <v>116</v>
      </c>
      <c r="C31" s="4">
        <v>53</v>
      </c>
      <c r="D31" s="4">
        <v>26</v>
      </c>
      <c r="E31" s="4">
        <v>27</v>
      </c>
    </row>
    <row r="32" spans="1:5" ht="21.75" customHeight="1" x14ac:dyDescent="0.25">
      <c r="A32" s="25">
        <v>18</v>
      </c>
      <c r="B32" s="4" t="s">
        <v>117</v>
      </c>
      <c r="C32" s="4">
        <v>228</v>
      </c>
      <c r="D32" s="4">
        <v>116</v>
      </c>
      <c r="E32" s="4">
        <v>112</v>
      </c>
    </row>
    <row r="33" spans="1:5" ht="21.75" customHeight="1" x14ac:dyDescent="0.25">
      <c r="A33" s="25">
        <v>19</v>
      </c>
      <c r="B33" s="4" t="s">
        <v>118</v>
      </c>
      <c r="C33" s="4">
        <v>100</v>
      </c>
      <c r="D33" s="4">
        <v>53</v>
      </c>
      <c r="E33" s="4">
        <v>47</v>
      </c>
    </row>
    <row r="34" spans="1:5" ht="21.75" customHeight="1" x14ac:dyDescent="0.25">
      <c r="A34" s="25">
        <v>20</v>
      </c>
      <c r="B34" s="4" t="s">
        <v>119</v>
      </c>
      <c r="C34" s="4">
        <v>104</v>
      </c>
      <c r="D34" s="4">
        <v>56</v>
      </c>
      <c r="E34" s="4">
        <v>48</v>
      </c>
    </row>
    <row r="35" spans="1:5" ht="21.75" customHeight="1" x14ac:dyDescent="0.25">
      <c r="A35" s="25">
        <v>21</v>
      </c>
      <c r="B35" s="4" t="s">
        <v>120</v>
      </c>
      <c r="C35" s="4">
        <v>585</v>
      </c>
      <c r="D35" s="4">
        <v>296</v>
      </c>
      <c r="E35" s="4">
        <v>289</v>
      </c>
    </row>
    <row r="36" spans="1:5" ht="21.75" customHeight="1" x14ac:dyDescent="0.25">
      <c r="A36" s="25">
        <v>22</v>
      </c>
      <c r="B36" s="4" t="s">
        <v>121</v>
      </c>
      <c r="C36" s="4">
        <v>348</v>
      </c>
      <c r="D36" s="4">
        <v>171</v>
      </c>
      <c r="E36" s="4">
        <v>177</v>
      </c>
    </row>
    <row r="37" spans="1:5" ht="21.75" customHeight="1" x14ac:dyDescent="0.25">
      <c r="A37" s="25">
        <v>23</v>
      </c>
      <c r="B37" s="4" t="s">
        <v>122</v>
      </c>
      <c r="C37" s="4">
        <v>707</v>
      </c>
      <c r="D37" s="4">
        <v>485</v>
      </c>
      <c r="E37" s="4">
        <v>222</v>
      </c>
    </row>
    <row r="38" spans="1:5" ht="21.75" customHeight="1" x14ac:dyDescent="0.25">
      <c r="A38" s="25">
        <v>24</v>
      </c>
      <c r="B38" s="4" t="s">
        <v>123</v>
      </c>
      <c r="C38" s="4">
        <v>532</v>
      </c>
      <c r="D38" s="4">
        <v>254</v>
      </c>
      <c r="E38" s="4">
        <v>278</v>
      </c>
    </row>
    <row r="39" spans="1:5" ht="21.75" customHeight="1" x14ac:dyDescent="0.25">
      <c r="A39" s="25">
        <v>25</v>
      </c>
      <c r="B39" s="4" t="s">
        <v>124</v>
      </c>
      <c r="C39" s="4">
        <v>237</v>
      </c>
      <c r="D39" s="4">
        <v>114</v>
      </c>
      <c r="E39" s="4">
        <v>123</v>
      </c>
    </row>
    <row r="40" spans="1:5" ht="21.75" customHeight="1" x14ac:dyDescent="0.25">
      <c r="A40" s="25">
        <v>26</v>
      </c>
      <c r="B40" s="4" t="s">
        <v>125</v>
      </c>
      <c r="C40" s="4">
        <v>800</v>
      </c>
      <c r="D40" s="4">
        <v>398</v>
      </c>
      <c r="E40" s="4">
        <v>402</v>
      </c>
    </row>
    <row r="41" spans="1:5" ht="21.75" customHeight="1" x14ac:dyDescent="0.25">
      <c r="A41" s="25">
        <v>27</v>
      </c>
      <c r="B41" s="4" t="s">
        <v>126</v>
      </c>
      <c r="C41" s="4">
        <v>638</v>
      </c>
      <c r="D41" s="4">
        <v>338</v>
      </c>
      <c r="E41" s="4">
        <v>300</v>
      </c>
    </row>
    <row r="42" spans="1:5" ht="21.75" customHeight="1" x14ac:dyDescent="0.25">
      <c r="A42" s="25">
        <v>28</v>
      </c>
      <c r="B42" s="4" t="s">
        <v>127</v>
      </c>
      <c r="C42" s="4">
        <v>513</v>
      </c>
      <c r="D42" s="4">
        <v>269</v>
      </c>
      <c r="E42" s="4">
        <v>244</v>
      </c>
    </row>
    <row r="43" spans="1:5" ht="21.75" customHeight="1" x14ac:dyDescent="0.25">
      <c r="A43" s="25">
        <v>29</v>
      </c>
      <c r="B43" s="4" t="s">
        <v>128</v>
      </c>
      <c r="C43" s="4">
        <v>481</v>
      </c>
      <c r="D43" s="4">
        <v>253</v>
      </c>
      <c r="E43" s="4">
        <v>228</v>
      </c>
    </row>
    <row r="44" spans="1:5" ht="21.75" customHeight="1" x14ac:dyDescent="0.25">
      <c r="A44" s="25">
        <v>30</v>
      </c>
      <c r="B44" s="4" t="s">
        <v>129</v>
      </c>
      <c r="C44" s="4">
        <v>654</v>
      </c>
      <c r="D44" s="4">
        <v>341</v>
      </c>
      <c r="E44" s="4">
        <v>313</v>
      </c>
    </row>
    <row r="45" spans="1:5" ht="21.75" customHeight="1" x14ac:dyDescent="0.25">
      <c r="A45" s="26">
        <v>31</v>
      </c>
      <c r="B45" s="7" t="s">
        <v>130</v>
      </c>
      <c r="C45" s="7">
        <v>1075</v>
      </c>
      <c r="D45" s="7">
        <v>535</v>
      </c>
      <c r="E45" s="7">
        <v>540</v>
      </c>
    </row>
    <row r="46" spans="1:5" x14ac:dyDescent="0.25">
      <c r="A46" s="21"/>
      <c r="B46" s="21"/>
      <c r="C46" s="21"/>
      <c r="D46" s="21"/>
      <c r="E46" s="21"/>
    </row>
  </sheetData>
  <mergeCells count="4">
    <mergeCell ref="A4:A5"/>
    <mergeCell ref="B4:B5"/>
    <mergeCell ref="C4:E4"/>
    <mergeCell ref="A1:E1"/>
  </mergeCells>
  <hyperlinks>
    <hyperlink ref="A1:E1" location="'list of township'!A1" display="Kachin State,  Myitkyinar District,   Chiphwe  Township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sqref="A1:E1"/>
    </sheetView>
  </sheetViews>
  <sheetFormatPr defaultRowHeight="15" x14ac:dyDescent="0.25"/>
  <cols>
    <col min="1" max="1" width="7.5703125" style="17" customWidth="1"/>
    <col min="2" max="2" width="25.140625" style="17" customWidth="1"/>
    <col min="3" max="5" width="15.7109375" style="17" customWidth="1"/>
    <col min="6" max="16384" width="9.140625" style="17"/>
  </cols>
  <sheetData>
    <row r="1" spans="1:5" s="1" customFormat="1" ht="25.5" customHeight="1" x14ac:dyDescent="0.35">
      <c r="A1" s="42" t="s">
        <v>532</v>
      </c>
      <c r="B1" s="42"/>
      <c r="C1" s="42"/>
      <c r="D1" s="42"/>
      <c r="E1" s="42"/>
    </row>
    <row r="2" spans="1:5" s="1" customFormat="1" ht="25.5" customHeight="1" x14ac:dyDescent="0.35">
      <c r="A2" s="22"/>
      <c r="D2" s="22"/>
      <c r="E2" s="18" t="s">
        <v>526</v>
      </c>
    </row>
    <row r="3" spans="1:5" s="1" customFormat="1" ht="25.5" customHeight="1" x14ac:dyDescent="0.35">
      <c r="A3" s="22"/>
      <c r="D3" s="22"/>
      <c r="E3" s="18"/>
    </row>
    <row r="4" spans="1:5" s="1" customFormat="1" ht="2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5" s="1" customFormat="1" ht="25.5" customHeight="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5" s="1" customFormat="1" ht="22.5" customHeight="1" x14ac:dyDescent="0.35">
      <c r="A6" s="34"/>
      <c r="B6" s="33" t="s">
        <v>558</v>
      </c>
      <c r="C6" s="15">
        <f>C8+C11</f>
        <v>6518</v>
      </c>
      <c r="D6" s="15">
        <f t="shared" ref="D6:E6" si="0">D8+D11</f>
        <v>3351</v>
      </c>
      <c r="E6" s="15">
        <f t="shared" si="0"/>
        <v>3167</v>
      </c>
    </row>
    <row r="7" spans="1:5" ht="22.5" customHeight="1" x14ac:dyDescent="0.25">
      <c r="A7" s="25"/>
      <c r="B7" s="4"/>
      <c r="C7" s="4"/>
      <c r="D7" s="4"/>
      <c r="E7" s="4"/>
    </row>
    <row r="8" spans="1:5" ht="22.5" customHeight="1" x14ac:dyDescent="0.25">
      <c r="A8" s="25"/>
      <c r="B8" s="20" t="s">
        <v>524</v>
      </c>
      <c r="C8" s="6">
        <f>C9</f>
        <v>368</v>
      </c>
      <c r="D8" s="6">
        <f t="shared" ref="D8:E8" si="1">D9</f>
        <v>193</v>
      </c>
      <c r="E8" s="6">
        <f t="shared" si="1"/>
        <v>175</v>
      </c>
    </row>
    <row r="9" spans="1:5" ht="22.5" customHeight="1" x14ac:dyDescent="0.25">
      <c r="A9" s="25">
        <v>1</v>
      </c>
      <c r="B9" s="4" t="s">
        <v>131</v>
      </c>
      <c r="C9" s="4">
        <v>368</v>
      </c>
      <c r="D9" s="4">
        <v>193</v>
      </c>
      <c r="E9" s="4">
        <v>175</v>
      </c>
    </row>
    <row r="10" spans="1:5" ht="22.5" customHeight="1" x14ac:dyDescent="0.25">
      <c r="A10" s="25"/>
      <c r="B10" s="4"/>
      <c r="C10" s="4"/>
      <c r="D10" s="4"/>
      <c r="E10" s="4"/>
    </row>
    <row r="11" spans="1:5" ht="22.5" customHeight="1" x14ac:dyDescent="0.25">
      <c r="A11" s="25"/>
      <c r="B11" s="20" t="s">
        <v>559</v>
      </c>
      <c r="C11" s="6">
        <f>SUM(C12:C32)</f>
        <v>6150</v>
      </c>
      <c r="D11" s="6">
        <f t="shared" ref="D11:E11" si="2">SUM(D12:D32)</f>
        <v>3158</v>
      </c>
      <c r="E11" s="6">
        <f t="shared" si="2"/>
        <v>2992</v>
      </c>
    </row>
    <row r="12" spans="1:5" ht="22.5" customHeight="1" x14ac:dyDescent="0.25">
      <c r="A12" s="25">
        <v>1</v>
      </c>
      <c r="B12" s="4" t="s">
        <v>132</v>
      </c>
      <c r="C12" s="4">
        <v>224</v>
      </c>
      <c r="D12" s="4">
        <v>112</v>
      </c>
      <c r="E12" s="4">
        <v>112</v>
      </c>
    </row>
    <row r="13" spans="1:5" ht="22.5" customHeight="1" x14ac:dyDescent="0.25">
      <c r="A13" s="25">
        <v>2</v>
      </c>
      <c r="B13" s="4" t="s">
        <v>133</v>
      </c>
      <c r="C13" s="4">
        <v>72</v>
      </c>
      <c r="D13" s="4">
        <v>40</v>
      </c>
      <c r="E13" s="4">
        <v>32</v>
      </c>
    </row>
    <row r="14" spans="1:5" ht="22.5" customHeight="1" x14ac:dyDescent="0.25">
      <c r="A14" s="25">
        <v>3</v>
      </c>
      <c r="B14" s="4" t="s">
        <v>134</v>
      </c>
      <c r="C14" s="4">
        <v>92</v>
      </c>
      <c r="D14" s="4">
        <v>46</v>
      </c>
      <c r="E14" s="4">
        <v>46</v>
      </c>
    </row>
    <row r="15" spans="1:5" ht="22.5" customHeight="1" x14ac:dyDescent="0.25">
      <c r="A15" s="25">
        <v>4</v>
      </c>
      <c r="B15" s="4" t="s">
        <v>135</v>
      </c>
      <c r="C15" s="4">
        <v>273</v>
      </c>
      <c r="D15" s="4">
        <v>134</v>
      </c>
      <c r="E15" s="4">
        <v>139</v>
      </c>
    </row>
    <row r="16" spans="1:5" ht="22.5" customHeight="1" x14ac:dyDescent="0.25">
      <c r="A16" s="25">
        <v>5</v>
      </c>
      <c r="B16" s="4" t="s">
        <v>136</v>
      </c>
      <c r="C16" s="4">
        <v>419</v>
      </c>
      <c r="D16" s="4">
        <v>209</v>
      </c>
      <c r="E16" s="4">
        <v>210</v>
      </c>
    </row>
    <row r="17" spans="1:5" ht="22.5" customHeight="1" x14ac:dyDescent="0.25">
      <c r="A17" s="25">
        <v>6</v>
      </c>
      <c r="B17" s="4" t="s">
        <v>137</v>
      </c>
      <c r="C17" s="4">
        <v>647</v>
      </c>
      <c r="D17" s="4">
        <v>333</v>
      </c>
      <c r="E17" s="4">
        <v>314</v>
      </c>
    </row>
    <row r="18" spans="1:5" ht="22.5" customHeight="1" x14ac:dyDescent="0.25">
      <c r="A18" s="25">
        <v>7</v>
      </c>
      <c r="B18" s="4" t="s">
        <v>138</v>
      </c>
      <c r="C18" s="4">
        <v>133</v>
      </c>
      <c r="D18" s="4">
        <v>74</v>
      </c>
      <c r="E18" s="4">
        <v>59</v>
      </c>
    </row>
    <row r="19" spans="1:5" ht="22.5" customHeight="1" x14ac:dyDescent="0.25">
      <c r="A19" s="25">
        <v>8</v>
      </c>
      <c r="B19" s="4" t="s">
        <v>139</v>
      </c>
      <c r="C19" s="4">
        <v>105</v>
      </c>
      <c r="D19" s="4">
        <v>52</v>
      </c>
      <c r="E19" s="4">
        <v>53</v>
      </c>
    </row>
    <row r="20" spans="1:5" ht="22.5" customHeight="1" x14ac:dyDescent="0.25">
      <c r="A20" s="25">
        <v>9</v>
      </c>
      <c r="B20" s="4" t="s">
        <v>140</v>
      </c>
      <c r="C20" s="4">
        <v>7</v>
      </c>
      <c r="D20" s="4">
        <v>3</v>
      </c>
      <c r="E20" s="4">
        <v>4</v>
      </c>
    </row>
    <row r="21" spans="1:5" ht="22.5" customHeight="1" x14ac:dyDescent="0.25">
      <c r="A21" s="25">
        <v>10</v>
      </c>
      <c r="B21" s="4" t="s">
        <v>141</v>
      </c>
      <c r="C21" s="4">
        <v>91</v>
      </c>
      <c r="D21" s="4">
        <v>46</v>
      </c>
      <c r="E21" s="4">
        <v>45</v>
      </c>
    </row>
    <row r="22" spans="1:5" ht="22.5" customHeight="1" x14ac:dyDescent="0.25">
      <c r="A22" s="25">
        <v>11</v>
      </c>
      <c r="B22" s="4" t="s">
        <v>142</v>
      </c>
      <c r="C22" s="4">
        <v>227</v>
      </c>
      <c r="D22" s="4">
        <v>107</v>
      </c>
      <c r="E22" s="4">
        <v>120</v>
      </c>
    </row>
    <row r="23" spans="1:5" ht="22.5" customHeight="1" x14ac:dyDescent="0.25">
      <c r="A23" s="25">
        <v>12</v>
      </c>
      <c r="B23" s="4" t="s">
        <v>143</v>
      </c>
      <c r="C23" s="4">
        <v>155</v>
      </c>
      <c r="D23" s="4">
        <v>82</v>
      </c>
      <c r="E23" s="4">
        <v>73</v>
      </c>
    </row>
    <row r="24" spans="1:5" ht="22.5" customHeight="1" x14ac:dyDescent="0.25">
      <c r="A24" s="25">
        <v>13</v>
      </c>
      <c r="B24" s="4" t="s">
        <v>144</v>
      </c>
      <c r="C24" s="4">
        <v>79</v>
      </c>
      <c r="D24" s="4">
        <v>40</v>
      </c>
      <c r="E24" s="4">
        <v>39</v>
      </c>
    </row>
    <row r="25" spans="1:5" ht="22.5" customHeight="1" x14ac:dyDescent="0.25">
      <c r="A25" s="25">
        <v>14</v>
      </c>
      <c r="B25" s="4" t="s">
        <v>145</v>
      </c>
      <c r="C25" s="4">
        <v>15</v>
      </c>
      <c r="D25" s="4">
        <v>9</v>
      </c>
      <c r="E25" s="4">
        <v>6</v>
      </c>
    </row>
    <row r="26" spans="1:5" ht="22.5" customHeight="1" x14ac:dyDescent="0.25">
      <c r="A26" s="25">
        <v>15</v>
      </c>
      <c r="B26" s="4" t="s">
        <v>146</v>
      </c>
      <c r="C26" s="4">
        <v>165</v>
      </c>
      <c r="D26" s="4">
        <v>81</v>
      </c>
      <c r="E26" s="4">
        <v>84</v>
      </c>
    </row>
    <row r="27" spans="1:5" ht="22.5" customHeight="1" x14ac:dyDescent="0.25">
      <c r="A27" s="25">
        <v>16</v>
      </c>
      <c r="B27" s="4" t="s">
        <v>147</v>
      </c>
      <c r="C27" s="4">
        <v>95</v>
      </c>
      <c r="D27" s="4">
        <v>48</v>
      </c>
      <c r="E27" s="4">
        <v>47</v>
      </c>
    </row>
    <row r="28" spans="1:5" ht="22.5" customHeight="1" x14ac:dyDescent="0.25">
      <c r="A28" s="25">
        <v>17</v>
      </c>
      <c r="B28" s="4" t="s">
        <v>148</v>
      </c>
      <c r="C28" s="4">
        <v>376</v>
      </c>
      <c r="D28" s="4">
        <v>191</v>
      </c>
      <c r="E28" s="4">
        <v>185</v>
      </c>
    </row>
    <row r="29" spans="1:5" ht="22.5" customHeight="1" x14ac:dyDescent="0.25">
      <c r="A29" s="25">
        <v>18</v>
      </c>
      <c r="B29" s="4" t="s">
        <v>149</v>
      </c>
      <c r="C29" s="4">
        <v>342</v>
      </c>
      <c r="D29" s="4">
        <v>181</v>
      </c>
      <c r="E29" s="4">
        <v>161</v>
      </c>
    </row>
    <row r="30" spans="1:5" ht="22.5" customHeight="1" x14ac:dyDescent="0.25">
      <c r="A30" s="25">
        <v>19</v>
      </c>
      <c r="B30" s="4" t="s">
        <v>150</v>
      </c>
      <c r="C30" s="4">
        <v>2079</v>
      </c>
      <c r="D30" s="4">
        <v>1078</v>
      </c>
      <c r="E30" s="4">
        <v>1001</v>
      </c>
    </row>
    <row r="31" spans="1:5" ht="22.5" customHeight="1" x14ac:dyDescent="0.25">
      <c r="A31" s="25">
        <v>20</v>
      </c>
      <c r="B31" s="4" t="s">
        <v>151</v>
      </c>
      <c r="C31" s="4">
        <v>151</v>
      </c>
      <c r="D31" s="4">
        <v>70</v>
      </c>
      <c r="E31" s="4">
        <v>81</v>
      </c>
    </row>
    <row r="32" spans="1:5" ht="22.5" customHeight="1" x14ac:dyDescent="0.25">
      <c r="A32" s="26">
        <v>21</v>
      </c>
      <c r="B32" s="7" t="s">
        <v>152</v>
      </c>
      <c r="C32" s="7">
        <v>403</v>
      </c>
      <c r="D32" s="7">
        <v>222</v>
      </c>
      <c r="E32" s="7">
        <v>181</v>
      </c>
    </row>
    <row r="33" spans="1:5" x14ac:dyDescent="0.25">
      <c r="A33" s="21"/>
      <c r="B33" s="21"/>
      <c r="C33" s="21"/>
      <c r="D33" s="21"/>
      <c r="E33" s="21"/>
    </row>
  </sheetData>
  <mergeCells count="4">
    <mergeCell ref="A4:A5"/>
    <mergeCell ref="B4:B5"/>
    <mergeCell ref="C4:E4"/>
    <mergeCell ref="A1:E1"/>
  </mergeCells>
  <hyperlinks>
    <hyperlink ref="A1:E1" location="'list of township'!A1" display="Kachin State,  Myitkyinar District,   Hsotlaw Township"/>
  </hyperlinks>
  <pageMargins left="0.75" right="0.59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sqref="A1:E1"/>
    </sheetView>
  </sheetViews>
  <sheetFormatPr defaultRowHeight="15.75" x14ac:dyDescent="0.25"/>
  <cols>
    <col min="1" max="1" width="9.140625" style="17"/>
    <col min="2" max="2" width="27.42578125" style="3" bestFit="1" customWidth="1"/>
    <col min="3" max="5" width="15.7109375" style="3" customWidth="1"/>
    <col min="6" max="16384" width="9.140625" style="17"/>
  </cols>
  <sheetData>
    <row r="1" spans="1:6" s="1" customFormat="1" ht="25.5" customHeight="1" x14ac:dyDescent="0.35">
      <c r="A1" s="42" t="s">
        <v>542</v>
      </c>
      <c r="B1" s="42"/>
      <c r="C1" s="42"/>
      <c r="D1" s="42"/>
      <c r="E1" s="42"/>
      <c r="F1" s="22"/>
    </row>
    <row r="2" spans="1:6" s="1" customFormat="1" ht="30" customHeight="1" x14ac:dyDescent="0.35">
      <c r="A2" s="22"/>
      <c r="D2" s="22"/>
      <c r="E2" s="18" t="s">
        <v>526</v>
      </c>
      <c r="F2" s="22"/>
    </row>
    <row r="3" spans="1:6" s="1" customFormat="1" ht="17.25" customHeight="1" x14ac:dyDescent="0.35">
      <c r="A3" s="22"/>
      <c r="D3" s="22"/>
      <c r="E3" s="18"/>
      <c r="F3" s="22"/>
    </row>
    <row r="4" spans="1:6" s="1" customFormat="1" ht="25.5" customHeight="1" x14ac:dyDescent="0.35">
      <c r="A4" s="39" t="s">
        <v>527</v>
      </c>
      <c r="B4" s="39" t="s">
        <v>560</v>
      </c>
      <c r="C4" s="38" t="s">
        <v>523</v>
      </c>
      <c r="D4" s="38"/>
      <c r="E4" s="38"/>
      <c r="F4" s="22"/>
    </row>
    <row r="5" spans="1:6" s="1" customFormat="1" ht="24.75" customHeight="1" x14ac:dyDescent="0.35">
      <c r="A5" s="40"/>
      <c r="B5" s="40"/>
      <c r="C5" s="28" t="s">
        <v>0</v>
      </c>
      <c r="D5" s="28" t="s">
        <v>1</v>
      </c>
      <c r="E5" s="28" t="s">
        <v>2</v>
      </c>
      <c r="F5" s="22"/>
    </row>
    <row r="6" spans="1:6" s="1" customFormat="1" ht="21.75" customHeight="1" x14ac:dyDescent="0.35">
      <c r="A6" s="34"/>
      <c r="B6" s="33" t="s">
        <v>558</v>
      </c>
      <c r="C6" s="15">
        <f>C8+C13</f>
        <v>10655</v>
      </c>
      <c r="D6" s="15">
        <f t="shared" ref="D6:E6" si="0">D8+D13</f>
        <v>5562</v>
      </c>
      <c r="E6" s="15">
        <f t="shared" si="0"/>
        <v>5093</v>
      </c>
    </row>
    <row r="7" spans="1:6" ht="21.75" customHeight="1" x14ac:dyDescent="0.25">
      <c r="A7" s="25"/>
      <c r="B7" s="4"/>
      <c r="C7" s="4"/>
      <c r="D7" s="4"/>
      <c r="E7" s="4"/>
    </row>
    <row r="8" spans="1:6" ht="21.75" customHeight="1" x14ac:dyDescent="0.25">
      <c r="A8" s="25"/>
      <c r="B8" s="20" t="s">
        <v>524</v>
      </c>
      <c r="C8" s="6">
        <f>SUM(C9:C11)</f>
        <v>3475</v>
      </c>
      <c r="D8" s="6">
        <f t="shared" ref="D8:E8" si="1">SUM(D9:D11)</f>
        <v>1828</v>
      </c>
      <c r="E8" s="6">
        <f t="shared" si="1"/>
        <v>1647</v>
      </c>
    </row>
    <row r="9" spans="1:6" ht="21.75" customHeight="1" x14ac:dyDescent="0.25">
      <c r="A9" s="25">
        <v>1</v>
      </c>
      <c r="B9" s="4" t="s">
        <v>153</v>
      </c>
      <c r="C9" s="4">
        <v>1502</v>
      </c>
      <c r="D9" s="4">
        <v>846</v>
      </c>
      <c r="E9" s="4">
        <v>656</v>
      </c>
    </row>
    <row r="10" spans="1:6" ht="21.75" customHeight="1" x14ac:dyDescent="0.25">
      <c r="A10" s="25">
        <v>2</v>
      </c>
      <c r="B10" s="4" t="s">
        <v>154</v>
      </c>
      <c r="C10" s="4">
        <v>1246</v>
      </c>
      <c r="D10" s="4">
        <v>633</v>
      </c>
      <c r="E10" s="4">
        <v>613</v>
      </c>
    </row>
    <row r="11" spans="1:6" ht="21.75" customHeight="1" x14ac:dyDescent="0.25">
      <c r="A11" s="25">
        <v>3</v>
      </c>
      <c r="B11" s="4" t="s">
        <v>155</v>
      </c>
      <c r="C11" s="4">
        <v>727</v>
      </c>
      <c r="D11" s="4">
        <v>349</v>
      </c>
      <c r="E11" s="4">
        <v>378</v>
      </c>
    </row>
    <row r="12" spans="1:6" ht="21.75" customHeight="1" x14ac:dyDescent="0.25">
      <c r="A12" s="25"/>
      <c r="B12" s="4"/>
      <c r="C12" s="4"/>
      <c r="D12" s="4"/>
      <c r="E12" s="4"/>
    </row>
    <row r="13" spans="1:6" ht="21.75" customHeight="1" x14ac:dyDescent="0.25">
      <c r="A13" s="25"/>
      <c r="B13" s="20" t="s">
        <v>559</v>
      </c>
      <c r="C13" s="6">
        <f>SUM(C14:C25)</f>
        <v>7180</v>
      </c>
      <c r="D13" s="6">
        <f t="shared" ref="D13:E13" si="2">SUM(D14:D25)</f>
        <v>3734</v>
      </c>
      <c r="E13" s="6">
        <f t="shared" si="2"/>
        <v>3446</v>
      </c>
    </row>
    <row r="14" spans="1:6" ht="21.75" customHeight="1" x14ac:dyDescent="0.25">
      <c r="A14" s="25">
        <v>1</v>
      </c>
      <c r="B14" s="4" t="s">
        <v>156</v>
      </c>
      <c r="C14" s="4">
        <v>514</v>
      </c>
      <c r="D14" s="4">
        <v>266</v>
      </c>
      <c r="E14" s="4">
        <v>248</v>
      </c>
    </row>
    <row r="15" spans="1:6" ht="21.75" customHeight="1" x14ac:dyDescent="0.25">
      <c r="A15" s="25">
        <v>2</v>
      </c>
      <c r="B15" s="4" t="s">
        <v>157</v>
      </c>
      <c r="C15" s="4">
        <v>395</v>
      </c>
      <c r="D15" s="4">
        <v>191</v>
      </c>
      <c r="E15" s="4">
        <v>204</v>
      </c>
    </row>
    <row r="16" spans="1:6" ht="21.75" customHeight="1" x14ac:dyDescent="0.25">
      <c r="A16" s="25">
        <v>3</v>
      </c>
      <c r="B16" s="4" t="s">
        <v>158</v>
      </c>
      <c r="C16" s="4">
        <v>461</v>
      </c>
      <c r="D16" s="4">
        <v>245</v>
      </c>
      <c r="E16" s="4">
        <v>216</v>
      </c>
    </row>
    <row r="17" spans="1:5" ht="21.75" customHeight="1" x14ac:dyDescent="0.25">
      <c r="A17" s="25">
        <v>4</v>
      </c>
      <c r="B17" s="4" t="s">
        <v>159</v>
      </c>
      <c r="C17" s="4">
        <v>714</v>
      </c>
      <c r="D17" s="4">
        <v>369</v>
      </c>
      <c r="E17" s="4">
        <v>345</v>
      </c>
    </row>
    <row r="18" spans="1:5" ht="21.75" customHeight="1" x14ac:dyDescent="0.25">
      <c r="A18" s="25">
        <v>5</v>
      </c>
      <c r="B18" s="4" t="s">
        <v>160</v>
      </c>
      <c r="C18" s="4">
        <v>809</v>
      </c>
      <c r="D18" s="4">
        <v>424</v>
      </c>
      <c r="E18" s="4">
        <v>385</v>
      </c>
    </row>
    <row r="19" spans="1:5" ht="21.75" customHeight="1" x14ac:dyDescent="0.25">
      <c r="A19" s="25">
        <v>6</v>
      </c>
      <c r="B19" s="4" t="s">
        <v>161</v>
      </c>
      <c r="C19" s="4">
        <v>297</v>
      </c>
      <c r="D19" s="4">
        <v>159</v>
      </c>
      <c r="E19" s="4">
        <v>138</v>
      </c>
    </row>
    <row r="20" spans="1:5" ht="21.75" customHeight="1" x14ac:dyDescent="0.25">
      <c r="A20" s="25">
        <v>7</v>
      </c>
      <c r="B20" s="4" t="s">
        <v>162</v>
      </c>
      <c r="C20" s="4">
        <v>267</v>
      </c>
      <c r="D20" s="4">
        <v>133</v>
      </c>
      <c r="E20" s="4">
        <v>134</v>
      </c>
    </row>
    <row r="21" spans="1:5" ht="21.75" customHeight="1" x14ac:dyDescent="0.25">
      <c r="A21" s="25">
        <v>8</v>
      </c>
      <c r="B21" s="4" t="s">
        <v>163</v>
      </c>
      <c r="C21" s="4">
        <v>531</v>
      </c>
      <c r="D21" s="4">
        <v>274</v>
      </c>
      <c r="E21" s="4">
        <v>257</v>
      </c>
    </row>
    <row r="22" spans="1:5" ht="21.75" customHeight="1" x14ac:dyDescent="0.25">
      <c r="A22" s="25">
        <v>9</v>
      </c>
      <c r="B22" s="4" t="s">
        <v>164</v>
      </c>
      <c r="C22" s="4">
        <v>714</v>
      </c>
      <c r="D22" s="4">
        <v>371</v>
      </c>
      <c r="E22" s="4">
        <v>343</v>
      </c>
    </row>
    <row r="23" spans="1:5" ht="21.75" customHeight="1" x14ac:dyDescent="0.25">
      <c r="A23" s="25">
        <v>10</v>
      </c>
      <c r="B23" s="4" t="s">
        <v>165</v>
      </c>
      <c r="C23" s="4">
        <v>1845</v>
      </c>
      <c r="D23" s="4">
        <v>967</v>
      </c>
      <c r="E23" s="4">
        <v>878</v>
      </c>
    </row>
    <row r="24" spans="1:5" ht="21.75" customHeight="1" x14ac:dyDescent="0.25">
      <c r="A24" s="25">
        <v>11</v>
      </c>
      <c r="B24" s="4" t="s">
        <v>166</v>
      </c>
      <c r="C24" s="4">
        <v>341</v>
      </c>
      <c r="D24" s="4">
        <v>178</v>
      </c>
      <c r="E24" s="4">
        <v>163</v>
      </c>
    </row>
    <row r="25" spans="1:5" ht="21.75" customHeight="1" x14ac:dyDescent="0.25">
      <c r="A25" s="26">
        <v>12</v>
      </c>
      <c r="B25" s="7" t="s">
        <v>167</v>
      </c>
      <c r="C25" s="7">
        <v>292</v>
      </c>
      <c r="D25" s="7">
        <v>157</v>
      </c>
      <c r="E25" s="7">
        <v>135</v>
      </c>
    </row>
    <row r="26" spans="1:5" x14ac:dyDescent="0.25">
      <c r="A26" s="21"/>
      <c r="B26" s="10"/>
      <c r="C26" s="10"/>
      <c r="D26" s="10"/>
      <c r="E26" s="10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 Myitkyinar District, Hsinbo (Sub- Township)"/>
  </hyperlinks>
  <pageMargins left="0.75" right="0.5" top="0.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B4" sqref="B4:B5"/>
    </sheetView>
  </sheetViews>
  <sheetFormatPr defaultRowHeight="15" x14ac:dyDescent="0.25"/>
  <cols>
    <col min="1" max="1" width="8.85546875" style="17" customWidth="1"/>
    <col min="2" max="2" width="28" style="17" customWidth="1"/>
    <col min="3" max="5" width="15.7109375" style="17" customWidth="1"/>
    <col min="6" max="16384" width="9.140625" style="17"/>
  </cols>
  <sheetData>
    <row r="1" spans="1:5" s="1" customFormat="1" ht="25.5" customHeight="1" x14ac:dyDescent="0.35">
      <c r="A1" s="44" t="s">
        <v>543</v>
      </c>
      <c r="B1" s="44"/>
      <c r="C1" s="44"/>
      <c r="D1" s="44"/>
      <c r="E1" s="44"/>
    </row>
    <row r="2" spans="1:5" s="1" customFormat="1" ht="30" customHeight="1" x14ac:dyDescent="0.35">
      <c r="A2" s="22"/>
      <c r="D2" s="22"/>
      <c r="E2" s="18" t="s">
        <v>526</v>
      </c>
    </row>
    <row r="3" spans="1:5" s="1" customFormat="1" ht="17.25" customHeight="1" x14ac:dyDescent="0.35">
      <c r="A3" s="22"/>
      <c r="D3" s="22"/>
      <c r="E3" s="18"/>
    </row>
    <row r="4" spans="1:5" s="1" customFormat="1" ht="25.5" customHeight="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5" s="1" customFormat="1" ht="2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5" s="1" customFormat="1" ht="21.75" customHeight="1" x14ac:dyDescent="0.35">
      <c r="A6" s="34"/>
      <c r="B6" s="33" t="s">
        <v>558</v>
      </c>
      <c r="C6" s="15">
        <f>C8+C15</f>
        <v>10496</v>
      </c>
      <c r="D6" s="15">
        <f t="shared" ref="D6:E6" si="0">D8+D15</f>
        <v>5239</v>
      </c>
      <c r="E6" s="15">
        <f t="shared" si="0"/>
        <v>5257</v>
      </c>
    </row>
    <row r="7" spans="1:5" ht="21.75" customHeight="1" x14ac:dyDescent="0.25">
      <c r="A7" s="25"/>
      <c r="B7" s="4"/>
      <c r="C7" s="4"/>
      <c r="D7" s="4"/>
      <c r="E7" s="4"/>
    </row>
    <row r="8" spans="1:5" ht="21.75" customHeight="1" x14ac:dyDescent="0.25">
      <c r="A8" s="25"/>
      <c r="B8" s="20" t="s">
        <v>524</v>
      </c>
      <c r="C8" s="6">
        <f>SUM(C9:C13)</f>
        <v>3534</v>
      </c>
      <c r="D8" s="6">
        <f t="shared" ref="D8:E8" si="1">SUM(D9:D13)</f>
        <v>1789</v>
      </c>
      <c r="E8" s="6">
        <f t="shared" si="1"/>
        <v>1745</v>
      </c>
    </row>
    <row r="9" spans="1:5" ht="21.75" customHeight="1" x14ac:dyDescent="0.25">
      <c r="A9" s="25">
        <v>1</v>
      </c>
      <c r="B9" s="4" t="s">
        <v>48</v>
      </c>
      <c r="C9" s="4">
        <v>527</v>
      </c>
      <c r="D9" s="4">
        <v>257</v>
      </c>
      <c r="E9" s="4">
        <v>270</v>
      </c>
    </row>
    <row r="10" spans="1:5" ht="21.75" customHeight="1" x14ac:dyDescent="0.25">
      <c r="A10" s="25">
        <v>2</v>
      </c>
      <c r="B10" s="4" t="s">
        <v>49</v>
      </c>
      <c r="C10" s="4">
        <v>1122</v>
      </c>
      <c r="D10" s="4">
        <v>591</v>
      </c>
      <c r="E10" s="4">
        <v>531</v>
      </c>
    </row>
    <row r="11" spans="1:5" ht="21.75" customHeight="1" x14ac:dyDescent="0.25">
      <c r="A11" s="25">
        <v>3</v>
      </c>
      <c r="B11" s="4" t="s">
        <v>50</v>
      </c>
      <c r="C11" s="4">
        <v>689</v>
      </c>
      <c r="D11" s="4">
        <v>354</v>
      </c>
      <c r="E11" s="4">
        <v>335</v>
      </c>
    </row>
    <row r="12" spans="1:5" ht="21.75" customHeight="1" x14ac:dyDescent="0.25">
      <c r="A12" s="25">
        <v>4</v>
      </c>
      <c r="B12" s="4" t="s">
        <v>51</v>
      </c>
      <c r="C12" s="4">
        <v>615</v>
      </c>
      <c r="D12" s="4">
        <v>287</v>
      </c>
      <c r="E12" s="4">
        <v>328</v>
      </c>
    </row>
    <row r="13" spans="1:5" ht="21.75" customHeight="1" x14ac:dyDescent="0.25">
      <c r="A13" s="25">
        <v>5</v>
      </c>
      <c r="B13" s="4" t="s">
        <v>52</v>
      </c>
      <c r="C13" s="4">
        <v>581</v>
      </c>
      <c r="D13" s="4">
        <v>300</v>
      </c>
      <c r="E13" s="4">
        <v>281</v>
      </c>
    </row>
    <row r="14" spans="1:5" ht="21.75" customHeight="1" x14ac:dyDescent="0.25">
      <c r="A14" s="25"/>
      <c r="B14" s="4"/>
      <c r="C14" s="4"/>
      <c r="D14" s="4"/>
      <c r="E14" s="4"/>
    </row>
    <row r="15" spans="1:5" ht="21.75" customHeight="1" x14ac:dyDescent="0.25">
      <c r="A15" s="25"/>
      <c r="B15" s="20" t="s">
        <v>559</v>
      </c>
      <c r="C15" s="6">
        <f>SUM(C16:C20)</f>
        <v>6962</v>
      </c>
      <c r="D15" s="6">
        <f t="shared" ref="D15:E15" si="2">SUM(D16:D20)</f>
        <v>3450</v>
      </c>
      <c r="E15" s="6">
        <f t="shared" si="2"/>
        <v>3512</v>
      </c>
    </row>
    <row r="16" spans="1:5" ht="21.75" customHeight="1" x14ac:dyDescent="0.25">
      <c r="A16" s="25">
        <v>1</v>
      </c>
      <c r="B16" s="4" t="s">
        <v>168</v>
      </c>
      <c r="C16" s="4">
        <v>2464</v>
      </c>
      <c r="D16" s="4">
        <v>1252</v>
      </c>
      <c r="E16" s="4">
        <v>1212</v>
      </c>
    </row>
    <row r="17" spans="1:5" ht="21.75" customHeight="1" x14ac:dyDescent="0.25">
      <c r="A17" s="25">
        <v>2</v>
      </c>
      <c r="B17" s="4" t="s">
        <v>169</v>
      </c>
      <c r="C17" s="4">
        <v>756</v>
      </c>
      <c r="D17" s="4">
        <v>377</v>
      </c>
      <c r="E17" s="4">
        <v>379</v>
      </c>
    </row>
    <row r="18" spans="1:5" ht="21.75" customHeight="1" x14ac:dyDescent="0.25">
      <c r="A18" s="25">
        <v>3</v>
      </c>
      <c r="B18" s="4" t="s">
        <v>170</v>
      </c>
      <c r="C18" s="4">
        <v>623</v>
      </c>
      <c r="D18" s="4">
        <v>320</v>
      </c>
      <c r="E18" s="4">
        <v>303</v>
      </c>
    </row>
    <row r="19" spans="1:5" ht="21.75" customHeight="1" x14ac:dyDescent="0.25">
      <c r="A19" s="25">
        <v>4</v>
      </c>
      <c r="B19" s="4" t="s">
        <v>171</v>
      </c>
      <c r="C19" s="4">
        <v>1215</v>
      </c>
      <c r="D19" s="4">
        <v>564</v>
      </c>
      <c r="E19" s="4">
        <v>651</v>
      </c>
    </row>
    <row r="20" spans="1:5" ht="21.75" customHeight="1" x14ac:dyDescent="0.25">
      <c r="A20" s="26">
        <v>5</v>
      </c>
      <c r="B20" s="7" t="s">
        <v>172</v>
      </c>
      <c r="C20" s="7">
        <v>1904</v>
      </c>
      <c r="D20" s="7">
        <v>937</v>
      </c>
      <c r="E20" s="7">
        <v>967</v>
      </c>
    </row>
    <row r="21" spans="1:5" ht="21.75" customHeight="1" x14ac:dyDescent="0.25">
      <c r="A21" s="21"/>
      <c r="B21" s="10"/>
      <c r="C21" s="10"/>
      <c r="D21" s="10"/>
      <c r="E21" s="10"/>
    </row>
  </sheetData>
  <mergeCells count="4">
    <mergeCell ref="A1:E1"/>
    <mergeCell ref="A4:A5"/>
    <mergeCell ref="B4:B5"/>
    <mergeCell ref="C4:E4"/>
  </mergeCells>
  <pageMargins left="0.75" right="0.5" top="0.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E1"/>
    </sheetView>
  </sheetViews>
  <sheetFormatPr defaultRowHeight="15" x14ac:dyDescent="0.25"/>
  <cols>
    <col min="1" max="1" width="7.140625" style="17" customWidth="1"/>
    <col min="2" max="2" width="28.28515625" style="17" customWidth="1"/>
    <col min="3" max="5" width="15.7109375" style="17" customWidth="1"/>
    <col min="6" max="16384" width="9.140625" style="17"/>
  </cols>
  <sheetData>
    <row r="1" spans="1:5" s="1" customFormat="1" ht="44.25" customHeight="1" x14ac:dyDescent="0.35">
      <c r="A1" s="45" t="s">
        <v>554</v>
      </c>
      <c r="B1" s="45"/>
      <c r="C1" s="45"/>
      <c r="D1" s="45"/>
      <c r="E1" s="45"/>
    </row>
    <row r="2" spans="1:5" s="1" customFormat="1" ht="30" customHeight="1" x14ac:dyDescent="0.35">
      <c r="A2" s="22"/>
      <c r="D2" s="22"/>
      <c r="E2" s="18" t="s">
        <v>526</v>
      </c>
    </row>
    <row r="3" spans="1:5" s="1" customFormat="1" ht="20.25" customHeight="1" x14ac:dyDescent="0.35">
      <c r="A3" s="22"/>
      <c r="D3" s="22"/>
      <c r="E3" s="18"/>
    </row>
    <row r="4" spans="1:5" s="1" customFormat="1" ht="25.5" customHeight="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5" s="1" customFormat="1" ht="2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5" s="1" customFormat="1" ht="21.75" customHeight="1" x14ac:dyDescent="0.35">
      <c r="A6" s="34"/>
      <c r="B6" s="33" t="s">
        <v>558</v>
      </c>
      <c r="C6" s="15">
        <f>C8+C13</f>
        <v>8682</v>
      </c>
      <c r="D6" s="15">
        <f t="shared" ref="D6:E6" si="0">D8+D13</f>
        <v>4528</v>
      </c>
      <c r="E6" s="15">
        <f t="shared" si="0"/>
        <v>4154</v>
      </c>
    </row>
    <row r="7" spans="1:5" ht="21.75" customHeight="1" x14ac:dyDescent="0.25">
      <c r="A7" s="25"/>
      <c r="B7" s="4"/>
      <c r="C7" s="4"/>
      <c r="D7" s="4"/>
      <c r="E7" s="4"/>
    </row>
    <row r="8" spans="1:5" ht="21.75" customHeight="1" x14ac:dyDescent="0.25">
      <c r="A8" s="25"/>
      <c r="B8" s="20" t="s">
        <v>524</v>
      </c>
      <c r="C8" s="6">
        <f>SUM(C9:C11)</f>
        <v>1153</v>
      </c>
      <c r="D8" s="6">
        <f t="shared" ref="D8:E8" si="1">SUM(D9:D11)</f>
        <v>608</v>
      </c>
      <c r="E8" s="6">
        <f t="shared" si="1"/>
        <v>545</v>
      </c>
    </row>
    <row r="9" spans="1:5" ht="21.75" customHeight="1" x14ac:dyDescent="0.25">
      <c r="A9" s="25">
        <v>1</v>
      </c>
      <c r="B9" s="4" t="s">
        <v>48</v>
      </c>
      <c r="C9" s="4">
        <v>325</v>
      </c>
      <c r="D9" s="4">
        <v>182</v>
      </c>
      <c r="E9" s="4">
        <v>143</v>
      </c>
    </row>
    <row r="10" spans="1:5" ht="21.75" customHeight="1" x14ac:dyDescent="0.25">
      <c r="A10" s="25">
        <v>2</v>
      </c>
      <c r="B10" s="4" t="s">
        <v>49</v>
      </c>
      <c r="C10" s="4">
        <v>655</v>
      </c>
      <c r="D10" s="4">
        <v>319</v>
      </c>
      <c r="E10" s="4">
        <v>336</v>
      </c>
    </row>
    <row r="11" spans="1:5" ht="21.75" customHeight="1" x14ac:dyDescent="0.25">
      <c r="A11" s="25">
        <v>3</v>
      </c>
      <c r="B11" s="4" t="s">
        <v>50</v>
      </c>
      <c r="C11" s="4">
        <v>173</v>
      </c>
      <c r="D11" s="4">
        <v>107</v>
      </c>
      <c r="E11" s="4">
        <v>66</v>
      </c>
    </row>
    <row r="12" spans="1:5" ht="21.75" customHeight="1" x14ac:dyDescent="0.25">
      <c r="A12" s="25"/>
      <c r="B12" s="4"/>
      <c r="C12" s="4"/>
      <c r="D12" s="4"/>
      <c r="E12" s="4"/>
    </row>
    <row r="13" spans="1:5" ht="21.75" customHeight="1" x14ac:dyDescent="0.25">
      <c r="A13" s="25"/>
      <c r="B13" s="20" t="s">
        <v>559</v>
      </c>
      <c r="C13" s="6">
        <f>SUM(C14:C16)</f>
        <v>7529</v>
      </c>
      <c r="D13" s="6">
        <f t="shared" ref="D13:E13" si="2">SUM(D14:D16)</f>
        <v>3920</v>
      </c>
      <c r="E13" s="6">
        <f t="shared" si="2"/>
        <v>3609</v>
      </c>
    </row>
    <row r="14" spans="1:5" ht="21.75" customHeight="1" x14ac:dyDescent="0.25">
      <c r="A14" s="25">
        <v>1</v>
      </c>
      <c r="B14" s="4" t="s">
        <v>173</v>
      </c>
      <c r="C14" s="4">
        <v>5731</v>
      </c>
      <c r="D14" s="4">
        <v>2976</v>
      </c>
      <c r="E14" s="4">
        <v>2755</v>
      </c>
    </row>
    <row r="15" spans="1:5" ht="21.75" customHeight="1" x14ac:dyDescent="0.25">
      <c r="A15" s="25">
        <v>2</v>
      </c>
      <c r="B15" s="4" t="s">
        <v>174</v>
      </c>
      <c r="C15" s="4">
        <v>496</v>
      </c>
      <c r="D15" s="4">
        <v>263</v>
      </c>
      <c r="E15" s="4">
        <v>233</v>
      </c>
    </row>
    <row r="16" spans="1:5" ht="21.75" customHeight="1" x14ac:dyDescent="0.25">
      <c r="A16" s="26">
        <v>3</v>
      </c>
      <c r="B16" s="7" t="s">
        <v>175</v>
      </c>
      <c r="C16" s="7">
        <v>1302</v>
      </c>
      <c r="D16" s="7">
        <v>681</v>
      </c>
      <c r="E16" s="7">
        <v>621</v>
      </c>
    </row>
    <row r="17" spans="1:5" x14ac:dyDescent="0.25">
      <c r="A17" s="21"/>
      <c r="B17" s="21"/>
      <c r="C17" s="21"/>
      <c r="D17" s="21"/>
      <c r="E17" s="21"/>
    </row>
  </sheetData>
  <mergeCells count="4">
    <mergeCell ref="A4:A5"/>
    <mergeCell ref="B4:B5"/>
    <mergeCell ref="C4:E4"/>
    <mergeCell ref="A1:E1"/>
  </mergeCells>
  <hyperlinks>
    <hyperlink ref="A1:E1" location="'list of township'!A1" display="Kachin State, Myitkyinar District, Kanpaikti (Sub- Township)"/>
  </hyperlinks>
  <pageMargins left="0.75" right="0.5" top="0.5" bottom="0.2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E1"/>
    </sheetView>
  </sheetViews>
  <sheetFormatPr defaultRowHeight="15" x14ac:dyDescent="0.25"/>
  <cols>
    <col min="1" max="1" width="9.140625" style="17"/>
    <col min="2" max="2" width="26.85546875" style="17" bestFit="1" customWidth="1"/>
    <col min="3" max="5" width="15.7109375" style="17" customWidth="1"/>
    <col min="6" max="16384" width="9.140625" style="17"/>
  </cols>
  <sheetData>
    <row r="1" spans="1:5" s="1" customFormat="1" ht="46.5" customHeight="1" x14ac:dyDescent="0.35">
      <c r="A1" s="46" t="s">
        <v>555</v>
      </c>
      <c r="B1" s="46"/>
      <c r="C1" s="46"/>
      <c r="D1" s="46"/>
      <c r="E1" s="46"/>
    </row>
    <row r="2" spans="1:5" s="1" customFormat="1" ht="30" customHeight="1" x14ac:dyDescent="0.35">
      <c r="A2" s="22"/>
      <c r="D2" s="22"/>
      <c r="E2" s="18" t="s">
        <v>526</v>
      </c>
    </row>
    <row r="3" spans="1:5" s="1" customFormat="1" ht="19.5" customHeight="1" x14ac:dyDescent="0.35">
      <c r="A3" s="22"/>
      <c r="D3" s="22"/>
      <c r="E3" s="18"/>
    </row>
    <row r="4" spans="1:5" s="1" customFormat="1" ht="25.5" customHeight="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5" s="1" customFormat="1" ht="2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5" s="1" customFormat="1" ht="21.75" customHeight="1" x14ac:dyDescent="0.35">
      <c r="A6" s="34"/>
      <c r="B6" s="33" t="s">
        <v>558</v>
      </c>
      <c r="C6" s="15">
        <f>C8+C14</f>
        <v>11453</v>
      </c>
      <c r="D6" s="15">
        <f t="shared" ref="D6:E6" si="0">D8+D14</f>
        <v>6206</v>
      </c>
      <c r="E6" s="15">
        <f t="shared" si="0"/>
        <v>5247</v>
      </c>
    </row>
    <row r="7" spans="1:5" ht="21.75" customHeight="1" x14ac:dyDescent="0.25">
      <c r="A7" s="25"/>
      <c r="B7" s="4"/>
      <c r="C7" s="4"/>
      <c r="D7" s="4"/>
      <c r="E7" s="4"/>
    </row>
    <row r="8" spans="1:5" ht="21.75" customHeight="1" x14ac:dyDescent="0.25">
      <c r="A8" s="25"/>
      <c r="B8" s="20" t="s">
        <v>524</v>
      </c>
      <c r="C8" s="6">
        <f>SUM(C9:C12)</f>
        <v>5417</v>
      </c>
      <c r="D8" s="6">
        <f t="shared" ref="D8:E8" si="1">SUM(D9:D12)</f>
        <v>3073</v>
      </c>
      <c r="E8" s="6">
        <f t="shared" si="1"/>
        <v>2344</v>
      </c>
    </row>
    <row r="9" spans="1:5" ht="21.75" customHeight="1" x14ac:dyDescent="0.25">
      <c r="A9" s="25">
        <v>1</v>
      </c>
      <c r="B9" s="4" t="s">
        <v>48</v>
      </c>
      <c r="C9" s="4">
        <v>1489</v>
      </c>
      <c r="D9" s="4">
        <v>882</v>
      </c>
      <c r="E9" s="4">
        <v>607</v>
      </c>
    </row>
    <row r="10" spans="1:5" ht="21.75" customHeight="1" x14ac:dyDescent="0.25">
      <c r="A10" s="25">
        <v>2</v>
      </c>
      <c r="B10" s="4" t="s">
        <v>49</v>
      </c>
      <c r="C10" s="4">
        <v>923</v>
      </c>
      <c r="D10" s="4">
        <v>475</v>
      </c>
      <c r="E10" s="4">
        <v>448</v>
      </c>
    </row>
    <row r="11" spans="1:5" ht="21.75" customHeight="1" x14ac:dyDescent="0.25">
      <c r="A11" s="25">
        <v>3</v>
      </c>
      <c r="B11" s="4" t="s">
        <v>50</v>
      </c>
      <c r="C11" s="4">
        <v>2684</v>
      </c>
      <c r="D11" s="4">
        <v>1529</v>
      </c>
      <c r="E11" s="4">
        <v>1155</v>
      </c>
    </row>
    <row r="12" spans="1:5" ht="21.75" customHeight="1" x14ac:dyDescent="0.25">
      <c r="A12" s="25">
        <v>4</v>
      </c>
      <c r="B12" s="4" t="s">
        <v>51</v>
      </c>
      <c r="C12" s="4">
        <v>321</v>
      </c>
      <c r="D12" s="4">
        <v>187</v>
      </c>
      <c r="E12" s="4">
        <v>134</v>
      </c>
    </row>
    <row r="13" spans="1:5" ht="21.75" customHeight="1" x14ac:dyDescent="0.25">
      <c r="A13" s="25"/>
      <c r="B13" s="4"/>
      <c r="C13" s="4"/>
      <c r="D13" s="4"/>
      <c r="E13" s="4"/>
    </row>
    <row r="14" spans="1:5" ht="21.75" customHeight="1" x14ac:dyDescent="0.25">
      <c r="A14" s="25"/>
      <c r="B14" s="20" t="s">
        <v>559</v>
      </c>
      <c r="C14" s="6">
        <f>SUM(C15:C16)</f>
        <v>6036</v>
      </c>
      <c r="D14" s="6">
        <f t="shared" ref="D14:E14" si="2">SUM(D15:D16)</f>
        <v>3133</v>
      </c>
      <c r="E14" s="6">
        <f t="shared" si="2"/>
        <v>2903</v>
      </c>
    </row>
    <row r="15" spans="1:5" ht="21.75" customHeight="1" x14ac:dyDescent="0.25">
      <c r="A15" s="25">
        <v>1</v>
      </c>
      <c r="B15" s="4" t="s">
        <v>176</v>
      </c>
      <c r="C15" s="4">
        <v>1875</v>
      </c>
      <c r="D15" s="4">
        <v>974</v>
      </c>
      <c r="E15" s="4">
        <v>901</v>
      </c>
    </row>
    <row r="16" spans="1:5" ht="21.75" customHeight="1" x14ac:dyDescent="0.25">
      <c r="A16" s="25">
        <v>2</v>
      </c>
      <c r="B16" s="4" t="s">
        <v>177</v>
      </c>
      <c r="C16" s="4">
        <v>4161</v>
      </c>
      <c r="D16" s="4">
        <v>2159</v>
      </c>
      <c r="E16" s="4">
        <v>2002</v>
      </c>
    </row>
    <row r="17" spans="1:5" x14ac:dyDescent="0.25">
      <c r="A17" s="24"/>
      <c r="B17" s="24"/>
      <c r="C17" s="24"/>
      <c r="D17" s="24"/>
      <c r="E17" s="24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 Myitkyinar District,   Shinbwayyan  (Sub- Township)"/>
  </hyperlinks>
  <pageMargins left="0.75" right="0.5" top="0.5" bottom="0.2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sqref="A1:E1"/>
    </sheetView>
  </sheetViews>
  <sheetFormatPr defaultRowHeight="15" x14ac:dyDescent="0.25"/>
  <cols>
    <col min="1" max="1" width="9.140625" style="17"/>
    <col min="2" max="2" width="23.7109375" style="17" bestFit="1" customWidth="1"/>
    <col min="3" max="5" width="15.7109375" style="17" customWidth="1"/>
    <col min="6" max="16384" width="9.140625" style="17"/>
  </cols>
  <sheetData>
    <row r="1" spans="1:8" s="1" customFormat="1" ht="56.25" customHeight="1" x14ac:dyDescent="0.35">
      <c r="A1" s="47" t="s">
        <v>544</v>
      </c>
      <c r="B1" s="47"/>
      <c r="C1" s="47"/>
      <c r="D1" s="47"/>
      <c r="E1" s="47"/>
      <c r="F1" s="22"/>
    </row>
    <row r="2" spans="1:8" s="1" customFormat="1" ht="30" customHeight="1" x14ac:dyDescent="0.35">
      <c r="A2" s="22"/>
      <c r="D2" s="22"/>
      <c r="E2" s="18" t="s">
        <v>526</v>
      </c>
      <c r="F2" s="22"/>
    </row>
    <row r="3" spans="1:8" s="1" customFormat="1" ht="18" customHeight="1" x14ac:dyDescent="0.35">
      <c r="A3" s="22"/>
      <c r="D3" s="22"/>
      <c r="E3" s="18"/>
      <c r="F3" s="22"/>
    </row>
    <row r="4" spans="1:8" s="1" customFormat="1" ht="25.5" customHeight="1" x14ac:dyDescent="0.35">
      <c r="A4" s="39" t="s">
        <v>527</v>
      </c>
      <c r="B4" s="39" t="s">
        <v>560</v>
      </c>
      <c r="C4" s="38" t="s">
        <v>523</v>
      </c>
      <c r="D4" s="38"/>
      <c r="E4" s="38"/>
      <c r="F4" s="22"/>
      <c r="H4" s="31"/>
    </row>
    <row r="5" spans="1:8" s="1" customFormat="1" ht="26.25" customHeight="1" x14ac:dyDescent="0.35">
      <c r="A5" s="40"/>
      <c r="B5" s="40"/>
      <c r="C5" s="28" t="s">
        <v>0</v>
      </c>
      <c r="D5" s="28" t="s">
        <v>1</v>
      </c>
      <c r="E5" s="28" t="s">
        <v>2</v>
      </c>
      <c r="F5" s="22"/>
    </row>
    <row r="6" spans="1:8" s="1" customFormat="1" ht="21.75" customHeight="1" x14ac:dyDescent="0.35">
      <c r="A6" s="34"/>
      <c r="B6" s="33" t="s">
        <v>558</v>
      </c>
      <c r="C6" s="15">
        <f>C8+C13</f>
        <v>8736</v>
      </c>
      <c r="D6" s="15">
        <f t="shared" ref="D6:E6" si="0">D8+D13</f>
        <v>4469</v>
      </c>
      <c r="E6" s="15">
        <f t="shared" si="0"/>
        <v>4267</v>
      </c>
      <c r="F6" s="3"/>
    </row>
    <row r="7" spans="1:8" ht="21.75" customHeight="1" x14ac:dyDescent="0.25">
      <c r="A7" s="4"/>
      <c r="B7" s="4"/>
      <c r="C7" s="4"/>
      <c r="D7" s="4"/>
      <c r="E7" s="4"/>
      <c r="F7" s="3"/>
    </row>
    <row r="8" spans="1:8" ht="21.75" customHeight="1" x14ac:dyDescent="0.25">
      <c r="A8" s="4"/>
      <c r="B8" s="20" t="s">
        <v>524</v>
      </c>
      <c r="C8" s="6">
        <f>SUM(C9:C11)</f>
        <v>1223</v>
      </c>
      <c r="D8" s="6">
        <f t="shared" ref="D8:E8" si="1">SUM(D9:D11)</f>
        <v>623</v>
      </c>
      <c r="E8" s="6">
        <f t="shared" si="1"/>
        <v>600</v>
      </c>
      <c r="F8" s="3"/>
    </row>
    <row r="9" spans="1:8" ht="21.75" customHeight="1" x14ac:dyDescent="0.25">
      <c r="A9" s="4">
        <v>1</v>
      </c>
      <c r="B9" s="4" t="s">
        <v>48</v>
      </c>
      <c r="C9" s="4">
        <v>359</v>
      </c>
      <c r="D9" s="4">
        <v>171</v>
      </c>
      <c r="E9" s="4">
        <v>188</v>
      </c>
      <c r="F9" s="3"/>
    </row>
    <row r="10" spans="1:8" ht="21.75" customHeight="1" x14ac:dyDescent="0.25">
      <c r="A10" s="4">
        <v>2</v>
      </c>
      <c r="B10" s="4" t="s">
        <v>49</v>
      </c>
      <c r="C10" s="4">
        <v>412</v>
      </c>
      <c r="D10" s="4">
        <v>215</v>
      </c>
      <c r="E10" s="4">
        <v>197</v>
      </c>
      <c r="F10" s="3"/>
    </row>
    <row r="11" spans="1:8" ht="21.75" customHeight="1" x14ac:dyDescent="0.25">
      <c r="A11" s="4">
        <v>3</v>
      </c>
      <c r="B11" s="4" t="s">
        <v>50</v>
      </c>
      <c r="C11" s="4">
        <v>452</v>
      </c>
      <c r="D11" s="4">
        <v>237</v>
      </c>
      <c r="E11" s="4">
        <v>215</v>
      </c>
      <c r="F11" s="3"/>
    </row>
    <row r="12" spans="1:8" ht="21.75" customHeight="1" x14ac:dyDescent="0.35">
      <c r="A12" s="2"/>
      <c r="B12" s="4"/>
      <c r="C12" s="4"/>
      <c r="D12" s="4"/>
      <c r="E12" s="4"/>
      <c r="F12" s="3"/>
    </row>
    <row r="13" spans="1:8" ht="21.75" customHeight="1" x14ac:dyDescent="0.35">
      <c r="A13" s="2"/>
      <c r="B13" s="20" t="s">
        <v>559</v>
      </c>
      <c r="C13" s="6">
        <f>SUM(C14:C20)</f>
        <v>7513</v>
      </c>
      <c r="D13" s="6">
        <f t="shared" ref="D13:E13" si="2">SUM(D14:D20)</f>
        <v>3846</v>
      </c>
      <c r="E13" s="6">
        <f t="shared" si="2"/>
        <v>3667</v>
      </c>
      <c r="F13" s="3"/>
    </row>
    <row r="14" spans="1:8" ht="21.75" customHeight="1" x14ac:dyDescent="0.25">
      <c r="A14" s="4">
        <v>1</v>
      </c>
      <c r="B14" s="4" t="s">
        <v>178</v>
      </c>
      <c r="C14" s="4">
        <v>2313</v>
      </c>
      <c r="D14" s="4">
        <v>1235</v>
      </c>
      <c r="E14" s="4">
        <v>1078</v>
      </c>
      <c r="F14" s="3"/>
    </row>
    <row r="15" spans="1:8" ht="21.75" customHeight="1" x14ac:dyDescent="0.25">
      <c r="A15" s="4">
        <v>2</v>
      </c>
      <c r="B15" s="4" t="s">
        <v>179</v>
      </c>
      <c r="C15" s="4">
        <v>267</v>
      </c>
      <c r="D15" s="4">
        <v>135</v>
      </c>
      <c r="E15" s="4">
        <v>132</v>
      </c>
      <c r="F15" s="3"/>
    </row>
    <row r="16" spans="1:8" ht="21.75" customHeight="1" x14ac:dyDescent="0.25">
      <c r="A16" s="4">
        <v>3</v>
      </c>
      <c r="B16" s="4" t="s">
        <v>180</v>
      </c>
      <c r="C16" s="4">
        <v>767</v>
      </c>
      <c r="D16" s="4">
        <v>374</v>
      </c>
      <c r="E16" s="4">
        <v>393</v>
      </c>
      <c r="F16" s="3"/>
    </row>
    <row r="17" spans="1:6" ht="21.75" customHeight="1" x14ac:dyDescent="0.25">
      <c r="A17" s="4">
        <v>4</v>
      </c>
      <c r="B17" s="4" t="s">
        <v>181</v>
      </c>
      <c r="C17" s="4">
        <v>940</v>
      </c>
      <c r="D17" s="4">
        <v>488</v>
      </c>
      <c r="E17" s="4">
        <v>452</v>
      </c>
      <c r="F17" s="3"/>
    </row>
    <row r="18" spans="1:6" ht="21.75" customHeight="1" x14ac:dyDescent="0.25">
      <c r="A18" s="4">
        <v>5</v>
      </c>
      <c r="B18" s="4" t="s">
        <v>182</v>
      </c>
      <c r="C18" s="4">
        <v>923</v>
      </c>
      <c r="D18" s="4">
        <v>468</v>
      </c>
      <c r="E18" s="4">
        <v>455</v>
      </c>
      <c r="F18" s="3"/>
    </row>
    <row r="19" spans="1:6" ht="21.75" customHeight="1" x14ac:dyDescent="0.25">
      <c r="A19" s="4">
        <v>6</v>
      </c>
      <c r="B19" s="4" t="s">
        <v>183</v>
      </c>
      <c r="C19" s="4">
        <v>492</v>
      </c>
      <c r="D19" s="4">
        <v>245</v>
      </c>
      <c r="E19" s="4">
        <v>247</v>
      </c>
      <c r="F19" s="3"/>
    </row>
    <row r="20" spans="1:6" ht="21.75" customHeight="1" x14ac:dyDescent="0.25">
      <c r="A20" s="7">
        <v>7</v>
      </c>
      <c r="B20" s="7" t="s">
        <v>184</v>
      </c>
      <c r="C20" s="7">
        <v>1811</v>
      </c>
      <c r="D20" s="7">
        <v>901</v>
      </c>
      <c r="E20" s="7">
        <v>910</v>
      </c>
      <c r="F20" s="3"/>
    </row>
    <row r="21" spans="1:6" ht="15.75" x14ac:dyDescent="0.25">
      <c r="A21" s="21"/>
      <c r="B21" s="10"/>
      <c r="C21" s="10"/>
      <c r="D21" s="10"/>
      <c r="E21" s="10"/>
      <c r="F21" s="3"/>
    </row>
  </sheetData>
  <mergeCells count="4">
    <mergeCell ref="B4:B5"/>
    <mergeCell ref="A1:E1"/>
    <mergeCell ref="A4:A5"/>
    <mergeCell ref="C4:E4"/>
  </mergeCells>
  <hyperlinks>
    <hyperlink ref="A1:E1" location="'list of township'!A1" display="'list of township'!A1"/>
  </hyperlinks>
  <pageMargins left="0.75" right="0.5" top="0.5" bottom="0.2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sqref="A1:E1"/>
    </sheetView>
  </sheetViews>
  <sheetFormatPr defaultRowHeight="15" x14ac:dyDescent="0.25"/>
  <cols>
    <col min="1" max="1" width="9.140625" style="17"/>
    <col min="2" max="2" width="30.28515625" style="17" bestFit="1" customWidth="1"/>
    <col min="3" max="5" width="15.7109375" style="17" customWidth="1"/>
    <col min="6" max="16384" width="9.140625" style="17"/>
  </cols>
  <sheetData>
    <row r="1" spans="1:6" s="1" customFormat="1" ht="25.5" customHeight="1" x14ac:dyDescent="0.35">
      <c r="A1" s="42" t="s">
        <v>533</v>
      </c>
      <c r="B1" s="42"/>
      <c r="C1" s="42"/>
      <c r="D1" s="42"/>
      <c r="E1" s="42"/>
      <c r="F1" s="22"/>
    </row>
    <row r="2" spans="1:6" s="1" customFormat="1" ht="30" customHeight="1" x14ac:dyDescent="0.35">
      <c r="A2" s="22"/>
      <c r="D2" s="22"/>
      <c r="E2" s="18" t="s">
        <v>526</v>
      </c>
      <c r="F2" s="22"/>
    </row>
    <row r="3" spans="1:6" s="1" customFormat="1" ht="23.25" customHeight="1" x14ac:dyDescent="0.35">
      <c r="A3" s="22"/>
      <c r="D3" s="22"/>
      <c r="E3" s="18"/>
      <c r="F3" s="22"/>
    </row>
    <row r="4" spans="1:6" s="1" customFormat="1" ht="21" x14ac:dyDescent="0.35">
      <c r="A4" s="39" t="s">
        <v>527</v>
      </c>
      <c r="B4" s="39" t="s">
        <v>560</v>
      </c>
      <c r="C4" s="38" t="s">
        <v>523</v>
      </c>
      <c r="D4" s="38"/>
      <c r="E4" s="38"/>
      <c r="F4" s="22"/>
    </row>
    <row r="5" spans="1:6" s="1" customFormat="1" ht="21" x14ac:dyDescent="0.35">
      <c r="A5" s="43"/>
      <c r="B5" s="43"/>
      <c r="C5" s="32" t="s">
        <v>0</v>
      </c>
      <c r="D5" s="32" t="s">
        <v>1</v>
      </c>
      <c r="E5" s="32" t="s">
        <v>2</v>
      </c>
    </row>
    <row r="6" spans="1:6" s="1" customFormat="1" ht="21" x14ac:dyDescent="0.35">
      <c r="A6" s="2"/>
      <c r="B6" s="6" t="s">
        <v>558</v>
      </c>
      <c r="C6" s="9">
        <f>C8+C15</f>
        <v>160598</v>
      </c>
      <c r="D6" s="9">
        <f t="shared" ref="D6:E6" si="0">D8+D15</f>
        <v>78795</v>
      </c>
      <c r="E6" s="9">
        <f t="shared" si="0"/>
        <v>81803</v>
      </c>
    </row>
    <row r="7" spans="1:6" ht="21.75" customHeight="1" x14ac:dyDescent="0.35">
      <c r="A7" s="2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SUM(C9:C13)</f>
        <v>33290</v>
      </c>
      <c r="D8" s="6">
        <f t="shared" ref="D8:E8" si="1">SUM(D9:D13)</f>
        <v>15910</v>
      </c>
      <c r="E8" s="6">
        <f t="shared" si="1"/>
        <v>17380</v>
      </c>
    </row>
    <row r="9" spans="1:6" ht="21.75" customHeight="1" x14ac:dyDescent="0.25">
      <c r="A9" s="4">
        <v>1</v>
      </c>
      <c r="B9" s="4" t="s">
        <v>185</v>
      </c>
      <c r="C9" s="4">
        <v>7721</v>
      </c>
      <c r="D9" s="4">
        <v>3709</v>
      </c>
      <c r="E9" s="4">
        <v>4012</v>
      </c>
    </row>
    <row r="10" spans="1:6" ht="21.75" customHeight="1" x14ac:dyDescent="0.25">
      <c r="A10" s="4">
        <v>2</v>
      </c>
      <c r="B10" s="4" t="s">
        <v>7</v>
      </c>
      <c r="C10" s="4">
        <v>7073</v>
      </c>
      <c r="D10" s="4">
        <v>3549</v>
      </c>
      <c r="E10" s="4">
        <v>3524</v>
      </c>
    </row>
    <row r="11" spans="1:6" ht="21.75" customHeight="1" x14ac:dyDescent="0.25">
      <c r="A11" s="4">
        <v>3</v>
      </c>
      <c r="B11" s="4" t="s">
        <v>186</v>
      </c>
      <c r="C11" s="4">
        <v>4677</v>
      </c>
      <c r="D11" s="4">
        <v>2173</v>
      </c>
      <c r="E11" s="4">
        <v>2504</v>
      </c>
    </row>
    <row r="12" spans="1:6" ht="21.75" customHeight="1" x14ac:dyDescent="0.25">
      <c r="A12" s="4">
        <v>4</v>
      </c>
      <c r="B12" s="4" t="s">
        <v>187</v>
      </c>
      <c r="C12" s="4">
        <v>7154</v>
      </c>
      <c r="D12" s="4">
        <v>3409</v>
      </c>
      <c r="E12" s="4">
        <v>3745</v>
      </c>
    </row>
    <row r="13" spans="1:6" ht="21.75" customHeight="1" x14ac:dyDescent="0.25">
      <c r="A13" s="4">
        <v>5</v>
      </c>
      <c r="B13" s="4" t="s">
        <v>188</v>
      </c>
      <c r="C13" s="4">
        <v>6665</v>
      </c>
      <c r="D13" s="4">
        <v>3070</v>
      </c>
      <c r="E13" s="4">
        <v>3595</v>
      </c>
    </row>
    <row r="14" spans="1:6" ht="21.75" customHeight="1" x14ac:dyDescent="0.25">
      <c r="A14" s="4"/>
      <c r="B14" s="4"/>
      <c r="C14" s="4"/>
      <c r="D14" s="4"/>
      <c r="E14" s="4"/>
    </row>
    <row r="15" spans="1:6" ht="21.75" customHeight="1" x14ac:dyDescent="0.25">
      <c r="A15" s="4"/>
      <c r="B15" s="20" t="s">
        <v>559</v>
      </c>
      <c r="C15" s="6">
        <f>SUM(C16:C45)</f>
        <v>127308</v>
      </c>
      <c r="D15" s="6">
        <f t="shared" ref="D15:E15" si="2">SUM(D16:D45)</f>
        <v>62885</v>
      </c>
      <c r="E15" s="6">
        <f t="shared" si="2"/>
        <v>64423</v>
      </c>
    </row>
    <row r="16" spans="1:6" ht="21.75" customHeight="1" x14ac:dyDescent="0.25">
      <c r="A16" s="4">
        <v>1</v>
      </c>
      <c r="B16" s="4" t="s">
        <v>190</v>
      </c>
      <c r="C16" s="4">
        <v>4203</v>
      </c>
      <c r="D16" s="4">
        <v>2040</v>
      </c>
      <c r="E16" s="4">
        <v>2163</v>
      </c>
    </row>
    <row r="17" spans="1:5" ht="21.75" customHeight="1" x14ac:dyDescent="0.25">
      <c r="A17" s="4">
        <v>2</v>
      </c>
      <c r="B17" s="4" t="s">
        <v>191</v>
      </c>
      <c r="C17" s="4">
        <v>9281</v>
      </c>
      <c r="D17" s="4">
        <v>5468</v>
      </c>
      <c r="E17" s="4">
        <v>3813</v>
      </c>
    </row>
    <row r="18" spans="1:5" ht="21.75" customHeight="1" x14ac:dyDescent="0.25">
      <c r="A18" s="4">
        <v>3</v>
      </c>
      <c r="B18" s="4" t="s">
        <v>192</v>
      </c>
      <c r="C18" s="4">
        <v>3423</v>
      </c>
      <c r="D18" s="4">
        <v>1913</v>
      </c>
      <c r="E18" s="4">
        <v>1510</v>
      </c>
    </row>
    <row r="19" spans="1:5" ht="21.75" customHeight="1" x14ac:dyDescent="0.25">
      <c r="A19" s="4">
        <v>4</v>
      </c>
      <c r="B19" s="4" t="s">
        <v>193</v>
      </c>
      <c r="C19" s="4">
        <v>1507</v>
      </c>
      <c r="D19" s="4">
        <v>731</v>
      </c>
      <c r="E19" s="4">
        <v>776</v>
      </c>
    </row>
    <row r="20" spans="1:5" ht="21.75" customHeight="1" x14ac:dyDescent="0.25">
      <c r="A20" s="4">
        <v>5</v>
      </c>
      <c r="B20" s="4" t="s">
        <v>194</v>
      </c>
      <c r="C20" s="4">
        <v>2283</v>
      </c>
      <c r="D20" s="4">
        <v>1204</v>
      </c>
      <c r="E20" s="4">
        <v>1079</v>
      </c>
    </row>
    <row r="21" spans="1:5" ht="21.75" customHeight="1" x14ac:dyDescent="0.25">
      <c r="A21" s="4">
        <v>6</v>
      </c>
      <c r="B21" s="4" t="s">
        <v>195</v>
      </c>
      <c r="C21" s="4">
        <v>7065</v>
      </c>
      <c r="D21" s="4">
        <v>3204</v>
      </c>
      <c r="E21" s="4">
        <v>3861</v>
      </c>
    </row>
    <row r="22" spans="1:5" ht="21.75" customHeight="1" x14ac:dyDescent="0.25">
      <c r="A22" s="4">
        <v>7</v>
      </c>
      <c r="B22" s="4" t="s">
        <v>196</v>
      </c>
      <c r="C22" s="4">
        <v>1816</v>
      </c>
      <c r="D22" s="4">
        <v>815</v>
      </c>
      <c r="E22" s="4">
        <v>1001</v>
      </c>
    </row>
    <row r="23" spans="1:5" ht="21.75" customHeight="1" x14ac:dyDescent="0.25">
      <c r="A23" s="4">
        <v>8</v>
      </c>
      <c r="B23" s="4" t="s">
        <v>197</v>
      </c>
      <c r="C23" s="4">
        <v>1945</v>
      </c>
      <c r="D23" s="4">
        <v>912</v>
      </c>
      <c r="E23" s="4">
        <v>1033</v>
      </c>
    </row>
    <row r="24" spans="1:5" ht="21.75" customHeight="1" x14ac:dyDescent="0.25">
      <c r="A24" s="4">
        <v>9</v>
      </c>
      <c r="B24" s="4" t="s">
        <v>198</v>
      </c>
      <c r="C24" s="4">
        <v>4247</v>
      </c>
      <c r="D24" s="4">
        <v>2076</v>
      </c>
      <c r="E24" s="4">
        <v>2171</v>
      </c>
    </row>
    <row r="25" spans="1:5" ht="21.75" customHeight="1" x14ac:dyDescent="0.25">
      <c r="A25" s="4">
        <v>10</v>
      </c>
      <c r="B25" s="4" t="s">
        <v>199</v>
      </c>
      <c r="C25" s="4">
        <v>4768</v>
      </c>
      <c r="D25" s="4">
        <v>2192</v>
      </c>
      <c r="E25" s="4">
        <v>2576</v>
      </c>
    </row>
    <row r="26" spans="1:5" ht="21.75" customHeight="1" x14ac:dyDescent="0.25">
      <c r="A26" s="4">
        <v>11</v>
      </c>
      <c r="B26" s="4" t="s">
        <v>165</v>
      </c>
      <c r="C26" s="4">
        <v>1700</v>
      </c>
      <c r="D26" s="4">
        <v>750</v>
      </c>
      <c r="E26" s="4">
        <v>950</v>
      </c>
    </row>
    <row r="27" spans="1:5" ht="21.75" customHeight="1" x14ac:dyDescent="0.25">
      <c r="A27" s="4">
        <v>12</v>
      </c>
      <c r="B27" s="4" t="s">
        <v>200</v>
      </c>
      <c r="C27" s="4">
        <v>11086</v>
      </c>
      <c r="D27" s="4">
        <v>5242</v>
      </c>
      <c r="E27" s="4">
        <v>5844</v>
      </c>
    </row>
    <row r="28" spans="1:5" ht="21.75" customHeight="1" x14ac:dyDescent="0.25">
      <c r="A28" s="4">
        <v>13</v>
      </c>
      <c r="B28" s="4" t="s">
        <v>201</v>
      </c>
      <c r="C28" s="4">
        <v>5288</v>
      </c>
      <c r="D28" s="4">
        <v>2383</v>
      </c>
      <c r="E28" s="4">
        <v>2905</v>
      </c>
    </row>
    <row r="29" spans="1:5" ht="21.75" customHeight="1" x14ac:dyDescent="0.25">
      <c r="A29" s="4">
        <v>14</v>
      </c>
      <c r="B29" s="4" t="s">
        <v>202</v>
      </c>
      <c r="C29" s="4">
        <v>1771</v>
      </c>
      <c r="D29" s="4">
        <v>856</v>
      </c>
      <c r="E29" s="4">
        <v>915</v>
      </c>
    </row>
    <row r="30" spans="1:5" ht="21.75" customHeight="1" x14ac:dyDescent="0.25">
      <c r="A30" s="4">
        <v>15</v>
      </c>
      <c r="B30" s="4" t="s">
        <v>203</v>
      </c>
      <c r="C30" s="4">
        <v>881</v>
      </c>
      <c r="D30" s="4">
        <v>429</v>
      </c>
      <c r="E30" s="4">
        <v>452</v>
      </c>
    </row>
    <row r="31" spans="1:5" ht="21.75" customHeight="1" x14ac:dyDescent="0.25">
      <c r="A31" s="4">
        <v>16</v>
      </c>
      <c r="B31" s="4" t="s">
        <v>204</v>
      </c>
      <c r="C31" s="4">
        <v>12884</v>
      </c>
      <c r="D31" s="4">
        <v>6151</v>
      </c>
      <c r="E31" s="4">
        <v>6733</v>
      </c>
    </row>
    <row r="32" spans="1:5" ht="21.75" customHeight="1" x14ac:dyDescent="0.25">
      <c r="A32" s="4">
        <v>17</v>
      </c>
      <c r="B32" s="4" t="s">
        <v>205</v>
      </c>
      <c r="C32" s="4">
        <v>9119</v>
      </c>
      <c r="D32" s="4">
        <v>4597</v>
      </c>
      <c r="E32" s="4">
        <v>4522</v>
      </c>
    </row>
    <row r="33" spans="1:5" ht="21.75" customHeight="1" x14ac:dyDescent="0.25">
      <c r="A33" s="4">
        <v>18</v>
      </c>
      <c r="B33" s="4" t="s">
        <v>206</v>
      </c>
      <c r="C33" s="4">
        <v>3440</v>
      </c>
      <c r="D33" s="4">
        <v>1649</v>
      </c>
      <c r="E33" s="4">
        <v>1791</v>
      </c>
    </row>
    <row r="34" spans="1:5" ht="21.75" customHeight="1" x14ac:dyDescent="0.25">
      <c r="A34" s="4">
        <v>19</v>
      </c>
      <c r="B34" s="4" t="s">
        <v>207</v>
      </c>
      <c r="C34" s="4">
        <v>2743</v>
      </c>
      <c r="D34" s="4">
        <v>1493</v>
      </c>
      <c r="E34" s="4">
        <v>1250</v>
      </c>
    </row>
    <row r="35" spans="1:5" ht="21.75" customHeight="1" x14ac:dyDescent="0.25">
      <c r="A35" s="4">
        <v>20</v>
      </c>
      <c r="B35" s="4" t="s">
        <v>208</v>
      </c>
      <c r="C35" s="4">
        <v>3255</v>
      </c>
      <c r="D35" s="4">
        <v>1531</v>
      </c>
      <c r="E35" s="4">
        <v>1724</v>
      </c>
    </row>
    <row r="36" spans="1:5" ht="21.75" customHeight="1" x14ac:dyDescent="0.25">
      <c r="A36" s="4">
        <v>21</v>
      </c>
      <c r="B36" s="4" t="s">
        <v>209</v>
      </c>
      <c r="C36" s="4">
        <v>4861</v>
      </c>
      <c r="D36" s="4">
        <v>2518</v>
      </c>
      <c r="E36" s="4">
        <v>2343</v>
      </c>
    </row>
    <row r="37" spans="1:5" ht="21.75" customHeight="1" x14ac:dyDescent="0.25">
      <c r="A37" s="4">
        <v>22</v>
      </c>
      <c r="B37" s="4" t="s">
        <v>210</v>
      </c>
      <c r="C37" s="4">
        <v>3285</v>
      </c>
      <c r="D37" s="4">
        <v>1638</v>
      </c>
      <c r="E37" s="4">
        <v>1647</v>
      </c>
    </row>
    <row r="38" spans="1:5" ht="21.75" customHeight="1" x14ac:dyDescent="0.25">
      <c r="A38" s="4">
        <v>23</v>
      </c>
      <c r="B38" s="4" t="s">
        <v>211</v>
      </c>
      <c r="C38" s="4">
        <v>5036</v>
      </c>
      <c r="D38" s="4">
        <v>2493</v>
      </c>
      <c r="E38" s="4">
        <v>2543</v>
      </c>
    </row>
    <row r="39" spans="1:5" ht="21.75" customHeight="1" x14ac:dyDescent="0.25">
      <c r="A39" s="4">
        <v>24</v>
      </c>
      <c r="B39" s="4" t="s">
        <v>212</v>
      </c>
      <c r="C39" s="4">
        <v>1790</v>
      </c>
      <c r="D39" s="4">
        <v>891</v>
      </c>
      <c r="E39" s="4">
        <v>899</v>
      </c>
    </row>
    <row r="40" spans="1:5" ht="21.75" customHeight="1" x14ac:dyDescent="0.25">
      <c r="A40" s="4">
        <v>25</v>
      </c>
      <c r="B40" s="4" t="s">
        <v>213</v>
      </c>
      <c r="C40" s="4">
        <v>3682</v>
      </c>
      <c r="D40" s="4">
        <v>1803</v>
      </c>
      <c r="E40" s="4">
        <v>1879</v>
      </c>
    </row>
    <row r="41" spans="1:5" ht="21.75" customHeight="1" x14ac:dyDescent="0.25">
      <c r="A41" s="4">
        <v>26</v>
      </c>
      <c r="B41" s="4" t="s">
        <v>214</v>
      </c>
      <c r="C41" s="4">
        <v>3832</v>
      </c>
      <c r="D41" s="4">
        <v>1889</v>
      </c>
      <c r="E41" s="4">
        <v>1943</v>
      </c>
    </row>
    <row r="42" spans="1:5" ht="21.75" customHeight="1" x14ac:dyDescent="0.25">
      <c r="A42" s="4">
        <v>27</v>
      </c>
      <c r="B42" s="4" t="s">
        <v>215</v>
      </c>
      <c r="C42" s="4">
        <v>5813</v>
      </c>
      <c r="D42" s="4">
        <v>2852</v>
      </c>
      <c r="E42" s="4">
        <v>2961</v>
      </c>
    </row>
    <row r="43" spans="1:5" ht="21.75" customHeight="1" x14ac:dyDescent="0.25">
      <c r="A43" s="4">
        <v>28</v>
      </c>
      <c r="B43" s="4" t="s">
        <v>216</v>
      </c>
      <c r="C43" s="4">
        <v>2996</v>
      </c>
      <c r="D43" s="4">
        <v>1412</v>
      </c>
      <c r="E43" s="4">
        <v>1584</v>
      </c>
    </row>
    <row r="44" spans="1:5" ht="21.75" customHeight="1" x14ac:dyDescent="0.25">
      <c r="A44" s="4">
        <v>29</v>
      </c>
      <c r="B44" s="4" t="s">
        <v>217</v>
      </c>
      <c r="C44" s="4">
        <v>3220</v>
      </c>
      <c r="D44" s="4">
        <v>1714</v>
      </c>
      <c r="E44" s="4">
        <v>1506</v>
      </c>
    </row>
    <row r="45" spans="1:5" ht="21.75" customHeight="1" x14ac:dyDescent="0.25">
      <c r="A45" s="4">
        <v>30</v>
      </c>
      <c r="B45" s="4" t="s">
        <v>189</v>
      </c>
      <c r="C45" s="4">
        <v>88</v>
      </c>
      <c r="D45" s="4">
        <v>39</v>
      </c>
      <c r="E45" s="4">
        <v>49</v>
      </c>
    </row>
    <row r="46" spans="1:5" ht="15.75" x14ac:dyDescent="0.25">
      <c r="A46" s="5"/>
      <c r="B46" s="24"/>
      <c r="C46" s="24"/>
      <c r="D46" s="24"/>
      <c r="E46" s="24"/>
    </row>
    <row r="47" spans="1:5" ht="15.75" x14ac:dyDescent="0.25">
      <c r="A47" s="3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 Mohnyin District,  Mohnyin Township"/>
  </hyperlinks>
  <pageMargins left="0.75" right="0.5" top="0.5" bottom="0.2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sqref="A1:E1"/>
    </sheetView>
  </sheetViews>
  <sheetFormatPr defaultRowHeight="15" x14ac:dyDescent="0.25"/>
  <cols>
    <col min="1" max="1" width="9.140625" style="17"/>
    <col min="2" max="2" width="26.85546875" style="17" bestFit="1" customWidth="1"/>
    <col min="3" max="5" width="15.7109375" style="17" customWidth="1"/>
    <col min="6" max="16384" width="9.140625" style="17"/>
  </cols>
  <sheetData>
    <row r="1" spans="1:6" s="1" customFormat="1" ht="25.5" customHeight="1" x14ac:dyDescent="0.35">
      <c r="A1" s="42" t="s">
        <v>534</v>
      </c>
      <c r="B1" s="42"/>
      <c r="C1" s="42"/>
      <c r="D1" s="42"/>
      <c r="E1" s="42"/>
      <c r="F1" s="22"/>
    </row>
    <row r="2" spans="1:6" s="1" customFormat="1" ht="25.5" customHeight="1" x14ac:dyDescent="0.35">
      <c r="A2" s="23"/>
      <c r="B2" s="22"/>
      <c r="E2" s="18" t="s">
        <v>526</v>
      </c>
      <c r="F2" s="22"/>
    </row>
    <row r="3" spans="1:6" s="1" customFormat="1" ht="25.5" customHeight="1" x14ac:dyDescent="0.35">
      <c r="A3" s="23"/>
      <c r="B3" s="22"/>
      <c r="E3" s="18"/>
      <c r="F3" s="22"/>
    </row>
    <row r="4" spans="1:6" s="1" customFormat="1" ht="21" x14ac:dyDescent="0.35">
      <c r="A4" s="39" t="s">
        <v>527</v>
      </c>
      <c r="B4" s="39" t="s">
        <v>560</v>
      </c>
      <c r="C4" s="39" t="s">
        <v>523</v>
      </c>
      <c r="D4" s="39"/>
      <c r="E4" s="39"/>
      <c r="F4" s="22"/>
    </row>
    <row r="5" spans="1:6" s="1" customFormat="1" ht="21" x14ac:dyDescent="0.35">
      <c r="A5" s="43"/>
      <c r="B5" s="43"/>
      <c r="C5" s="19" t="s">
        <v>0</v>
      </c>
      <c r="D5" s="19" t="s">
        <v>1</v>
      </c>
      <c r="E5" s="19" t="s">
        <v>2</v>
      </c>
    </row>
    <row r="6" spans="1:6" s="1" customFormat="1" ht="21.75" customHeight="1" x14ac:dyDescent="0.35">
      <c r="A6" s="4"/>
      <c r="B6" s="6" t="s">
        <v>558</v>
      </c>
      <c r="C6" s="9">
        <f>C8+C16</f>
        <v>132608</v>
      </c>
      <c r="D6" s="9">
        <f t="shared" ref="D6:E6" si="0">D8+D16</f>
        <v>63501</v>
      </c>
      <c r="E6" s="9">
        <f t="shared" si="0"/>
        <v>69107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SUM(C9:C14)</f>
        <v>25012</v>
      </c>
      <c r="D8" s="6">
        <f t="shared" ref="D8:E8" si="1">SUM(D9:D14)</f>
        <v>11604</v>
      </c>
      <c r="E8" s="6">
        <f t="shared" si="1"/>
        <v>13408</v>
      </c>
    </row>
    <row r="9" spans="1:6" ht="21.75" customHeight="1" x14ac:dyDescent="0.25">
      <c r="A9" s="4">
        <v>1</v>
      </c>
      <c r="B9" s="4" t="s">
        <v>218</v>
      </c>
      <c r="C9" s="4">
        <v>1913</v>
      </c>
      <c r="D9" s="4">
        <v>895</v>
      </c>
      <c r="E9" s="4">
        <v>1018</v>
      </c>
    </row>
    <row r="10" spans="1:6" ht="21.75" customHeight="1" x14ac:dyDescent="0.25">
      <c r="A10" s="4">
        <v>2</v>
      </c>
      <c r="B10" s="4" t="s">
        <v>219</v>
      </c>
      <c r="C10" s="4">
        <v>9456</v>
      </c>
      <c r="D10" s="4">
        <v>4504</v>
      </c>
      <c r="E10" s="4">
        <v>4952</v>
      </c>
    </row>
    <row r="11" spans="1:6" ht="21.75" customHeight="1" x14ac:dyDescent="0.25">
      <c r="A11" s="4">
        <v>3</v>
      </c>
      <c r="B11" s="4" t="s">
        <v>220</v>
      </c>
      <c r="C11" s="4">
        <v>998</v>
      </c>
      <c r="D11" s="4">
        <v>417</v>
      </c>
      <c r="E11" s="4">
        <v>581</v>
      </c>
    </row>
    <row r="12" spans="1:6" ht="21.75" customHeight="1" x14ac:dyDescent="0.25">
      <c r="A12" s="4">
        <v>4</v>
      </c>
      <c r="B12" s="4" t="s">
        <v>221</v>
      </c>
      <c r="C12" s="4">
        <v>860</v>
      </c>
      <c r="D12" s="4">
        <v>357</v>
      </c>
      <c r="E12" s="4">
        <v>503</v>
      </c>
    </row>
    <row r="13" spans="1:6" ht="21.75" customHeight="1" x14ac:dyDescent="0.25">
      <c r="A13" s="4">
        <v>5</v>
      </c>
      <c r="B13" s="4" t="s">
        <v>222</v>
      </c>
      <c r="C13" s="4">
        <v>5879</v>
      </c>
      <c r="D13" s="4">
        <v>2719</v>
      </c>
      <c r="E13" s="4">
        <v>3160</v>
      </c>
    </row>
    <row r="14" spans="1:6" ht="21.75" customHeight="1" x14ac:dyDescent="0.25">
      <c r="A14" s="4">
        <v>6</v>
      </c>
      <c r="B14" s="4" t="s">
        <v>223</v>
      </c>
      <c r="C14" s="4">
        <v>5906</v>
      </c>
      <c r="D14" s="4">
        <v>2712</v>
      </c>
      <c r="E14" s="4">
        <v>3194</v>
      </c>
    </row>
    <row r="15" spans="1:6" ht="21.75" customHeight="1" x14ac:dyDescent="0.25">
      <c r="A15" s="4"/>
      <c r="B15" s="4"/>
      <c r="C15" s="4"/>
      <c r="D15" s="4"/>
      <c r="E15" s="4"/>
    </row>
    <row r="16" spans="1:6" ht="21.75" customHeight="1" x14ac:dyDescent="0.25">
      <c r="A16" s="4"/>
      <c r="B16" s="20" t="s">
        <v>559</v>
      </c>
      <c r="C16" s="6">
        <f>SUM(C17:C54)</f>
        <v>107596</v>
      </c>
      <c r="D16" s="6">
        <f t="shared" ref="D16:E16" si="2">SUM(D17:D54)</f>
        <v>51897</v>
      </c>
      <c r="E16" s="6">
        <f t="shared" si="2"/>
        <v>55699</v>
      </c>
    </row>
    <row r="17" spans="1:5" ht="21.75" customHeight="1" x14ac:dyDescent="0.25">
      <c r="A17" s="4">
        <v>1</v>
      </c>
      <c r="B17" s="4" t="s">
        <v>224</v>
      </c>
      <c r="C17" s="4">
        <v>2139</v>
      </c>
      <c r="D17" s="4">
        <v>931</v>
      </c>
      <c r="E17" s="4">
        <v>1208</v>
      </c>
    </row>
    <row r="18" spans="1:5" ht="21.75" customHeight="1" x14ac:dyDescent="0.25">
      <c r="A18" s="4">
        <v>2</v>
      </c>
      <c r="B18" s="4" t="s">
        <v>225</v>
      </c>
      <c r="C18" s="4">
        <v>5914</v>
      </c>
      <c r="D18" s="4">
        <v>2843</v>
      </c>
      <c r="E18" s="4">
        <v>3071</v>
      </c>
    </row>
    <row r="19" spans="1:5" ht="21.75" customHeight="1" x14ac:dyDescent="0.25">
      <c r="A19" s="4">
        <v>3</v>
      </c>
      <c r="B19" s="4" t="s">
        <v>226</v>
      </c>
      <c r="C19" s="4">
        <v>519</v>
      </c>
      <c r="D19" s="4">
        <v>228</v>
      </c>
      <c r="E19" s="4">
        <v>291</v>
      </c>
    </row>
    <row r="20" spans="1:5" ht="21.75" customHeight="1" x14ac:dyDescent="0.25">
      <c r="A20" s="4">
        <v>4</v>
      </c>
      <c r="B20" s="4" t="s">
        <v>227</v>
      </c>
      <c r="C20" s="4">
        <v>1209</v>
      </c>
      <c r="D20" s="4">
        <v>571</v>
      </c>
      <c r="E20" s="4">
        <v>638</v>
      </c>
    </row>
    <row r="21" spans="1:5" ht="21.75" customHeight="1" x14ac:dyDescent="0.25">
      <c r="A21" s="4">
        <v>5</v>
      </c>
      <c r="B21" s="4" t="s">
        <v>228</v>
      </c>
      <c r="C21" s="4">
        <v>4012</v>
      </c>
      <c r="D21" s="4">
        <v>2073</v>
      </c>
      <c r="E21" s="4">
        <v>1939</v>
      </c>
    </row>
    <row r="22" spans="1:5" ht="21.75" customHeight="1" x14ac:dyDescent="0.25">
      <c r="A22" s="4">
        <v>6</v>
      </c>
      <c r="B22" s="4" t="s">
        <v>229</v>
      </c>
      <c r="C22" s="4">
        <v>3419</v>
      </c>
      <c r="D22" s="4">
        <v>1704</v>
      </c>
      <c r="E22" s="4">
        <v>1715</v>
      </c>
    </row>
    <row r="23" spans="1:5" ht="21.75" customHeight="1" x14ac:dyDescent="0.25">
      <c r="A23" s="4">
        <v>7</v>
      </c>
      <c r="B23" s="4" t="s">
        <v>230</v>
      </c>
      <c r="C23" s="4">
        <v>1186</v>
      </c>
      <c r="D23" s="4">
        <v>594</v>
      </c>
      <c r="E23" s="4">
        <v>592</v>
      </c>
    </row>
    <row r="24" spans="1:5" ht="21.75" customHeight="1" x14ac:dyDescent="0.25">
      <c r="A24" s="4">
        <v>8</v>
      </c>
      <c r="B24" s="4" t="s">
        <v>231</v>
      </c>
      <c r="C24" s="4">
        <v>3709</v>
      </c>
      <c r="D24" s="4">
        <v>1806</v>
      </c>
      <c r="E24" s="4">
        <v>1903</v>
      </c>
    </row>
    <row r="25" spans="1:5" ht="21.75" customHeight="1" x14ac:dyDescent="0.25">
      <c r="A25" s="4">
        <v>9</v>
      </c>
      <c r="B25" s="4" t="s">
        <v>197</v>
      </c>
      <c r="C25" s="4">
        <v>676</v>
      </c>
      <c r="D25" s="4">
        <v>350</v>
      </c>
      <c r="E25" s="4">
        <v>326</v>
      </c>
    </row>
    <row r="26" spans="1:5" ht="21.75" customHeight="1" x14ac:dyDescent="0.25">
      <c r="A26" s="4">
        <v>10</v>
      </c>
      <c r="B26" s="4" t="s">
        <v>232</v>
      </c>
      <c r="C26" s="4">
        <v>514</v>
      </c>
      <c r="D26" s="4">
        <v>243</v>
      </c>
      <c r="E26" s="4">
        <v>271</v>
      </c>
    </row>
    <row r="27" spans="1:5" ht="21.75" customHeight="1" x14ac:dyDescent="0.25">
      <c r="A27" s="4">
        <v>11</v>
      </c>
      <c r="B27" s="4" t="s">
        <v>233</v>
      </c>
      <c r="C27" s="4">
        <v>2707</v>
      </c>
      <c r="D27" s="4">
        <v>1295</v>
      </c>
      <c r="E27" s="4">
        <v>1412</v>
      </c>
    </row>
    <row r="28" spans="1:5" ht="21.75" customHeight="1" x14ac:dyDescent="0.25">
      <c r="A28" s="4">
        <v>12</v>
      </c>
      <c r="B28" s="4" t="s">
        <v>234</v>
      </c>
      <c r="C28" s="4">
        <v>1303</v>
      </c>
      <c r="D28" s="4">
        <v>654</v>
      </c>
      <c r="E28" s="4">
        <v>649</v>
      </c>
    </row>
    <row r="29" spans="1:5" ht="21.75" customHeight="1" x14ac:dyDescent="0.25">
      <c r="A29" s="4">
        <v>13</v>
      </c>
      <c r="B29" s="4" t="s">
        <v>235</v>
      </c>
      <c r="C29" s="4">
        <v>596</v>
      </c>
      <c r="D29" s="4">
        <v>309</v>
      </c>
      <c r="E29" s="4">
        <v>287</v>
      </c>
    </row>
    <row r="30" spans="1:5" ht="21.75" customHeight="1" x14ac:dyDescent="0.25">
      <c r="A30" s="4">
        <v>14</v>
      </c>
      <c r="B30" s="4" t="s">
        <v>236</v>
      </c>
      <c r="C30" s="4">
        <v>902</v>
      </c>
      <c r="D30" s="4">
        <v>473</v>
      </c>
      <c r="E30" s="4">
        <v>429</v>
      </c>
    </row>
    <row r="31" spans="1:5" ht="21.75" customHeight="1" x14ac:dyDescent="0.25">
      <c r="A31" s="4">
        <v>15</v>
      </c>
      <c r="B31" s="4" t="s">
        <v>237</v>
      </c>
      <c r="C31" s="4">
        <v>698</v>
      </c>
      <c r="D31" s="4">
        <v>325</v>
      </c>
      <c r="E31" s="4">
        <v>373</v>
      </c>
    </row>
    <row r="32" spans="1:5" ht="21.75" customHeight="1" x14ac:dyDescent="0.25">
      <c r="A32" s="4">
        <v>16</v>
      </c>
      <c r="B32" s="4" t="s">
        <v>238</v>
      </c>
      <c r="C32" s="4">
        <v>631</v>
      </c>
      <c r="D32" s="4">
        <v>316</v>
      </c>
      <c r="E32" s="4">
        <v>315</v>
      </c>
    </row>
    <row r="33" spans="1:5" ht="21.75" customHeight="1" x14ac:dyDescent="0.25">
      <c r="A33" s="4">
        <v>17</v>
      </c>
      <c r="B33" s="4" t="s">
        <v>239</v>
      </c>
      <c r="C33" s="4">
        <v>12239</v>
      </c>
      <c r="D33" s="4">
        <v>5923</v>
      </c>
      <c r="E33" s="4">
        <v>6316</v>
      </c>
    </row>
    <row r="34" spans="1:5" ht="21.75" customHeight="1" x14ac:dyDescent="0.25">
      <c r="A34" s="4">
        <v>18</v>
      </c>
      <c r="B34" s="4" t="s">
        <v>240</v>
      </c>
      <c r="C34" s="4">
        <v>321</v>
      </c>
      <c r="D34" s="4">
        <v>158</v>
      </c>
      <c r="E34" s="4">
        <v>163</v>
      </c>
    </row>
    <row r="35" spans="1:5" ht="21.75" customHeight="1" x14ac:dyDescent="0.25">
      <c r="A35" s="4">
        <v>19</v>
      </c>
      <c r="B35" s="4" t="s">
        <v>241</v>
      </c>
      <c r="C35" s="4">
        <v>3613</v>
      </c>
      <c r="D35" s="4">
        <v>1717</v>
      </c>
      <c r="E35" s="4">
        <v>1896</v>
      </c>
    </row>
    <row r="36" spans="1:5" ht="21.75" customHeight="1" x14ac:dyDescent="0.25">
      <c r="A36" s="4">
        <v>20</v>
      </c>
      <c r="B36" s="4" t="s">
        <v>242</v>
      </c>
      <c r="C36" s="4">
        <v>2689</v>
      </c>
      <c r="D36" s="4">
        <v>1252</v>
      </c>
      <c r="E36" s="4">
        <v>1437</v>
      </c>
    </row>
    <row r="37" spans="1:5" ht="21.75" customHeight="1" x14ac:dyDescent="0.25">
      <c r="A37" s="4">
        <v>21</v>
      </c>
      <c r="B37" s="4" t="s">
        <v>243</v>
      </c>
      <c r="C37" s="4">
        <v>1053</v>
      </c>
      <c r="D37" s="4">
        <v>492</v>
      </c>
      <c r="E37" s="4">
        <v>561</v>
      </c>
    </row>
    <row r="38" spans="1:5" ht="21.75" customHeight="1" x14ac:dyDescent="0.25">
      <c r="A38" s="4">
        <v>22</v>
      </c>
      <c r="B38" s="4" t="s">
        <v>244</v>
      </c>
      <c r="C38" s="4">
        <v>1315</v>
      </c>
      <c r="D38" s="4">
        <v>601</v>
      </c>
      <c r="E38" s="4">
        <v>714</v>
      </c>
    </row>
    <row r="39" spans="1:5" ht="21.75" customHeight="1" x14ac:dyDescent="0.25">
      <c r="A39" s="4">
        <v>23</v>
      </c>
      <c r="B39" s="4" t="s">
        <v>245</v>
      </c>
      <c r="C39" s="4">
        <v>1733</v>
      </c>
      <c r="D39" s="4">
        <v>790</v>
      </c>
      <c r="E39" s="4">
        <v>943</v>
      </c>
    </row>
    <row r="40" spans="1:5" ht="21.75" customHeight="1" x14ac:dyDescent="0.25">
      <c r="A40" s="4">
        <v>24</v>
      </c>
      <c r="B40" s="4" t="s">
        <v>246</v>
      </c>
      <c r="C40" s="4">
        <v>1371</v>
      </c>
      <c r="D40" s="4">
        <v>616</v>
      </c>
      <c r="E40" s="4">
        <v>755</v>
      </c>
    </row>
    <row r="41" spans="1:5" ht="21.75" customHeight="1" x14ac:dyDescent="0.25">
      <c r="A41" s="4">
        <v>25</v>
      </c>
      <c r="B41" s="4" t="s">
        <v>247</v>
      </c>
      <c r="C41" s="4">
        <v>8199</v>
      </c>
      <c r="D41" s="4">
        <v>3787</v>
      </c>
      <c r="E41" s="4">
        <v>4412</v>
      </c>
    </row>
    <row r="42" spans="1:5" ht="21.75" customHeight="1" x14ac:dyDescent="0.25">
      <c r="A42" s="4">
        <v>26</v>
      </c>
      <c r="B42" s="4" t="s">
        <v>248</v>
      </c>
      <c r="C42" s="4">
        <v>2442</v>
      </c>
      <c r="D42" s="4">
        <v>1124</v>
      </c>
      <c r="E42" s="4">
        <v>1318</v>
      </c>
    </row>
    <row r="43" spans="1:5" ht="21.75" customHeight="1" x14ac:dyDescent="0.25">
      <c r="A43" s="4">
        <v>27</v>
      </c>
      <c r="B43" s="4" t="s">
        <v>249</v>
      </c>
      <c r="C43" s="4">
        <v>2278</v>
      </c>
      <c r="D43" s="4">
        <v>1104</v>
      </c>
      <c r="E43" s="4">
        <v>1174</v>
      </c>
    </row>
    <row r="44" spans="1:5" ht="21.75" customHeight="1" x14ac:dyDescent="0.25">
      <c r="A44" s="4">
        <v>28</v>
      </c>
      <c r="B44" s="4" t="s">
        <v>250</v>
      </c>
      <c r="C44" s="4">
        <v>2970</v>
      </c>
      <c r="D44" s="4">
        <v>1442</v>
      </c>
      <c r="E44" s="4">
        <v>1528</v>
      </c>
    </row>
    <row r="45" spans="1:5" ht="21.75" customHeight="1" x14ac:dyDescent="0.25">
      <c r="A45" s="4">
        <v>29</v>
      </c>
      <c r="B45" s="4" t="s">
        <v>251</v>
      </c>
      <c r="C45" s="4">
        <v>15818</v>
      </c>
      <c r="D45" s="4">
        <v>7524</v>
      </c>
      <c r="E45" s="4">
        <v>8294</v>
      </c>
    </row>
    <row r="46" spans="1:5" ht="21.75" customHeight="1" x14ac:dyDescent="0.25">
      <c r="A46" s="4">
        <v>30</v>
      </c>
      <c r="B46" s="4" t="s">
        <v>252</v>
      </c>
      <c r="C46" s="4">
        <v>3430</v>
      </c>
      <c r="D46" s="4">
        <v>1843</v>
      </c>
      <c r="E46" s="4">
        <v>1587</v>
      </c>
    </row>
    <row r="47" spans="1:5" ht="21.75" customHeight="1" x14ac:dyDescent="0.25">
      <c r="A47" s="4">
        <v>31</v>
      </c>
      <c r="B47" s="4" t="s">
        <v>253</v>
      </c>
      <c r="C47" s="4">
        <v>2251</v>
      </c>
      <c r="D47" s="4">
        <v>1056</v>
      </c>
      <c r="E47" s="4">
        <v>1195</v>
      </c>
    </row>
    <row r="48" spans="1:5" ht="21.75" customHeight="1" x14ac:dyDescent="0.25">
      <c r="A48" s="4">
        <v>32</v>
      </c>
      <c r="B48" s="4" t="s">
        <v>254</v>
      </c>
      <c r="C48" s="4">
        <v>3175</v>
      </c>
      <c r="D48" s="4">
        <v>1526</v>
      </c>
      <c r="E48" s="4">
        <v>1649</v>
      </c>
    </row>
    <row r="49" spans="1:5" ht="21.75" customHeight="1" x14ac:dyDescent="0.25">
      <c r="A49" s="4">
        <v>33</v>
      </c>
      <c r="B49" s="4" t="s">
        <v>255</v>
      </c>
      <c r="C49" s="4">
        <v>167</v>
      </c>
      <c r="D49" s="4">
        <v>85</v>
      </c>
      <c r="E49" s="4">
        <v>82</v>
      </c>
    </row>
    <row r="50" spans="1:5" ht="21.75" customHeight="1" x14ac:dyDescent="0.25">
      <c r="A50" s="4">
        <v>34</v>
      </c>
      <c r="B50" s="4" t="s">
        <v>256</v>
      </c>
      <c r="C50" s="4">
        <v>1603</v>
      </c>
      <c r="D50" s="4">
        <v>788</v>
      </c>
      <c r="E50" s="4">
        <v>815</v>
      </c>
    </row>
    <row r="51" spans="1:5" ht="21.75" customHeight="1" x14ac:dyDescent="0.25">
      <c r="A51" s="4">
        <v>35</v>
      </c>
      <c r="B51" s="4" t="s">
        <v>257</v>
      </c>
      <c r="C51" s="4">
        <v>6143</v>
      </c>
      <c r="D51" s="4">
        <v>2986</v>
      </c>
      <c r="E51" s="4">
        <v>3157</v>
      </c>
    </row>
    <row r="52" spans="1:5" ht="21.75" customHeight="1" x14ac:dyDescent="0.25">
      <c r="A52" s="4">
        <v>36</v>
      </c>
      <c r="B52" s="4" t="s">
        <v>258</v>
      </c>
      <c r="C52" s="4">
        <v>1103</v>
      </c>
      <c r="D52" s="4">
        <v>540</v>
      </c>
      <c r="E52" s="4">
        <v>563</v>
      </c>
    </row>
    <row r="53" spans="1:5" ht="21.75" customHeight="1" x14ac:dyDescent="0.25">
      <c r="A53" s="4">
        <v>37</v>
      </c>
      <c r="B53" s="4" t="s">
        <v>259</v>
      </c>
      <c r="C53" s="4">
        <v>3535</v>
      </c>
      <c r="D53" s="4">
        <v>1818</v>
      </c>
      <c r="E53" s="4">
        <v>1717</v>
      </c>
    </row>
    <row r="54" spans="1:5" ht="21.75" customHeight="1" x14ac:dyDescent="0.25">
      <c r="A54" s="4">
        <v>38</v>
      </c>
      <c r="B54" s="4" t="s">
        <v>260</v>
      </c>
      <c r="C54" s="4">
        <v>14</v>
      </c>
      <c r="D54" s="4">
        <v>10</v>
      </c>
      <c r="E54" s="4">
        <v>4</v>
      </c>
    </row>
    <row r="55" spans="1:5" ht="15.75" x14ac:dyDescent="0.25">
      <c r="A55" s="5"/>
      <c r="B55" s="5"/>
      <c r="C55" s="5"/>
      <c r="D55" s="5"/>
      <c r="E55" s="5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 Mohnyin District, Mogaung Township"/>
  </hyperlinks>
  <pageMargins left="0.75" right="0.5" top="0.5" bottom="0.2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sqref="A1:E1"/>
    </sheetView>
  </sheetViews>
  <sheetFormatPr defaultRowHeight="15.75" x14ac:dyDescent="0.25"/>
  <cols>
    <col min="1" max="1" width="9.140625" style="3"/>
    <col min="2" max="2" width="28.28515625" style="17" bestFit="1" customWidth="1"/>
    <col min="3" max="5" width="15.7109375" style="17" customWidth="1"/>
    <col min="6" max="16384" width="9.140625" style="17"/>
  </cols>
  <sheetData>
    <row r="1" spans="1:6" s="1" customFormat="1" ht="25.5" customHeight="1" x14ac:dyDescent="0.35">
      <c r="A1" s="42" t="s">
        <v>535</v>
      </c>
      <c r="B1" s="42"/>
      <c r="C1" s="42"/>
      <c r="D1" s="42"/>
      <c r="E1" s="42"/>
      <c r="F1" s="22"/>
    </row>
    <row r="2" spans="1:6" s="1" customFormat="1" ht="30" customHeight="1" x14ac:dyDescent="0.35">
      <c r="A2" s="27"/>
      <c r="B2" s="22"/>
      <c r="E2" s="18" t="s">
        <v>526</v>
      </c>
      <c r="F2" s="22"/>
    </row>
    <row r="3" spans="1:6" s="1" customFormat="1" ht="21.75" customHeight="1" x14ac:dyDescent="0.35">
      <c r="A3" s="27"/>
      <c r="B3" s="22"/>
      <c r="E3" s="18"/>
      <c r="F3" s="22"/>
    </row>
    <row r="4" spans="1:6" s="1" customFormat="1" ht="21" x14ac:dyDescent="0.35">
      <c r="A4" s="39" t="s">
        <v>527</v>
      </c>
      <c r="B4" s="39" t="s">
        <v>560</v>
      </c>
      <c r="C4" s="39" t="s">
        <v>523</v>
      </c>
      <c r="D4" s="39"/>
      <c r="E4" s="39"/>
      <c r="F4" s="22"/>
    </row>
    <row r="5" spans="1:6" s="1" customFormat="1" ht="21" x14ac:dyDescent="0.35">
      <c r="A5" s="43"/>
      <c r="B5" s="43"/>
      <c r="C5" s="19" t="s">
        <v>0</v>
      </c>
      <c r="D5" s="19" t="s">
        <v>1</v>
      </c>
      <c r="E5" s="19" t="s">
        <v>2</v>
      </c>
    </row>
    <row r="6" spans="1:6" s="1" customFormat="1" ht="21.75" customHeight="1" x14ac:dyDescent="0.35">
      <c r="A6" s="4"/>
      <c r="B6" s="6" t="s">
        <v>558</v>
      </c>
      <c r="C6" s="9">
        <f>C8+C15</f>
        <v>312278</v>
      </c>
      <c r="D6" s="9">
        <f t="shared" ref="D6:E6" si="0">D8+D15</f>
        <v>201033</v>
      </c>
      <c r="E6" s="9">
        <f t="shared" si="0"/>
        <v>111245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SUM(C9:C13)</f>
        <v>60123</v>
      </c>
      <c r="D8" s="6">
        <f t="shared" ref="D8:E8" si="1">SUM(D9:D13)</f>
        <v>39992</v>
      </c>
      <c r="E8" s="6">
        <f t="shared" si="1"/>
        <v>20131</v>
      </c>
    </row>
    <row r="9" spans="1:6" ht="21.75" customHeight="1" x14ac:dyDescent="0.25">
      <c r="A9" s="4">
        <v>1</v>
      </c>
      <c r="B9" s="4" t="s">
        <v>261</v>
      </c>
      <c r="C9" s="4">
        <v>24344</v>
      </c>
      <c r="D9" s="4">
        <v>15922</v>
      </c>
      <c r="E9" s="4">
        <v>8422</v>
      </c>
    </row>
    <row r="10" spans="1:6" ht="21.75" customHeight="1" x14ac:dyDescent="0.25">
      <c r="A10" s="4">
        <v>2</v>
      </c>
      <c r="B10" s="4" t="s">
        <v>262</v>
      </c>
      <c r="C10" s="4">
        <v>3183</v>
      </c>
      <c r="D10" s="4">
        <v>1649</v>
      </c>
      <c r="E10" s="4">
        <v>1534</v>
      </c>
    </row>
    <row r="11" spans="1:6" ht="21.75" customHeight="1" x14ac:dyDescent="0.25">
      <c r="A11" s="4">
        <v>3</v>
      </c>
      <c r="B11" s="4" t="s">
        <v>7</v>
      </c>
      <c r="C11" s="4">
        <v>3299</v>
      </c>
      <c r="D11" s="4">
        <v>1779</v>
      </c>
      <c r="E11" s="4">
        <v>1520</v>
      </c>
    </row>
    <row r="12" spans="1:6" ht="21.75" customHeight="1" x14ac:dyDescent="0.25">
      <c r="A12" s="4">
        <v>4</v>
      </c>
      <c r="B12" s="4" t="s">
        <v>263</v>
      </c>
      <c r="C12" s="4">
        <v>20704</v>
      </c>
      <c r="D12" s="4">
        <v>15417</v>
      </c>
      <c r="E12" s="4">
        <v>5287</v>
      </c>
    </row>
    <row r="13" spans="1:6" ht="21.75" customHeight="1" x14ac:dyDescent="0.25">
      <c r="A13" s="4">
        <v>5</v>
      </c>
      <c r="B13" s="4" t="s">
        <v>264</v>
      </c>
      <c r="C13" s="4">
        <v>8593</v>
      </c>
      <c r="D13" s="4">
        <v>5225</v>
      </c>
      <c r="E13" s="4">
        <v>3368</v>
      </c>
    </row>
    <row r="14" spans="1:6" ht="21.75" customHeight="1" x14ac:dyDescent="0.25">
      <c r="A14" s="4"/>
      <c r="B14" s="4"/>
      <c r="C14" s="4"/>
      <c r="D14" s="4"/>
      <c r="E14" s="4"/>
    </row>
    <row r="15" spans="1:6" ht="21.75" customHeight="1" x14ac:dyDescent="0.25">
      <c r="A15" s="4"/>
      <c r="B15" s="20" t="s">
        <v>559</v>
      </c>
      <c r="C15" s="6">
        <f>SUM(C16:C24)</f>
        <v>252155</v>
      </c>
      <c r="D15" s="6">
        <f t="shared" ref="D15:E15" si="2">SUM(D16:D24)</f>
        <v>161041</v>
      </c>
      <c r="E15" s="6">
        <f t="shared" si="2"/>
        <v>91114</v>
      </c>
    </row>
    <row r="16" spans="1:6" ht="21.75" customHeight="1" x14ac:dyDescent="0.25">
      <c r="A16" s="4">
        <v>1</v>
      </c>
      <c r="B16" s="4" t="s">
        <v>265</v>
      </c>
      <c r="C16" s="4">
        <v>63958</v>
      </c>
      <c r="D16" s="4">
        <v>40520</v>
      </c>
      <c r="E16" s="4">
        <v>23438</v>
      </c>
    </row>
    <row r="17" spans="1:5" ht="21.75" customHeight="1" x14ac:dyDescent="0.25">
      <c r="A17" s="4">
        <v>2</v>
      </c>
      <c r="B17" s="4" t="s">
        <v>266</v>
      </c>
      <c r="C17" s="4">
        <v>7524</v>
      </c>
      <c r="D17" s="4">
        <v>4916</v>
      </c>
      <c r="E17" s="4">
        <v>2608</v>
      </c>
    </row>
    <row r="18" spans="1:5" ht="21.75" customHeight="1" x14ac:dyDescent="0.25">
      <c r="A18" s="4">
        <v>3</v>
      </c>
      <c r="B18" s="4" t="s">
        <v>267</v>
      </c>
      <c r="C18" s="4">
        <v>103804</v>
      </c>
      <c r="D18" s="4">
        <v>71884</v>
      </c>
      <c r="E18" s="4">
        <v>31920</v>
      </c>
    </row>
    <row r="19" spans="1:5" ht="21.75" customHeight="1" x14ac:dyDescent="0.25">
      <c r="A19" s="4">
        <v>4</v>
      </c>
      <c r="B19" s="4" t="s">
        <v>268</v>
      </c>
      <c r="C19" s="4">
        <v>52415</v>
      </c>
      <c r="D19" s="4">
        <v>30994</v>
      </c>
      <c r="E19" s="4">
        <v>21421</v>
      </c>
    </row>
    <row r="20" spans="1:5" ht="21.75" customHeight="1" x14ac:dyDescent="0.25">
      <c r="A20" s="4">
        <v>5</v>
      </c>
      <c r="B20" s="4" t="s">
        <v>269</v>
      </c>
      <c r="C20" s="4">
        <v>821</v>
      </c>
      <c r="D20" s="4">
        <v>402</v>
      </c>
      <c r="E20" s="4">
        <v>419</v>
      </c>
    </row>
    <row r="21" spans="1:5" ht="21.75" customHeight="1" x14ac:dyDescent="0.25">
      <c r="A21" s="4">
        <v>6</v>
      </c>
      <c r="B21" s="4" t="s">
        <v>270</v>
      </c>
      <c r="C21" s="4">
        <v>3899</v>
      </c>
      <c r="D21" s="4">
        <v>1878</v>
      </c>
      <c r="E21" s="4">
        <v>2021</v>
      </c>
    </row>
    <row r="22" spans="1:5" ht="21.75" customHeight="1" x14ac:dyDescent="0.25">
      <c r="A22" s="4">
        <v>7</v>
      </c>
      <c r="B22" s="4" t="s">
        <v>271</v>
      </c>
      <c r="C22" s="4">
        <v>3962</v>
      </c>
      <c r="D22" s="4">
        <v>2018</v>
      </c>
      <c r="E22" s="4">
        <v>1944</v>
      </c>
    </row>
    <row r="23" spans="1:5" ht="21.75" customHeight="1" x14ac:dyDescent="0.25">
      <c r="A23" s="4">
        <v>8</v>
      </c>
      <c r="B23" s="4" t="s">
        <v>272</v>
      </c>
      <c r="C23" s="4">
        <v>3583</v>
      </c>
      <c r="D23" s="4">
        <v>1794</v>
      </c>
      <c r="E23" s="4">
        <v>1789</v>
      </c>
    </row>
    <row r="24" spans="1:5" ht="21.75" customHeight="1" x14ac:dyDescent="0.25">
      <c r="A24" s="4">
        <v>9</v>
      </c>
      <c r="B24" s="7" t="s">
        <v>273</v>
      </c>
      <c r="C24" s="7">
        <v>12189</v>
      </c>
      <c r="D24" s="7">
        <v>6635</v>
      </c>
      <c r="E24" s="7">
        <v>5554</v>
      </c>
    </row>
    <row r="25" spans="1:5" ht="21.75" customHeight="1" x14ac:dyDescent="0.25">
      <c r="A25" s="10"/>
      <c r="B25" s="10"/>
      <c r="C25" s="10"/>
      <c r="D25" s="10"/>
      <c r="E25" s="10"/>
    </row>
  </sheetData>
  <mergeCells count="4">
    <mergeCell ref="A4:A5"/>
    <mergeCell ref="B4:B5"/>
    <mergeCell ref="C4:E4"/>
    <mergeCell ref="A1:E1"/>
  </mergeCells>
  <hyperlinks>
    <hyperlink ref="A1:E1" location="'list of township'!A1" display="Kachin State,  Mohnyin District,   Phakant Township"/>
  </hyperlinks>
  <pageMargins left="0.75" right="0.5" top="0.5" bottom="0.2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E1"/>
    </sheetView>
  </sheetViews>
  <sheetFormatPr defaultRowHeight="15.75" x14ac:dyDescent="0.25"/>
  <cols>
    <col min="1" max="1" width="9.140625" style="3"/>
    <col min="2" max="2" width="37.140625" style="17" bestFit="1" customWidth="1"/>
    <col min="3" max="5" width="12.7109375" style="17" customWidth="1"/>
    <col min="6" max="16384" width="9.140625" style="17"/>
  </cols>
  <sheetData>
    <row r="1" spans="1:5" s="1" customFormat="1" ht="25.5" customHeight="1" x14ac:dyDescent="0.35">
      <c r="A1" s="42" t="s">
        <v>536</v>
      </c>
      <c r="B1" s="42"/>
      <c r="C1" s="42"/>
      <c r="D1" s="42"/>
      <c r="E1" s="42"/>
    </row>
    <row r="2" spans="1:5" s="1" customFormat="1" ht="30" customHeight="1" x14ac:dyDescent="0.35">
      <c r="A2" s="27"/>
      <c r="B2" s="22"/>
      <c r="E2" s="18" t="s">
        <v>526</v>
      </c>
    </row>
    <row r="3" spans="1:5" s="1" customFormat="1" ht="21.75" customHeight="1" x14ac:dyDescent="0.35">
      <c r="A3" s="27"/>
      <c r="B3" s="22"/>
      <c r="E3" s="18"/>
    </row>
    <row r="4" spans="1:5" s="1" customFormat="1" ht="21" x14ac:dyDescent="0.35">
      <c r="A4" s="39" t="s">
        <v>527</v>
      </c>
      <c r="B4" s="39" t="s">
        <v>560</v>
      </c>
      <c r="C4" s="39" t="s">
        <v>523</v>
      </c>
      <c r="D4" s="39"/>
      <c r="E4" s="39"/>
    </row>
    <row r="5" spans="1:5" s="1" customFormat="1" ht="21" x14ac:dyDescent="0.35">
      <c r="A5" s="43"/>
      <c r="B5" s="43"/>
      <c r="C5" s="19" t="s">
        <v>0</v>
      </c>
      <c r="D5" s="19" t="s">
        <v>1</v>
      </c>
      <c r="E5" s="19" t="s">
        <v>2</v>
      </c>
    </row>
    <row r="6" spans="1:5" s="1" customFormat="1" ht="21.75" customHeight="1" x14ac:dyDescent="0.35">
      <c r="A6" s="4"/>
      <c r="B6" s="6" t="s">
        <v>558</v>
      </c>
      <c r="C6" s="9">
        <f>C8+C14</f>
        <v>48694</v>
      </c>
      <c r="D6" s="9">
        <f t="shared" ref="D6:E6" si="0">D8+D14</f>
        <v>22803</v>
      </c>
      <c r="E6" s="9">
        <f t="shared" si="0"/>
        <v>25891</v>
      </c>
    </row>
    <row r="7" spans="1:5" ht="21.75" customHeight="1" x14ac:dyDescent="0.25">
      <c r="A7" s="4"/>
      <c r="B7" s="4"/>
      <c r="C7" s="4"/>
      <c r="D7" s="4"/>
      <c r="E7" s="4"/>
    </row>
    <row r="8" spans="1:5" ht="21.75" customHeight="1" x14ac:dyDescent="0.25">
      <c r="A8" s="4"/>
      <c r="B8" s="20" t="s">
        <v>524</v>
      </c>
      <c r="C8" s="6">
        <f>SUM(C9:C12)</f>
        <v>23352</v>
      </c>
      <c r="D8" s="6">
        <f t="shared" ref="D8:E8" si="1">SUM(D9:D12)</f>
        <v>10742</v>
      </c>
      <c r="E8" s="6">
        <f t="shared" si="1"/>
        <v>12610</v>
      </c>
    </row>
    <row r="9" spans="1:5" ht="21.75" customHeight="1" x14ac:dyDescent="0.25">
      <c r="A9" s="4">
        <v>1</v>
      </c>
      <c r="B9" s="4" t="s">
        <v>274</v>
      </c>
      <c r="C9" s="4">
        <v>5887</v>
      </c>
      <c r="D9" s="4">
        <v>2744</v>
      </c>
      <c r="E9" s="4">
        <v>3143</v>
      </c>
    </row>
    <row r="10" spans="1:5" ht="21.75" customHeight="1" x14ac:dyDescent="0.25">
      <c r="A10" s="4">
        <v>2</v>
      </c>
      <c r="B10" s="4" t="s">
        <v>275</v>
      </c>
      <c r="C10" s="4">
        <v>6348</v>
      </c>
      <c r="D10" s="4">
        <v>2838</v>
      </c>
      <c r="E10" s="4">
        <v>3510</v>
      </c>
    </row>
    <row r="11" spans="1:5" ht="21.75" customHeight="1" x14ac:dyDescent="0.25">
      <c r="A11" s="4">
        <v>3</v>
      </c>
      <c r="B11" s="4" t="s">
        <v>276</v>
      </c>
      <c r="C11" s="4">
        <v>5297</v>
      </c>
      <c r="D11" s="4">
        <v>2462</v>
      </c>
      <c r="E11" s="4">
        <v>2835</v>
      </c>
    </row>
    <row r="12" spans="1:5" ht="21.75" customHeight="1" x14ac:dyDescent="0.25">
      <c r="A12" s="4">
        <v>4</v>
      </c>
      <c r="B12" s="4" t="s">
        <v>277</v>
      </c>
      <c r="C12" s="4">
        <v>5820</v>
      </c>
      <c r="D12" s="4">
        <v>2698</v>
      </c>
      <c r="E12" s="4">
        <v>3122</v>
      </c>
    </row>
    <row r="13" spans="1:5" ht="21.75" customHeight="1" x14ac:dyDescent="0.25">
      <c r="A13" s="4"/>
      <c r="B13" s="4"/>
      <c r="C13" s="4"/>
      <c r="D13" s="4"/>
      <c r="E13" s="4"/>
    </row>
    <row r="14" spans="1:5" ht="21.75" customHeight="1" x14ac:dyDescent="0.25">
      <c r="A14" s="4"/>
      <c r="B14" s="20" t="s">
        <v>559</v>
      </c>
      <c r="C14" s="6">
        <f>SUM(C15:C22)</f>
        <v>25342</v>
      </c>
      <c r="D14" s="6">
        <f t="shared" ref="D14:E14" si="2">SUM(D15:D22)</f>
        <v>12061</v>
      </c>
      <c r="E14" s="6">
        <f t="shared" si="2"/>
        <v>13281</v>
      </c>
    </row>
    <row r="15" spans="1:5" ht="21.75" customHeight="1" x14ac:dyDescent="0.25">
      <c r="A15" s="4">
        <v>1</v>
      </c>
      <c r="B15" s="4" t="s">
        <v>278</v>
      </c>
      <c r="C15" s="4">
        <v>3740</v>
      </c>
      <c r="D15" s="4">
        <v>1779</v>
      </c>
      <c r="E15" s="4">
        <v>1961</v>
      </c>
    </row>
    <row r="16" spans="1:5" ht="21.75" customHeight="1" x14ac:dyDescent="0.25">
      <c r="A16" s="4">
        <v>2</v>
      </c>
      <c r="B16" s="4" t="s">
        <v>279</v>
      </c>
      <c r="C16" s="4">
        <v>6359</v>
      </c>
      <c r="D16" s="4">
        <v>3012</v>
      </c>
      <c r="E16" s="4">
        <v>3347</v>
      </c>
    </row>
    <row r="17" spans="1:5" ht="21.75" customHeight="1" x14ac:dyDescent="0.25">
      <c r="A17" s="4">
        <v>3</v>
      </c>
      <c r="B17" s="4" t="s">
        <v>280</v>
      </c>
      <c r="C17" s="4">
        <v>3383</v>
      </c>
      <c r="D17" s="4">
        <v>1648</v>
      </c>
      <c r="E17" s="4">
        <v>1735</v>
      </c>
    </row>
    <row r="18" spans="1:5" ht="21.75" customHeight="1" x14ac:dyDescent="0.25">
      <c r="A18" s="4">
        <v>4</v>
      </c>
      <c r="B18" s="4" t="s">
        <v>281</v>
      </c>
      <c r="C18" s="4">
        <v>4140</v>
      </c>
      <c r="D18" s="4">
        <v>1909</v>
      </c>
      <c r="E18" s="4">
        <v>2231</v>
      </c>
    </row>
    <row r="19" spans="1:5" ht="21.75" customHeight="1" x14ac:dyDescent="0.25">
      <c r="A19" s="4">
        <v>5</v>
      </c>
      <c r="B19" s="4" t="s">
        <v>282</v>
      </c>
      <c r="C19" s="4">
        <v>1212</v>
      </c>
      <c r="D19" s="4">
        <v>621</v>
      </c>
      <c r="E19" s="4">
        <v>591</v>
      </c>
    </row>
    <row r="20" spans="1:5" ht="21.75" customHeight="1" x14ac:dyDescent="0.25">
      <c r="A20" s="4">
        <v>6</v>
      </c>
      <c r="B20" s="4" t="s">
        <v>283</v>
      </c>
      <c r="C20" s="4">
        <v>1992</v>
      </c>
      <c r="D20" s="4">
        <v>979</v>
      </c>
      <c r="E20" s="4">
        <v>1013</v>
      </c>
    </row>
    <row r="21" spans="1:5" ht="21.75" customHeight="1" x14ac:dyDescent="0.25">
      <c r="A21" s="4">
        <v>7</v>
      </c>
      <c r="B21" s="4" t="s">
        <v>284</v>
      </c>
      <c r="C21" s="4">
        <v>1295</v>
      </c>
      <c r="D21" s="4">
        <v>584</v>
      </c>
      <c r="E21" s="4">
        <v>711</v>
      </c>
    </row>
    <row r="22" spans="1:5" ht="21.75" customHeight="1" x14ac:dyDescent="0.25">
      <c r="A22" s="7">
        <v>8</v>
      </c>
      <c r="B22" s="7" t="s">
        <v>285</v>
      </c>
      <c r="C22" s="7">
        <v>3221</v>
      </c>
      <c r="D22" s="7">
        <v>1529</v>
      </c>
      <c r="E22" s="7">
        <v>1692</v>
      </c>
    </row>
    <row r="23" spans="1:5" ht="21.75" customHeight="1" x14ac:dyDescent="0.25">
      <c r="A23" s="10"/>
      <c r="B23" s="10"/>
      <c r="C23" s="10"/>
      <c r="D23" s="10"/>
      <c r="E23" s="10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 Mohnyin District,   Hopin (Sub- Township)"/>
  </hyperlinks>
  <pageMargins left="0.75" right="0.5" top="0.5" bottom="0.2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sqref="A1:E1"/>
    </sheetView>
  </sheetViews>
  <sheetFormatPr defaultRowHeight="15" x14ac:dyDescent="0.25"/>
  <cols>
    <col min="1" max="1" width="9.140625" style="17"/>
    <col min="2" max="2" width="25" style="17" bestFit="1" customWidth="1"/>
    <col min="3" max="5" width="15.7109375" style="17" customWidth="1"/>
    <col min="6" max="16384" width="9.140625" style="17"/>
  </cols>
  <sheetData>
    <row r="1" spans="1:9" s="1" customFormat="1" ht="25.5" customHeight="1" x14ac:dyDescent="0.35">
      <c r="A1" s="48" t="s">
        <v>545</v>
      </c>
      <c r="B1" s="48"/>
      <c r="C1" s="48"/>
      <c r="D1" s="48"/>
      <c r="E1" s="48"/>
      <c r="F1" s="22"/>
    </row>
    <row r="2" spans="1:9" s="1" customFormat="1" ht="30" customHeight="1" x14ac:dyDescent="0.35">
      <c r="A2" s="22"/>
      <c r="B2" s="22"/>
      <c r="E2" s="18" t="s">
        <v>526</v>
      </c>
      <c r="F2" s="22"/>
    </row>
    <row r="3" spans="1:9" s="1" customFormat="1" ht="19.5" customHeight="1" x14ac:dyDescent="0.35">
      <c r="A3" s="22"/>
      <c r="B3" s="22"/>
      <c r="E3" s="18"/>
      <c r="F3" s="22"/>
    </row>
    <row r="4" spans="1:9" s="1" customFormat="1" ht="25.5" customHeight="1" x14ac:dyDescent="0.35">
      <c r="A4" s="39" t="s">
        <v>527</v>
      </c>
      <c r="B4" s="39" t="s">
        <v>560</v>
      </c>
      <c r="C4" s="39" t="s">
        <v>523</v>
      </c>
      <c r="D4" s="39"/>
      <c r="E4" s="39"/>
      <c r="F4" s="22"/>
    </row>
    <row r="5" spans="1:9" s="1" customFormat="1" ht="21" x14ac:dyDescent="0.35">
      <c r="A5" s="43"/>
      <c r="B5" s="43"/>
      <c r="C5" s="19" t="s">
        <v>0</v>
      </c>
      <c r="D5" s="19" t="s">
        <v>1</v>
      </c>
      <c r="E5" s="19" t="s">
        <v>2</v>
      </c>
      <c r="F5" s="22"/>
    </row>
    <row r="6" spans="1:9" s="1" customFormat="1" ht="21.75" customHeight="1" x14ac:dyDescent="0.35">
      <c r="A6" s="4"/>
      <c r="B6" s="6" t="s">
        <v>558</v>
      </c>
      <c r="C6" s="9">
        <f>C8+C11</f>
        <v>19430</v>
      </c>
      <c r="D6" s="9">
        <f t="shared" ref="D6:E6" si="0">D8+D11</f>
        <v>9690</v>
      </c>
      <c r="E6" s="9">
        <f t="shared" si="0"/>
        <v>9740</v>
      </c>
    </row>
    <row r="7" spans="1:9" ht="21.75" customHeight="1" x14ac:dyDescent="0.35">
      <c r="A7" s="4"/>
      <c r="B7" s="8"/>
      <c r="C7" s="8"/>
      <c r="D7" s="8"/>
      <c r="E7" s="8"/>
      <c r="G7" s="1"/>
      <c r="H7" s="1"/>
      <c r="I7" s="1"/>
    </row>
    <row r="8" spans="1:9" ht="21.75" customHeight="1" x14ac:dyDescent="0.35">
      <c r="A8" s="4"/>
      <c r="B8" s="20" t="s">
        <v>524</v>
      </c>
      <c r="C8" s="6">
        <f>C9</f>
        <v>5734</v>
      </c>
      <c r="D8" s="6">
        <f t="shared" ref="D8:E8" si="1">D9</f>
        <v>2826</v>
      </c>
      <c r="E8" s="6">
        <f t="shared" si="1"/>
        <v>2908</v>
      </c>
      <c r="G8" s="1"/>
      <c r="H8" s="1"/>
      <c r="I8" s="1"/>
    </row>
    <row r="9" spans="1:9" ht="21.75" customHeight="1" x14ac:dyDescent="0.35">
      <c r="A9" s="4">
        <v>1</v>
      </c>
      <c r="B9" s="4" t="s">
        <v>286</v>
      </c>
      <c r="C9" s="4">
        <v>5734</v>
      </c>
      <c r="D9" s="4">
        <v>2826</v>
      </c>
      <c r="E9" s="4">
        <v>2908</v>
      </c>
      <c r="G9" s="1"/>
      <c r="H9" s="1"/>
      <c r="I9" s="1"/>
    </row>
    <row r="10" spans="1:9" ht="21.75" customHeight="1" x14ac:dyDescent="0.35">
      <c r="A10" s="4"/>
      <c r="B10" s="4"/>
      <c r="C10" s="4"/>
      <c r="D10" s="4"/>
      <c r="E10" s="4"/>
      <c r="G10" s="1"/>
      <c r="H10" s="1"/>
      <c r="I10" s="1"/>
    </row>
    <row r="11" spans="1:9" ht="21.75" customHeight="1" x14ac:dyDescent="0.35">
      <c r="A11" s="4"/>
      <c r="B11" s="20" t="s">
        <v>559</v>
      </c>
      <c r="C11" s="6">
        <f>SUM(C12:C17)</f>
        <v>13696</v>
      </c>
      <c r="D11" s="6">
        <f t="shared" ref="D11:E11" si="2">SUM(D12:D17)</f>
        <v>6864</v>
      </c>
      <c r="E11" s="6">
        <f t="shared" si="2"/>
        <v>6832</v>
      </c>
      <c r="G11" s="1"/>
      <c r="H11" s="1"/>
      <c r="I11" s="1"/>
    </row>
    <row r="12" spans="1:9" ht="21.75" customHeight="1" x14ac:dyDescent="0.35">
      <c r="A12" s="4">
        <v>1</v>
      </c>
      <c r="B12" s="4" t="s">
        <v>287</v>
      </c>
      <c r="C12" s="4">
        <v>1297</v>
      </c>
      <c r="D12" s="4">
        <v>608</v>
      </c>
      <c r="E12" s="4">
        <v>689</v>
      </c>
      <c r="G12" s="1"/>
      <c r="H12" s="1"/>
      <c r="I12" s="1"/>
    </row>
    <row r="13" spans="1:9" ht="21.75" customHeight="1" x14ac:dyDescent="0.35">
      <c r="A13" s="4">
        <v>2</v>
      </c>
      <c r="B13" s="4" t="s">
        <v>89</v>
      </c>
      <c r="C13" s="4">
        <v>1852</v>
      </c>
      <c r="D13" s="4">
        <v>885</v>
      </c>
      <c r="E13" s="4">
        <v>967</v>
      </c>
      <c r="G13" s="1"/>
      <c r="H13" s="1"/>
      <c r="I13" s="1"/>
    </row>
    <row r="14" spans="1:9" ht="21.75" customHeight="1" x14ac:dyDescent="0.35">
      <c r="A14" s="4">
        <v>3</v>
      </c>
      <c r="B14" s="4" t="s">
        <v>288</v>
      </c>
      <c r="C14" s="4">
        <v>1387</v>
      </c>
      <c r="D14" s="4">
        <v>680</v>
      </c>
      <c r="E14" s="4">
        <v>707</v>
      </c>
      <c r="G14" s="1"/>
      <c r="H14" s="1"/>
      <c r="I14" s="1"/>
    </row>
    <row r="15" spans="1:9" ht="21.75" customHeight="1" x14ac:dyDescent="0.35">
      <c r="A15" s="4">
        <v>4</v>
      </c>
      <c r="B15" s="4" t="s">
        <v>289</v>
      </c>
      <c r="C15" s="4">
        <v>2777</v>
      </c>
      <c r="D15" s="4">
        <v>1357</v>
      </c>
      <c r="E15" s="4">
        <v>1420</v>
      </c>
      <c r="G15" s="1"/>
      <c r="H15" s="1"/>
      <c r="I15" s="1"/>
    </row>
    <row r="16" spans="1:9" ht="21.75" customHeight="1" x14ac:dyDescent="0.35">
      <c r="A16" s="4">
        <v>5</v>
      </c>
      <c r="B16" s="4" t="s">
        <v>290</v>
      </c>
      <c r="C16" s="4">
        <v>3265</v>
      </c>
      <c r="D16" s="4">
        <v>1626</v>
      </c>
      <c r="E16" s="4">
        <v>1639</v>
      </c>
      <c r="G16" s="1"/>
      <c r="H16" s="1"/>
      <c r="I16" s="1"/>
    </row>
    <row r="17" spans="1:9" ht="21.75" customHeight="1" x14ac:dyDescent="0.35">
      <c r="A17" s="4">
        <v>6</v>
      </c>
      <c r="B17" s="7" t="s">
        <v>291</v>
      </c>
      <c r="C17" s="7">
        <v>3118</v>
      </c>
      <c r="D17" s="7">
        <v>1708</v>
      </c>
      <c r="E17" s="7">
        <v>1410</v>
      </c>
      <c r="G17" s="1"/>
      <c r="H17" s="1"/>
      <c r="I17" s="1"/>
    </row>
    <row r="18" spans="1:9" ht="21.75" customHeight="1" x14ac:dyDescent="0.25">
      <c r="A18" s="21"/>
      <c r="B18" s="21"/>
      <c r="C18" s="21"/>
      <c r="D18" s="21"/>
      <c r="E18" s="21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 Mohnyin District, Kamine (Sub- Township)"/>
  </hyperlinks>
  <pageMargins left="0.75" right="0.5" top="0.5" bottom="0.2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>
      <selection sqref="A1:E1"/>
    </sheetView>
  </sheetViews>
  <sheetFormatPr defaultRowHeight="15.75" x14ac:dyDescent="0.25"/>
  <cols>
    <col min="1" max="1" width="9.140625" style="3"/>
    <col min="2" max="2" width="31" style="17" bestFit="1" customWidth="1"/>
    <col min="3" max="5" width="15.7109375" style="17" customWidth="1"/>
    <col min="6" max="16384" width="9.140625" style="17"/>
  </cols>
  <sheetData>
    <row r="1" spans="1:6" s="1" customFormat="1" ht="25.5" customHeight="1" x14ac:dyDescent="0.35">
      <c r="A1" s="42" t="s">
        <v>537</v>
      </c>
      <c r="B1" s="42"/>
      <c r="C1" s="42"/>
      <c r="D1" s="42"/>
      <c r="E1" s="42"/>
      <c r="F1" s="22"/>
    </row>
    <row r="2" spans="1:6" s="1" customFormat="1" ht="28.5" customHeight="1" x14ac:dyDescent="0.35">
      <c r="A2" s="27"/>
      <c r="B2" s="22"/>
      <c r="E2" s="18" t="s">
        <v>526</v>
      </c>
      <c r="F2" s="22"/>
    </row>
    <row r="3" spans="1:6" s="1" customFormat="1" ht="17.25" customHeight="1" x14ac:dyDescent="0.35">
      <c r="A3" s="27"/>
      <c r="B3" s="22"/>
      <c r="E3" s="18"/>
      <c r="F3" s="22"/>
    </row>
    <row r="4" spans="1:6" s="1" customFormat="1" ht="21" x14ac:dyDescent="0.35">
      <c r="A4" s="39" t="s">
        <v>527</v>
      </c>
      <c r="B4" s="39" t="s">
        <v>560</v>
      </c>
      <c r="C4" s="39" t="s">
        <v>523</v>
      </c>
      <c r="D4" s="39"/>
      <c r="E4" s="39"/>
    </row>
    <row r="5" spans="1:6" s="1" customFormat="1" ht="21" x14ac:dyDescent="0.35">
      <c r="A5" s="43"/>
      <c r="B5" s="43"/>
      <c r="C5" s="19" t="s">
        <v>0</v>
      </c>
      <c r="D5" s="19" t="s">
        <v>1</v>
      </c>
      <c r="E5" s="19" t="s">
        <v>2</v>
      </c>
    </row>
    <row r="6" spans="1:6" s="1" customFormat="1" ht="21.75" customHeight="1" x14ac:dyDescent="0.35">
      <c r="A6" s="4"/>
      <c r="B6" s="6" t="s">
        <v>558</v>
      </c>
      <c r="C6" s="9">
        <f>C8+C23</f>
        <v>135877</v>
      </c>
      <c r="D6" s="9">
        <f t="shared" ref="D6:E6" si="0">D8+D23</f>
        <v>66718</v>
      </c>
      <c r="E6" s="9">
        <f t="shared" si="0"/>
        <v>69159</v>
      </c>
    </row>
    <row r="7" spans="1:6" ht="23.2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SUM(C9:C21)</f>
        <v>58696</v>
      </c>
      <c r="D8" s="6">
        <f t="shared" ref="D8:E8" si="1">SUM(D9:D21)</f>
        <v>28492</v>
      </c>
      <c r="E8" s="6">
        <f t="shared" si="1"/>
        <v>30204</v>
      </c>
    </row>
    <row r="9" spans="1:6" ht="21.75" customHeight="1" x14ac:dyDescent="0.25">
      <c r="A9" s="4">
        <v>1</v>
      </c>
      <c r="B9" s="8" t="s">
        <v>292</v>
      </c>
      <c r="C9" s="4">
        <v>5103</v>
      </c>
      <c r="D9" s="4">
        <v>2460</v>
      </c>
      <c r="E9" s="4">
        <v>2643</v>
      </c>
    </row>
    <row r="10" spans="1:6" ht="21.75" customHeight="1" x14ac:dyDescent="0.25">
      <c r="A10" s="4">
        <v>2</v>
      </c>
      <c r="B10" s="4" t="s">
        <v>7</v>
      </c>
      <c r="C10" s="4">
        <v>824</v>
      </c>
      <c r="D10" s="4">
        <v>381</v>
      </c>
      <c r="E10" s="4">
        <v>443</v>
      </c>
    </row>
    <row r="11" spans="1:6" ht="21.75" customHeight="1" x14ac:dyDescent="0.25">
      <c r="A11" s="4">
        <v>3</v>
      </c>
      <c r="B11" s="4" t="s">
        <v>293</v>
      </c>
      <c r="C11" s="4">
        <v>812</v>
      </c>
      <c r="D11" s="4">
        <v>350</v>
      </c>
      <c r="E11" s="4">
        <v>462</v>
      </c>
    </row>
    <row r="12" spans="1:6" ht="21.75" customHeight="1" x14ac:dyDescent="0.25">
      <c r="A12" s="4">
        <v>4</v>
      </c>
      <c r="B12" s="4" t="s">
        <v>294</v>
      </c>
      <c r="C12" s="4">
        <v>2782</v>
      </c>
      <c r="D12" s="4">
        <v>1482</v>
      </c>
      <c r="E12" s="4">
        <v>1300</v>
      </c>
    </row>
    <row r="13" spans="1:6" ht="21.75" customHeight="1" x14ac:dyDescent="0.25">
      <c r="A13" s="4">
        <v>5</v>
      </c>
      <c r="B13" s="4" t="s">
        <v>295</v>
      </c>
      <c r="C13" s="4">
        <v>10304</v>
      </c>
      <c r="D13" s="4">
        <v>5083</v>
      </c>
      <c r="E13" s="4">
        <v>5221</v>
      </c>
    </row>
    <row r="14" spans="1:6" ht="21.75" customHeight="1" x14ac:dyDescent="0.25">
      <c r="A14" s="4">
        <v>6</v>
      </c>
      <c r="B14" s="4" t="s">
        <v>296</v>
      </c>
      <c r="C14" s="4">
        <v>9539</v>
      </c>
      <c r="D14" s="4">
        <v>4487</v>
      </c>
      <c r="E14" s="4">
        <v>5052</v>
      </c>
    </row>
    <row r="15" spans="1:6" ht="21.75" customHeight="1" x14ac:dyDescent="0.25">
      <c r="A15" s="4">
        <v>7</v>
      </c>
      <c r="B15" s="4" t="s">
        <v>297</v>
      </c>
      <c r="C15" s="4">
        <v>1636</v>
      </c>
      <c r="D15" s="4">
        <v>769</v>
      </c>
      <c r="E15" s="4">
        <v>867</v>
      </c>
    </row>
    <row r="16" spans="1:6" ht="21.75" customHeight="1" x14ac:dyDescent="0.25">
      <c r="A16" s="4">
        <v>8</v>
      </c>
      <c r="B16" s="4" t="s">
        <v>298</v>
      </c>
      <c r="C16" s="4">
        <v>8813</v>
      </c>
      <c r="D16" s="4">
        <v>4076</v>
      </c>
      <c r="E16" s="4">
        <v>4737</v>
      </c>
    </row>
    <row r="17" spans="1:5" ht="21.75" customHeight="1" x14ac:dyDescent="0.25">
      <c r="A17" s="4">
        <v>9</v>
      </c>
      <c r="B17" s="4" t="s">
        <v>299</v>
      </c>
      <c r="C17" s="4">
        <v>2230</v>
      </c>
      <c r="D17" s="4">
        <v>1099</v>
      </c>
      <c r="E17" s="4">
        <v>1131</v>
      </c>
    </row>
    <row r="18" spans="1:5" ht="21.75" customHeight="1" x14ac:dyDescent="0.25">
      <c r="A18" s="4">
        <v>10</v>
      </c>
      <c r="B18" s="4" t="s">
        <v>300</v>
      </c>
      <c r="C18" s="4">
        <v>1413</v>
      </c>
      <c r="D18" s="4">
        <v>694</v>
      </c>
      <c r="E18" s="4">
        <v>719</v>
      </c>
    </row>
    <row r="19" spans="1:5" ht="21.75" customHeight="1" x14ac:dyDescent="0.25">
      <c r="A19" s="4">
        <v>11</v>
      </c>
      <c r="B19" s="4" t="s">
        <v>301</v>
      </c>
      <c r="C19" s="4">
        <v>4102</v>
      </c>
      <c r="D19" s="4">
        <v>1978</v>
      </c>
      <c r="E19" s="4">
        <v>2124</v>
      </c>
    </row>
    <row r="20" spans="1:5" ht="21.75" customHeight="1" x14ac:dyDescent="0.25">
      <c r="A20" s="4">
        <v>12</v>
      </c>
      <c r="B20" s="4" t="s">
        <v>302</v>
      </c>
      <c r="C20" s="4">
        <v>8359</v>
      </c>
      <c r="D20" s="4">
        <v>4334</v>
      </c>
      <c r="E20" s="4">
        <v>4025</v>
      </c>
    </row>
    <row r="21" spans="1:5" ht="21.75" customHeight="1" x14ac:dyDescent="0.25">
      <c r="A21" s="4">
        <v>13</v>
      </c>
      <c r="B21" s="4" t="s">
        <v>303</v>
      </c>
      <c r="C21" s="4">
        <v>2779</v>
      </c>
      <c r="D21" s="4">
        <v>1299</v>
      </c>
      <c r="E21" s="4">
        <v>1480</v>
      </c>
    </row>
    <row r="22" spans="1:5" ht="17.25" customHeight="1" x14ac:dyDescent="0.25">
      <c r="A22" s="4"/>
      <c r="B22" s="4"/>
      <c r="C22" s="4"/>
      <c r="D22" s="4"/>
      <c r="E22" s="4"/>
    </row>
    <row r="23" spans="1:5" ht="21.75" customHeight="1" x14ac:dyDescent="0.25">
      <c r="A23" s="4"/>
      <c r="B23" s="20" t="s">
        <v>559</v>
      </c>
      <c r="C23" s="6">
        <f>SUM(C24:C68)</f>
        <v>77181</v>
      </c>
      <c r="D23" s="6">
        <f t="shared" ref="D23:E23" si="2">SUM(D24:D68)</f>
        <v>38226</v>
      </c>
      <c r="E23" s="6">
        <f t="shared" si="2"/>
        <v>38955</v>
      </c>
    </row>
    <row r="24" spans="1:5" ht="21.75" customHeight="1" x14ac:dyDescent="0.25">
      <c r="A24" s="4">
        <v>1</v>
      </c>
      <c r="B24" s="4" t="s">
        <v>304</v>
      </c>
      <c r="C24" s="4">
        <v>1132</v>
      </c>
      <c r="D24" s="4">
        <v>539</v>
      </c>
      <c r="E24" s="4">
        <v>593</v>
      </c>
    </row>
    <row r="25" spans="1:5" ht="21.75" customHeight="1" x14ac:dyDescent="0.25">
      <c r="A25" s="4">
        <v>2</v>
      </c>
      <c r="B25" s="4" t="s">
        <v>212</v>
      </c>
      <c r="C25" s="4">
        <v>647</v>
      </c>
      <c r="D25" s="4">
        <v>301</v>
      </c>
      <c r="E25" s="4">
        <v>346</v>
      </c>
    </row>
    <row r="26" spans="1:5" ht="21.75" customHeight="1" x14ac:dyDescent="0.25">
      <c r="A26" s="4">
        <v>3</v>
      </c>
      <c r="B26" s="4" t="s">
        <v>305</v>
      </c>
      <c r="C26" s="4">
        <v>1024</v>
      </c>
      <c r="D26" s="4">
        <v>472</v>
      </c>
      <c r="E26" s="4">
        <v>552</v>
      </c>
    </row>
    <row r="27" spans="1:5" ht="21.75" customHeight="1" x14ac:dyDescent="0.25">
      <c r="A27" s="4">
        <v>4</v>
      </c>
      <c r="B27" s="4" t="s">
        <v>306</v>
      </c>
      <c r="C27" s="4">
        <v>727</v>
      </c>
      <c r="D27" s="4">
        <v>369</v>
      </c>
      <c r="E27" s="4">
        <v>358</v>
      </c>
    </row>
    <row r="28" spans="1:5" ht="21.75" customHeight="1" x14ac:dyDescent="0.25">
      <c r="A28" s="4">
        <v>5</v>
      </c>
      <c r="B28" s="4" t="s">
        <v>307</v>
      </c>
      <c r="C28" s="4">
        <v>3682</v>
      </c>
      <c r="D28" s="4">
        <v>1895</v>
      </c>
      <c r="E28" s="4">
        <v>1787</v>
      </c>
    </row>
    <row r="29" spans="1:5" ht="21.75" customHeight="1" x14ac:dyDescent="0.25">
      <c r="A29" s="4">
        <v>6</v>
      </c>
      <c r="B29" s="4" t="s">
        <v>308</v>
      </c>
      <c r="C29" s="4">
        <v>1100</v>
      </c>
      <c r="D29" s="4">
        <v>524</v>
      </c>
      <c r="E29" s="4">
        <v>576</v>
      </c>
    </row>
    <row r="30" spans="1:5" ht="21.75" customHeight="1" x14ac:dyDescent="0.25">
      <c r="A30" s="4">
        <v>7</v>
      </c>
      <c r="B30" s="4" t="s">
        <v>309</v>
      </c>
      <c r="C30" s="4">
        <v>844</v>
      </c>
      <c r="D30" s="4">
        <v>409</v>
      </c>
      <c r="E30" s="4">
        <v>435</v>
      </c>
    </row>
    <row r="31" spans="1:5" ht="21.75" customHeight="1" x14ac:dyDescent="0.25">
      <c r="A31" s="4">
        <v>8</v>
      </c>
      <c r="B31" s="4" t="s">
        <v>310</v>
      </c>
      <c r="C31" s="4">
        <v>2306</v>
      </c>
      <c r="D31" s="4">
        <v>1328</v>
      </c>
      <c r="E31" s="4">
        <v>978</v>
      </c>
    </row>
    <row r="32" spans="1:5" ht="21.75" customHeight="1" x14ac:dyDescent="0.25">
      <c r="A32" s="4">
        <v>9</v>
      </c>
      <c r="B32" s="4" t="s">
        <v>311</v>
      </c>
      <c r="C32" s="4">
        <v>1968</v>
      </c>
      <c r="D32" s="4">
        <v>917</v>
      </c>
      <c r="E32" s="4">
        <v>1051</v>
      </c>
    </row>
    <row r="33" spans="1:5" ht="21.75" customHeight="1" x14ac:dyDescent="0.25">
      <c r="A33" s="4">
        <v>10</v>
      </c>
      <c r="B33" s="4" t="s">
        <v>312</v>
      </c>
      <c r="C33" s="4">
        <v>1104</v>
      </c>
      <c r="D33" s="4">
        <v>526</v>
      </c>
      <c r="E33" s="4">
        <v>578</v>
      </c>
    </row>
    <row r="34" spans="1:5" ht="21.75" customHeight="1" x14ac:dyDescent="0.25">
      <c r="A34" s="4">
        <v>11</v>
      </c>
      <c r="B34" s="4" t="s">
        <v>313</v>
      </c>
      <c r="C34" s="4">
        <v>1060</v>
      </c>
      <c r="D34" s="4">
        <v>475</v>
      </c>
      <c r="E34" s="4">
        <v>585</v>
      </c>
    </row>
    <row r="35" spans="1:5" ht="21.75" customHeight="1" x14ac:dyDescent="0.25">
      <c r="A35" s="4">
        <v>12</v>
      </c>
      <c r="B35" s="4" t="s">
        <v>314</v>
      </c>
      <c r="C35" s="4">
        <v>523</v>
      </c>
      <c r="D35" s="4">
        <v>228</v>
      </c>
      <c r="E35" s="4">
        <v>295</v>
      </c>
    </row>
    <row r="36" spans="1:5" ht="21.75" customHeight="1" x14ac:dyDescent="0.25">
      <c r="A36" s="4">
        <v>13</v>
      </c>
      <c r="B36" s="4" t="s">
        <v>315</v>
      </c>
      <c r="C36" s="4">
        <v>232</v>
      </c>
      <c r="D36" s="4">
        <v>111</v>
      </c>
      <c r="E36" s="4">
        <v>121</v>
      </c>
    </row>
    <row r="37" spans="1:5" ht="21.75" customHeight="1" x14ac:dyDescent="0.25">
      <c r="A37" s="4">
        <v>14</v>
      </c>
      <c r="B37" s="4" t="s">
        <v>316</v>
      </c>
      <c r="C37" s="4">
        <v>873</v>
      </c>
      <c r="D37" s="4">
        <v>412</v>
      </c>
      <c r="E37" s="4">
        <v>461</v>
      </c>
    </row>
    <row r="38" spans="1:5" ht="21.75" customHeight="1" x14ac:dyDescent="0.25">
      <c r="A38" s="4">
        <v>15</v>
      </c>
      <c r="B38" s="4" t="s">
        <v>317</v>
      </c>
      <c r="C38" s="4">
        <v>1171</v>
      </c>
      <c r="D38" s="4">
        <v>576</v>
      </c>
      <c r="E38" s="4">
        <v>595</v>
      </c>
    </row>
    <row r="39" spans="1:5" ht="21.75" customHeight="1" x14ac:dyDescent="0.25">
      <c r="A39" s="4">
        <v>16</v>
      </c>
      <c r="B39" s="4" t="s">
        <v>318</v>
      </c>
      <c r="C39" s="4">
        <v>513</v>
      </c>
      <c r="D39" s="4">
        <v>239</v>
      </c>
      <c r="E39" s="4">
        <v>274</v>
      </c>
    </row>
    <row r="40" spans="1:5" ht="21.75" customHeight="1" x14ac:dyDescent="0.25">
      <c r="A40" s="4">
        <v>17</v>
      </c>
      <c r="B40" s="4" t="s">
        <v>319</v>
      </c>
      <c r="C40" s="4">
        <v>1303</v>
      </c>
      <c r="D40" s="4">
        <v>647</v>
      </c>
      <c r="E40" s="4">
        <v>656</v>
      </c>
    </row>
    <row r="41" spans="1:5" ht="21.75" customHeight="1" x14ac:dyDescent="0.25">
      <c r="A41" s="4">
        <v>18</v>
      </c>
      <c r="B41" s="4" t="s">
        <v>320</v>
      </c>
      <c r="C41" s="4">
        <v>627</v>
      </c>
      <c r="D41" s="4">
        <v>278</v>
      </c>
      <c r="E41" s="4">
        <v>349</v>
      </c>
    </row>
    <row r="42" spans="1:5" ht="21.75" customHeight="1" x14ac:dyDescent="0.25">
      <c r="A42" s="4">
        <v>19</v>
      </c>
      <c r="B42" s="4" t="s">
        <v>321</v>
      </c>
      <c r="C42" s="4">
        <v>2593</v>
      </c>
      <c r="D42" s="4">
        <v>1237</v>
      </c>
      <c r="E42" s="4">
        <v>1356</v>
      </c>
    </row>
    <row r="43" spans="1:5" ht="21.75" customHeight="1" x14ac:dyDescent="0.25">
      <c r="A43" s="4">
        <v>20</v>
      </c>
      <c r="B43" s="4" t="s">
        <v>322</v>
      </c>
      <c r="C43" s="4">
        <v>2157</v>
      </c>
      <c r="D43" s="4">
        <v>1066</v>
      </c>
      <c r="E43" s="4">
        <v>1091</v>
      </c>
    </row>
    <row r="44" spans="1:5" ht="21.75" customHeight="1" x14ac:dyDescent="0.25">
      <c r="A44" s="4">
        <v>21</v>
      </c>
      <c r="B44" s="4" t="s">
        <v>323</v>
      </c>
      <c r="C44" s="4">
        <v>8108</v>
      </c>
      <c r="D44" s="4">
        <v>4051</v>
      </c>
      <c r="E44" s="4">
        <v>4057</v>
      </c>
    </row>
    <row r="45" spans="1:5" ht="21.75" customHeight="1" x14ac:dyDescent="0.25">
      <c r="A45" s="4">
        <v>22</v>
      </c>
      <c r="B45" s="4" t="s">
        <v>324</v>
      </c>
      <c r="C45" s="4">
        <v>1881</v>
      </c>
      <c r="D45" s="4">
        <v>901</v>
      </c>
      <c r="E45" s="4">
        <v>980</v>
      </c>
    </row>
    <row r="46" spans="1:5" ht="21.75" customHeight="1" x14ac:dyDescent="0.25">
      <c r="A46" s="4">
        <v>23</v>
      </c>
      <c r="B46" s="4" t="s">
        <v>325</v>
      </c>
      <c r="C46" s="4">
        <v>977</v>
      </c>
      <c r="D46" s="4">
        <v>448</v>
      </c>
      <c r="E46" s="4">
        <v>529</v>
      </c>
    </row>
    <row r="47" spans="1:5" ht="21.75" customHeight="1" x14ac:dyDescent="0.25">
      <c r="A47" s="4">
        <v>24</v>
      </c>
      <c r="B47" s="4" t="s">
        <v>326</v>
      </c>
      <c r="C47" s="4">
        <v>1577</v>
      </c>
      <c r="D47" s="4">
        <v>783</v>
      </c>
      <c r="E47" s="4">
        <v>794</v>
      </c>
    </row>
    <row r="48" spans="1:5" ht="21.75" customHeight="1" x14ac:dyDescent="0.25">
      <c r="A48" s="4">
        <v>25</v>
      </c>
      <c r="B48" s="4" t="s">
        <v>165</v>
      </c>
      <c r="C48" s="4">
        <v>908</v>
      </c>
      <c r="D48" s="4">
        <v>430</v>
      </c>
      <c r="E48" s="4">
        <v>478</v>
      </c>
    </row>
    <row r="49" spans="1:5" ht="21.75" customHeight="1" x14ac:dyDescent="0.25">
      <c r="A49" s="4">
        <v>26</v>
      </c>
      <c r="B49" s="4" t="s">
        <v>327</v>
      </c>
      <c r="C49" s="4">
        <v>1601</v>
      </c>
      <c r="D49" s="4">
        <v>832</v>
      </c>
      <c r="E49" s="4">
        <v>769</v>
      </c>
    </row>
    <row r="50" spans="1:5" ht="21.75" customHeight="1" x14ac:dyDescent="0.25">
      <c r="A50" s="4">
        <v>27</v>
      </c>
      <c r="B50" s="4" t="s">
        <v>328</v>
      </c>
      <c r="C50" s="4">
        <v>1168</v>
      </c>
      <c r="D50" s="4">
        <v>550</v>
      </c>
      <c r="E50" s="4">
        <v>618</v>
      </c>
    </row>
    <row r="51" spans="1:5" ht="21.75" customHeight="1" x14ac:dyDescent="0.25">
      <c r="A51" s="4">
        <v>28</v>
      </c>
      <c r="B51" s="4" t="s">
        <v>329</v>
      </c>
      <c r="C51" s="4">
        <v>3804</v>
      </c>
      <c r="D51" s="4">
        <v>1846</v>
      </c>
      <c r="E51" s="4">
        <v>1958</v>
      </c>
    </row>
    <row r="52" spans="1:5" ht="21.75" customHeight="1" x14ac:dyDescent="0.25">
      <c r="A52" s="4">
        <v>29</v>
      </c>
      <c r="B52" s="4" t="s">
        <v>330</v>
      </c>
      <c r="C52" s="4">
        <v>1329</v>
      </c>
      <c r="D52" s="4">
        <v>675</v>
      </c>
      <c r="E52" s="4">
        <v>654</v>
      </c>
    </row>
    <row r="53" spans="1:5" ht="21.75" customHeight="1" x14ac:dyDescent="0.25">
      <c r="A53" s="4">
        <v>30</v>
      </c>
      <c r="B53" s="4" t="s">
        <v>331</v>
      </c>
      <c r="C53" s="4">
        <v>349</v>
      </c>
      <c r="D53" s="4">
        <v>161</v>
      </c>
      <c r="E53" s="4">
        <v>188</v>
      </c>
    </row>
    <row r="54" spans="1:5" ht="21.75" customHeight="1" x14ac:dyDescent="0.25">
      <c r="A54" s="4">
        <v>31</v>
      </c>
      <c r="B54" s="4" t="s">
        <v>332</v>
      </c>
      <c r="C54" s="4">
        <v>2073</v>
      </c>
      <c r="D54" s="4">
        <v>1018</v>
      </c>
      <c r="E54" s="4">
        <v>1055</v>
      </c>
    </row>
    <row r="55" spans="1:5" ht="21.75" customHeight="1" x14ac:dyDescent="0.25">
      <c r="A55" s="4">
        <v>32</v>
      </c>
      <c r="B55" s="4" t="s">
        <v>333</v>
      </c>
      <c r="C55" s="4">
        <v>832</v>
      </c>
      <c r="D55" s="4">
        <v>397</v>
      </c>
      <c r="E55" s="4">
        <v>435</v>
      </c>
    </row>
    <row r="56" spans="1:5" ht="21.75" customHeight="1" x14ac:dyDescent="0.25">
      <c r="A56" s="4">
        <v>33</v>
      </c>
      <c r="B56" s="4" t="s">
        <v>334</v>
      </c>
      <c r="C56" s="4">
        <v>1668</v>
      </c>
      <c r="D56" s="4">
        <v>864</v>
      </c>
      <c r="E56" s="4">
        <v>804</v>
      </c>
    </row>
    <row r="57" spans="1:5" ht="21.75" customHeight="1" x14ac:dyDescent="0.25">
      <c r="A57" s="4">
        <v>34</v>
      </c>
      <c r="B57" s="4" t="s">
        <v>335</v>
      </c>
      <c r="C57" s="4">
        <v>833</v>
      </c>
      <c r="D57" s="4">
        <v>368</v>
      </c>
      <c r="E57" s="4">
        <v>465</v>
      </c>
    </row>
    <row r="58" spans="1:5" ht="21.75" customHeight="1" x14ac:dyDescent="0.25">
      <c r="A58" s="4">
        <v>35</v>
      </c>
      <c r="B58" s="4" t="s">
        <v>336</v>
      </c>
      <c r="C58" s="4">
        <v>1745</v>
      </c>
      <c r="D58" s="4">
        <v>922</v>
      </c>
      <c r="E58" s="4">
        <v>823</v>
      </c>
    </row>
    <row r="59" spans="1:5" ht="21.75" customHeight="1" x14ac:dyDescent="0.25">
      <c r="A59" s="4">
        <v>36</v>
      </c>
      <c r="B59" s="4" t="s">
        <v>337</v>
      </c>
      <c r="C59" s="4">
        <v>2699</v>
      </c>
      <c r="D59" s="4">
        <v>1323</v>
      </c>
      <c r="E59" s="4">
        <v>1376</v>
      </c>
    </row>
    <row r="60" spans="1:5" ht="21.75" customHeight="1" x14ac:dyDescent="0.25">
      <c r="A60" s="4">
        <v>37</v>
      </c>
      <c r="B60" s="4" t="s">
        <v>338</v>
      </c>
      <c r="C60" s="4">
        <v>2617</v>
      </c>
      <c r="D60" s="4">
        <v>1264</v>
      </c>
      <c r="E60" s="4">
        <v>1353</v>
      </c>
    </row>
    <row r="61" spans="1:5" ht="21.75" customHeight="1" x14ac:dyDescent="0.25">
      <c r="A61" s="4">
        <v>38</v>
      </c>
      <c r="B61" s="4" t="s">
        <v>339</v>
      </c>
      <c r="C61" s="4">
        <v>821</v>
      </c>
      <c r="D61" s="4">
        <v>417</v>
      </c>
      <c r="E61" s="4">
        <v>404</v>
      </c>
    </row>
    <row r="62" spans="1:5" ht="21.75" customHeight="1" x14ac:dyDescent="0.25">
      <c r="A62" s="4">
        <v>39</v>
      </c>
      <c r="B62" s="4" t="s">
        <v>340</v>
      </c>
      <c r="C62" s="4">
        <v>596</v>
      </c>
      <c r="D62" s="4">
        <v>297</v>
      </c>
      <c r="E62" s="4">
        <v>299</v>
      </c>
    </row>
    <row r="63" spans="1:5" ht="21.75" customHeight="1" x14ac:dyDescent="0.25">
      <c r="A63" s="4">
        <v>40</v>
      </c>
      <c r="B63" s="4" t="s">
        <v>341</v>
      </c>
      <c r="C63" s="4">
        <v>1075</v>
      </c>
      <c r="D63" s="4">
        <v>533</v>
      </c>
      <c r="E63" s="4">
        <v>542</v>
      </c>
    </row>
    <row r="64" spans="1:5" ht="21.75" customHeight="1" x14ac:dyDescent="0.25">
      <c r="A64" s="4">
        <v>41</v>
      </c>
      <c r="B64" s="4" t="s">
        <v>342</v>
      </c>
      <c r="C64" s="4">
        <v>2230</v>
      </c>
      <c r="D64" s="4">
        <v>1092</v>
      </c>
      <c r="E64" s="4">
        <v>1138</v>
      </c>
    </row>
    <row r="65" spans="1:5" ht="21.75" customHeight="1" x14ac:dyDescent="0.25">
      <c r="A65" s="4">
        <v>42</v>
      </c>
      <c r="B65" s="4" t="s">
        <v>343</v>
      </c>
      <c r="C65" s="4">
        <v>6808</v>
      </c>
      <c r="D65" s="4">
        <v>3545</v>
      </c>
      <c r="E65" s="4">
        <v>3263</v>
      </c>
    </row>
    <row r="66" spans="1:5" ht="21.75" customHeight="1" x14ac:dyDescent="0.25">
      <c r="A66" s="4">
        <v>43</v>
      </c>
      <c r="B66" s="4" t="s">
        <v>344</v>
      </c>
      <c r="C66" s="4">
        <v>1905</v>
      </c>
      <c r="D66" s="4">
        <v>956</v>
      </c>
      <c r="E66" s="4">
        <v>949</v>
      </c>
    </row>
    <row r="67" spans="1:5" ht="21.75" customHeight="1" x14ac:dyDescent="0.25">
      <c r="A67" s="4">
        <v>44</v>
      </c>
      <c r="B67" s="4" t="s">
        <v>345</v>
      </c>
      <c r="C67" s="4">
        <v>1980</v>
      </c>
      <c r="D67" s="4">
        <v>1007</v>
      </c>
      <c r="E67" s="4">
        <v>973</v>
      </c>
    </row>
    <row r="68" spans="1:5" ht="21.75" customHeight="1" x14ac:dyDescent="0.25">
      <c r="A68" s="7">
        <v>45</v>
      </c>
      <c r="B68" s="7" t="s">
        <v>235</v>
      </c>
      <c r="C68" s="7">
        <v>2011</v>
      </c>
      <c r="D68" s="7">
        <v>997</v>
      </c>
      <c r="E68" s="7">
        <v>1014</v>
      </c>
    </row>
    <row r="69" spans="1:5" x14ac:dyDescent="0.25">
      <c r="A69" s="10"/>
      <c r="B69" s="10"/>
      <c r="C69" s="10"/>
      <c r="D69" s="10"/>
      <c r="E69" s="10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  Bhamo District,  Bhamo Township"/>
  </hyperlinks>
  <pageMargins left="0.75" right="0.5" top="0.5" bottom="0.2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E1"/>
    </sheetView>
  </sheetViews>
  <sheetFormatPr defaultRowHeight="15.75" x14ac:dyDescent="0.25"/>
  <cols>
    <col min="1" max="1" width="9.140625" style="3"/>
    <col min="2" max="2" width="23.85546875" style="17" bestFit="1" customWidth="1"/>
    <col min="3" max="5" width="15.7109375" style="17" customWidth="1"/>
    <col min="6" max="16384" width="9.140625" style="17"/>
  </cols>
  <sheetData>
    <row r="1" spans="1:6" s="1" customFormat="1" ht="25.5" customHeight="1" x14ac:dyDescent="0.35">
      <c r="A1" s="42" t="s">
        <v>538</v>
      </c>
      <c r="B1" s="42"/>
      <c r="C1" s="42"/>
      <c r="D1" s="42"/>
      <c r="E1" s="42"/>
      <c r="F1" s="22"/>
    </row>
    <row r="2" spans="1:6" s="1" customFormat="1" ht="30" customHeight="1" x14ac:dyDescent="0.35">
      <c r="A2" s="27"/>
      <c r="B2" s="22"/>
      <c r="E2" s="18" t="s">
        <v>526</v>
      </c>
      <c r="F2" s="22"/>
    </row>
    <row r="3" spans="1:6" s="1" customFormat="1" ht="19.5" customHeight="1" x14ac:dyDescent="0.35">
      <c r="A3" s="27"/>
      <c r="B3" s="22"/>
      <c r="E3" s="18"/>
      <c r="F3" s="22"/>
    </row>
    <row r="4" spans="1:6" s="1" customFormat="1" ht="21" x14ac:dyDescent="0.35">
      <c r="A4" s="39" t="s">
        <v>527</v>
      </c>
      <c r="B4" s="39" t="s">
        <v>560</v>
      </c>
      <c r="C4" s="39" t="s">
        <v>523</v>
      </c>
      <c r="D4" s="39"/>
      <c r="E4" s="39"/>
    </row>
    <row r="5" spans="1:6" s="1" customFormat="1" ht="21" x14ac:dyDescent="0.35">
      <c r="A5" s="43"/>
      <c r="B5" s="43"/>
      <c r="C5" s="19" t="s">
        <v>0</v>
      </c>
      <c r="D5" s="19" t="s">
        <v>1</v>
      </c>
      <c r="E5" s="19" t="s">
        <v>2</v>
      </c>
    </row>
    <row r="6" spans="1:6" s="1" customFormat="1" ht="22.5" customHeight="1" x14ac:dyDescent="0.35">
      <c r="A6" s="4"/>
      <c r="B6" s="6" t="s">
        <v>558</v>
      </c>
      <c r="C6" s="9">
        <f>C8+C14</f>
        <v>90691</v>
      </c>
      <c r="D6" s="9">
        <f t="shared" ref="D6:E6" si="0">D8+D14</f>
        <v>45062</v>
      </c>
      <c r="E6" s="9">
        <f t="shared" si="0"/>
        <v>45629</v>
      </c>
    </row>
    <row r="7" spans="1:6" ht="22.5" customHeight="1" x14ac:dyDescent="0.25">
      <c r="A7" s="4"/>
      <c r="B7" s="4"/>
      <c r="C7" s="4"/>
      <c r="D7" s="4"/>
      <c r="E7" s="4"/>
    </row>
    <row r="8" spans="1:6" ht="22.5" customHeight="1" x14ac:dyDescent="0.25">
      <c r="A8" s="4"/>
      <c r="B8" s="20" t="s">
        <v>524</v>
      </c>
      <c r="C8" s="6">
        <f>SUM(C9:C12)</f>
        <v>18894</v>
      </c>
      <c r="D8" s="6">
        <f t="shared" ref="D8:E8" si="1">SUM(D9:D12)</f>
        <v>9028</v>
      </c>
      <c r="E8" s="6">
        <f t="shared" si="1"/>
        <v>9866</v>
      </c>
    </row>
    <row r="9" spans="1:6" ht="22.5" customHeight="1" x14ac:dyDescent="0.25">
      <c r="A9" s="4">
        <v>1</v>
      </c>
      <c r="B9" s="4" t="s">
        <v>48</v>
      </c>
      <c r="C9" s="4">
        <v>4629</v>
      </c>
      <c r="D9" s="4">
        <v>2264</v>
      </c>
      <c r="E9" s="4">
        <v>2365</v>
      </c>
    </row>
    <row r="10" spans="1:6" ht="22.5" customHeight="1" x14ac:dyDescent="0.25">
      <c r="A10" s="4">
        <v>2</v>
      </c>
      <c r="B10" s="4" t="s">
        <v>49</v>
      </c>
      <c r="C10" s="4">
        <v>4082</v>
      </c>
      <c r="D10" s="4">
        <v>1949</v>
      </c>
      <c r="E10" s="4">
        <v>2133</v>
      </c>
    </row>
    <row r="11" spans="1:6" ht="22.5" customHeight="1" x14ac:dyDescent="0.25">
      <c r="A11" s="4">
        <v>3</v>
      </c>
      <c r="B11" s="4" t="s">
        <v>50</v>
      </c>
      <c r="C11" s="4">
        <v>3546</v>
      </c>
      <c r="D11" s="4">
        <v>1714</v>
      </c>
      <c r="E11" s="4">
        <v>1832</v>
      </c>
    </row>
    <row r="12" spans="1:6" ht="22.5" customHeight="1" x14ac:dyDescent="0.25">
      <c r="A12" s="4">
        <v>4</v>
      </c>
      <c r="B12" s="4" t="s">
        <v>51</v>
      </c>
      <c r="C12" s="4">
        <v>6637</v>
      </c>
      <c r="D12" s="4">
        <v>3101</v>
      </c>
      <c r="E12" s="4">
        <v>3536</v>
      </c>
    </row>
    <row r="13" spans="1:6" ht="22.5" customHeight="1" x14ac:dyDescent="0.25">
      <c r="A13" s="4"/>
      <c r="B13" s="4"/>
      <c r="C13" s="4"/>
      <c r="D13" s="4"/>
      <c r="E13" s="4"/>
    </row>
    <row r="14" spans="1:6" ht="22.5" customHeight="1" x14ac:dyDescent="0.25">
      <c r="A14" s="4"/>
      <c r="B14" s="20" t="s">
        <v>559</v>
      </c>
      <c r="C14" s="6">
        <f>SUM(C15:C40)</f>
        <v>71797</v>
      </c>
      <c r="D14" s="6">
        <f t="shared" ref="D14:E14" si="2">SUM(D15:D40)</f>
        <v>36034</v>
      </c>
      <c r="E14" s="6">
        <f t="shared" si="2"/>
        <v>35763</v>
      </c>
    </row>
    <row r="15" spans="1:6" ht="22.5" customHeight="1" x14ac:dyDescent="0.25">
      <c r="A15" s="4">
        <v>1</v>
      </c>
      <c r="B15" s="4" t="s">
        <v>345</v>
      </c>
      <c r="C15" s="4">
        <v>2349</v>
      </c>
      <c r="D15" s="4">
        <v>1227</v>
      </c>
      <c r="E15" s="4">
        <v>1122</v>
      </c>
    </row>
    <row r="16" spans="1:6" ht="22.5" customHeight="1" x14ac:dyDescent="0.25">
      <c r="A16" s="4">
        <v>2</v>
      </c>
      <c r="B16" s="4" t="s">
        <v>346</v>
      </c>
      <c r="C16" s="4">
        <v>2340</v>
      </c>
      <c r="D16" s="4">
        <v>1169</v>
      </c>
      <c r="E16" s="4">
        <v>1171</v>
      </c>
    </row>
    <row r="17" spans="1:5" ht="22.5" customHeight="1" x14ac:dyDescent="0.25">
      <c r="A17" s="4">
        <v>3</v>
      </c>
      <c r="B17" s="4" t="s">
        <v>347</v>
      </c>
      <c r="C17" s="4">
        <v>2433</v>
      </c>
      <c r="D17" s="4">
        <v>1220</v>
      </c>
      <c r="E17" s="4">
        <v>1213</v>
      </c>
    </row>
    <row r="18" spans="1:5" ht="22.5" customHeight="1" x14ac:dyDescent="0.25">
      <c r="A18" s="4">
        <v>4</v>
      </c>
      <c r="B18" s="4" t="s">
        <v>348</v>
      </c>
      <c r="C18" s="4">
        <v>3106</v>
      </c>
      <c r="D18" s="4">
        <v>1534</v>
      </c>
      <c r="E18" s="4">
        <v>1572</v>
      </c>
    </row>
    <row r="19" spans="1:5" ht="22.5" customHeight="1" x14ac:dyDescent="0.25">
      <c r="A19" s="4">
        <v>5</v>
      </c>
      <c r="B19" s="4" t="s">
        <v>349</v>
      </c>
      <c r="C19" s="4">
        <v>2396</v>
      </c>
      <c r="D19" s="4">
        <v>1187</v>
      </c>
      <c r="E19" s="4">
        <v>1209</v>
      </c>
    </row>
    <row r="20" spans="1:5" ht="22.5" customHeight="1" x14ac:dyDescent="0.25">
      <c r="A20" s="4">
        <v>6</v>
      </c>
      <c r="B20" s="4" t="s">
        <v>350</v>
      </c>
      <c r="C20" s="4">
        <v>3547</v>
      </c>
      <c r="D20" s="4">
        <v>1912</v>
      </c>
      <c r="E20" s="4">
        <v>1635</v>
      </c>
    </row>
    <row r="21" spans="1:5" ht="22.5" customHeight="1" x14ac:dyDescent="0.25">
      <c r="A21" s="4">
        <v>7</v>
      </c>
      <c r="B21" s="4" t="s">
        <v>351</v>
      </c>
      <c r="C21" s="4">
        <v>2598</v>
      </c>
      <c r="D21" s="4">
        <v>1288</v>
      </c>
      <c r="E21" s="4">
        <v>1310</v>
      </c>
    </row>
    <row r="22" spans="1:5" ht="22.5" customHeight="1" x14ac:dyDescent="0.25">
      <c r="A22" s="4">
        <v>8</v>
      </c>
      <c r="B22" s="4" t="s">
        <v>352</v>
      </c>
      <c r="C22" s="4">
        <v>2209</v>
      </c>
      <c r="D22" s="4">
        <v>1104</v>
      </c>
      <c r="E22" s="4">
        <v>1105</v>
      </c>
    </row>
    <row r="23" spans="1:5" ht="22.5" customHeight="1" x14ac:dyDescent="0.25">
      <c r="A23" s="4">
        <v>9</v>
      </c>
      <c r="B23" s="4" t="s">
        <v>353</v>
      </c>
      <c r="C23" s="4">
        <v>2149</v>
      </c>
      <c r="D23" s="4">
        <v>1077</v>
      </c>
      <c r="E23" s="4">
        <v>1072</v>
      </c>
    </row>
    <row r="24" spans="1:5" ht="22.5" customHeight="1" x14ac:dyDescent="0.25">
      <c r="A24" s="4">
        <v>10</v>
      </c>
      <c r="B24" s="4" t="s">
        <v>76</v>
      </c>
      <c r="C24" s="4">
        <v>1332</v>
      </c>
      <c r="D24" s="4">
        <v>616</v>
      </c>
      <c r="E24" s="4">
        <v>716</v>
      </c>
    </row>
    <row r="25" spans="1:5" ht="22.5" customHeight="1" x14ac:dyDescent="0.25">
      <c r="A25" s="4">
        <v>11</v>
      </c>
      <c r="B25" s="4" t="s">
        <v>354</v>
      </c>
      <c r="C25" s="4">
        <v>1560</v>
      </c>
      <c r="D25" s="4">
        <v>788</v>
      </c>
      <c r="E25" s="4">
        <v>772</v>
      </c>
    </row>
    <row r="26" spans="1:5" ht="22.5" customHeight="1" x14ac:dyDescent="0.25">
      <c r="A26" s="4">
        <v>12</v>
      </c>
      <c r="B26" s="4" t="s">
        <v>355</v>
      </c>
      <c r="C26" s="4">
        <v>1763</v>
      </c>
      <c r="D26" s="4">
        <v>896</v>
      </c>
      <c r="E26" s="4">
        <v>867</v>
      </c>
    </row>
    <row r="27" spans="1:5" ht="22.5" customHeight="1" x14ac:dyDescent="0.25">
      <c r="A27" s="4">
        <v>13</v>
      </c>
      <c r="B27" s="4" t="s">
        <v>356</v>
      </c>
      <c r="C27" s="4">
        <v>1513</v>
      </c>
      <c r="D27" s="4">
        <v>754</v>
      </c>
      <c r="E27" s="4">
        <v>759</v>
      </c>
    </row>
    <row r="28" spans="1:5" ht="22.5" customHeight="1" x14ac:dyDescent="0.25">
      <c r="A28" s="4">
        <v>14</v>
      </c>
      <c r="B28" s="4" t="s">
        <v>357</v>
      </c>
      <c r="C28" s="4">
        <v>3614</v>
      </c>
      <c r="D28" s="4">
        <v>1864</v>
      </c>
      <c r="E28" s="4">
        <v>1750</v>
      </c>
    </row>
    <row r="29" spans="1:5" ht="22.5" customHeight="1" x14ac:dyDescent="0.25">
      <c r="A29" s="4">
        <v>15</v>
      </c>
      <c r="B29" s="4" t="s">
        <v>358</v>
      </c>
      <c r="C29" s="4">
        <v>6951</v>
      </c>
      <c r="D29" s="4">
        <v>3511</v>
      </c>
      <c r="E29" s="4">
        <v>3440</v>
      </c>
    </row>
    <row r="30" spans="1:5" ht="22.5" customHeight="1" x14ac:dyDescent="0.25">
      <c r="A30" s="4">
        <v>16</v>
      </c>
      <c r="B30" s="4" t="s">
        <v>359</v>
      </c>
      <c r="C30" s="4">
        <v>3587</v>
      </c>
      <c r="D30" s="4">
        <v>1796</v>
      </c>
      <c r="E30" s="4">
        <v>1791</v>
      </c>
    </row>
    <row r="31" spans="1:5" ht="22.5" customHeight="1" x14ac:dyDescent="0.25">
      <c r="A31" s="4">
        <v>17</v>
      </c>
      <c r="B31" s="4" t="s">
        <v>360</v>
      </c>
      <c r="C31" s="4">
        <v>2950</v>
      </c>
      <c r="D31" s="4">
        <v>1428</v>
      </c>
      <c r="E31" s="4">
        <v>1522</v>
      </c>
    </row>
    <row r="32" spans="1:5" ht="22.5" customHeight="1" x14ac:dyDescent="0.25">
      <c r="A32" s="4">
        <v>18</v>
      </c>
      <c r="B32" s="4" t="s">
        <v>361</v>
      </c>
      <c r="C32" s="4">
        <v>2445</v>
      </c>
      <c r="D32" s="4">
        <v>1211</v>
      </c>
      <c r="E32" s="4">
        <v>1234</v>
      </c>
    </row>
    <row r="33" spans="1:5" ht="22.5" customHeight="1" x14ac:dyDescent="0.25">
      <c r="A33" s="4">
        <v>19</v>
      </c>
      <c r="B33" s="4" t="s">
        <v>362</v>
      </c>
      <c r="C33" s="4">
        <v>2201</v>
      </c>
      <c r="D33" s="4">
        <v>1039</v>
      </c>
      <c r="E33" s="4">
        <v>1162</v>
      </c>
    </row>
    <row r="34" spans="1:5" ht="22.5" customHeight="1" x14ac:dyDescent="0.25">
      <c r="A34" s="4">
        <v>20</v>
      </c>
      <c r="B34" s="4" t="s">
        <v>363</v>
      </c>
      <c r="C34" s="4">
        <v>2952</v>
      </c>
      <c r="D34" s="4">
        <v>1463</v>
      </c>
      <c r="E34" s="4">
        <v>1489</v>
      </c>
    </row>
    <row r="35" spans="1:5" ht="22.5" customHeight="1" x14ac:dyDescent="0.25">
      <c r="A35" s="4">
        <v>21</v>
      </c>
      <c r="B35" s="4" t="s">
        <v>364</v>
      </c>
      <c r="C35" s="4">
        <v>1761</v>
      </c>
      <c r="D35" s="4">
        <v>840</v>
      </c>
      <c r="E35" s="4">
        <v>921</v>
      </c>
    </row>
    <row r="36" spans="1:5" ht="22.5" customHeight="1" x14ac:dyDescent="0.25">
      <c r="A36" s="4">
        <v>22</v>
      </c>
      <c r="B36" s="4" t="s">
        <v>365</v>
      </c>
      <c r="C36" s="4">
        <v>3467</v>
      </c>
      <c r="D36" s="4">
        <v>1655</v>
      </c>
      <c r="E36" s="4">
        <v>1812</v>
      </c>
    </row>
    <row r="37" spans="1:5" ht="22.5" customHeight="1" x14ac:dyDescent="0.25">
      <c r="A37" s="4">
        <v>23</v>
      </c>
      <c r="B37" s="4" t="s">
        <v>366</v>
      </c>
      <c r="C37" s="4">
        <v>4822</v>
      </c>
      <c r="D37" s="4">
        <v>2499</v>
      </c>
      <c r="E37" s="4">
        <v>2323</v>
      </c>
    </row>
    <row r="38" spans="1:5" ht="22.5" customHeight="1" x14ac:dyDescent="0.25">
      <c r="A38" s="4">
        <v>24</v>
      </c>
      <c r="B38" s="4" t="s">
        <v>367</v>
      </c>
      <c r="C38" s="4">
        <v>3041</v>
      </c>
      <c r="D38" s="4">
        <v>1537</v>
      </c>
      <c r="E38" s="4">
        <v>1504</v>
      </c>
    </row>
    <row r="39" spans="1:5" ht="22.5" customHeight="1" x14ac:dyDescent="0.25">
      <c r="A39" s="4">
        <v>25</v>
      </c>
      <c r="B39" s="4" t="s">
        <v>368</v>
      </c>
      <c r="C39" s="4">
        <v>3098</v>
      </c>
      <c r="D39" s="4">
        <v>1584</v>
      </c>
      <c r="E39" s="4">
        <v>1514</v>
      </c>
    </row>
    <row r="40" spans="1:5" ht="22.5" customHeight="1" x14ac:dyDescent="0.25">
      <c r="A40" s="4">
        <v>26</v>
      </c>
      <c r="B40" s="7" t="s">
        <v>369</v>
      </c>
      <c r="C40" s="7">
        <v>1613</v>
      </c>
      <c r="D40" s="7">
        <v>835</v>
      </c>
      <c r="E40" s="7">
        <v>778</v>
      </c>
    </row>
    <row r="41" spans="1:5" x14ac:dyDescent="0.25">
      <c r="A41" s="10"/>
      <c r="B41" s="10"/>
      <c r="C41" s="10"/>
      <c r="D41" s="10"/>
      <c r="E41" s="10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  Bhamo District,   Shwegu Township"/>
  </hyperlinks>
  <pageMargins left="0.75" right="0.5" top="0.5" bottom="0.2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sqref="A1:E1"/>
    </sheetView>
  </sheetViews>
  <sheetFormatPr defaultRowHeight="15" x14ac:dyDescent="0.25"/>
  <cols>
    <col min="1" max="1" width="7" style="17" customWidth="1"/>
    <col min="2" max="2" width="34" style="17" bestFit="1" customWidth="1"/>
    <col min="3" max="5" width="15.7109375" style="17" customWidth="1"/>
    <col min="6" max="16384" width="9.140625" style="17"/>
  </cols>
  <sheetData>
    <row r="1" spans="1:6" s="1" customFormat="1" ht="25.5" customHeight="1" x14ac:dyDescent="0.35">
      <c r="A1" s="42" t="s">
        <v>539</v>
      </c>
      <c r="B1" s="42"/>
      <c r="C1" s="42"/>
      <c r="D1" s="42"/>
      <c r="E1" s="42"/>
      <c r="F1" s="22"/>
    </row>
    <row r="2" spans="1:6" s="1" customFormat="1" ht="30" customHeight="1" x14ac:dyDescent="0.35">
      <c r="A2" s="22"/>
      <c r="B2" s="22"/>
      <c r="E2" s="18" t="s">
        <v>526</v>
      </c>
      <c r="F2" s="22"/>
    </row>
    <row r="3" spans="1:6" s="1" customFormat="1" ht="21" customHeight="1" x14ac:dyDescent="0.35">
      <c r="A3" s="22"/>
      <c r="B3" s="22"/>
      <c r="E3" s="18"/>
      <c r="F3" s="22"/>
    </row>
    <row r="4" spans="1:6" s="1" customFormat="1" ht="21" x14ac:dyDescent="0.35">
      <c r="A4" s="39" t="s">
        <v>527</v>
      </c>
      <c r="B4" s="39" t="s">
        <v>560</v>
      </c>
      <c r="C4" s="39" t="s">
        <v>523</v>
      </c>
      <c r="D4" s="39"/>
      <c r="E4" s="39"/>
    </row>
    <row r="5" spans="1:6" s="1" customFormat="1" ht="21" x14ac:dyDescent="0.35">
      <c r="A5" s="43"/>
      <c r="B5" s="43"/>
      <c r="C5" s="19" t="s">
        <v>0</v>
      </c>
      <c r="D5" s="19" t="s">
        <v>1</v>
      </c>
      <c r="E5" s="19" t="s">
        <v>2</v>
      </c>
    </row>
    <row r="6" spans="1:6" s="1" customFormat="1" ht="21.75" customHeight="1" x14ac:dyDescent="0.35">
      <c r="A6" s="4"/>
      <c r="B6" s="6" t="s">
        <v>558</v>
      </c>
      <c r="C6" s="9">
        <f>C8+C13</f>
        <v>41562</v>
      </c>
      <c r="D6" s="9">
        <f t="shared" ref="D6:E6" si="0">D8+D13</f>
        <v>20248</v>
      </c>
      <c r="E6" s="9">
        <f t="shared" si="0"/>
        <v>21314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SUM(C9:C11)</f>
        <v>10741</v>
      </c>
      <c r="D8" s="6">
        <f t="shared" ref="D8:E8" si="1">SUM(D9:D11)</f>
        <v>5039</v>
      </c>
      <c r="E8" s="6">
        <f t="shared" si="1"/>
        <v>5702</v>
      </c>
    </row>
    <row r="9" spans="1:6" ht="21.75" customHeight="1" x14ac:dyDescent="0.25">
      <c r="A9" s="4">
        <v>1</v>
      </c>
      <c r="B9" s="4" t="s">
        <v>370</v>
      </c>
      <c r="C9" s="4">
        <v>3173</v>
      </c>
      <c r="D9" s="4">
        <v>1538</v>
      </c>
      <c r="E9" s="4">
        <v>1635</v>
      </c>
    </row>
    <row r="10" spans="1:6" ht="21.75" customHeight="1" x14ac:dyDescent="0.25">
      <c r="A10" s="4">
        <v>2</v>
      </c>
      <c r="B10" s="4" t="s">
        <v>371</v>
      </c>
      <c r="C10" s="4">
        <v>3742</v>
      </c>
      <c r="D10" s="4">
        <v>1745</v>
      </c>
      <c r="E10" s="4">
        <v>1997</v>
      </c>
    </row>
    <row r="11" spans="1:6" ht="21.75" customHeight="1" x14ac:dyDescent="0.25">
      <c r="A11" s="4">
        <v>3</v>
      </c>
      <c r="B11" s="4" t="s">
        <v>372</v>
      </c>
      <c r="C11" s="4">
        <v>3826</v>
      </c>
      <c r="D11" s="4">
        <v>1756</v>
      </c>
      <c r="E11" s="4">
        <v>2070</v>
      </c>
    </row>
    <row r="12" spans="1:6" ht="21.75" customHeight="1" x14ac:dyDescent="0.25">
      <c r="A12" s="4"/>
      <c r="B12" s="4"/>
      <c r="C12" s="4"/>
      <c r="D12" s="4"/>
      <c r="E12" s="4"/>
    </row>
    <row r="13" spans="1:6" ht="21.75" customHeight="1" x14ac:dyDescent="0.25">
      <c r="A13" s="4"/>
      <c r="B13" s="20" t="s">
        <v>559</v>
      </c>
      <c r="C13" s="6">
        <f>SUM(C14:C35)</f>
        <v>30821</v>
      </c>
      <c r="D13" s="6">
        <f t="shared" ref="D13:E13" si="2">SUM(D14:D35)</f>
        <v>15209</v>
      </c>
      <c r="E13" s="6">
        <f t="shared" si="2"/>
        <v>15612</v>
      </c>
    </row>
    <row r="14" spans="1:6" ht="21.75" customHeight="1" x14ac:dyDescent="0.25">
      <c r="A14" s="4">
        <v>1</v>
      </c>
      <c r="B14" s="4" t="s">
        <v>373</v>
      </c>
      <c r="C14" s="4">
        <v>2886</v>
      </c>
      <c r="D14" s="4">
        <v>1514</v>
      </c>
      <c r="E14" s="4">
        <v>1372</v>
      </c>
    </row>
    <row r="15" spans="1:6" ht="21.75" customHeight="1" x14ac:dyDescent="0.25">
      <c r="A15" s="4">
        <v>2</v>
      </c>
      <c r="B15" s="4" t="s">
        <v>374</v>
      </c>
      <c r="C15" s="4">
        <v>486</v>
      </c>
      <c r="D15" s="4">
        <v>252</v>
      </c>
      <c r="E15" s="4">
        <v>234</v>
      </c>
    </row>
    <row r="16" spans="1:6" ht="21.75" customHeight="1" x14ac:dyDescent="0.25">
      <c r="A16" s="4">
        <v>3</v>
      </c>
      <c r="B16" s="4" t="s">
        <v>375</v>
      </c>
      <c r="C16" s="4">
        <v>251</v>
      </c>
      <c r="D16" s="4">
        <v>128</v>
      </c>
      <c r="E16" s="4">
        <v>123</v>
      </c>
    </row>
    <row r="17" spans="1:5" ht="21.75" customHeight="1" x14ac:dyDescent="0.25">
      <c r="A17" s="4">
        <v>4</v>
      </c>
      <c r="B17" s="4" t="s">
        <v>376</v>
      </c>
      <c r="C17" s="4">
        <v>611</v>
      </c>
      <c r="D17" s="4">
        <v>307</v>
      </c>
      <c r="E17" s="4">
        <v>304</v>
      </c>
    </row>
    <row r="18" spans="1:5" ht="21.75" customHeight="1" x14ac:dyDescent="0.25">
      <c r="A18" s="4">
        <v>5</v>
      </c>
      <c r="B18" s="4" t="s">
        <v>377</v>
      </c>
      <c r="C18" s="4">
        <v>158</v>
      </c>
      <c r="D18" s="4">
        <v>99</v>
      </c>
      <c r="E18" s="4">
        <v>59</v>
      </c>
    </row>
    <row r="19" spans="1:5" ht="21.75" customHeight="1" x14ac:dyDescent="0.25">
      <c r="A19" s="4">
        <v>6</v>
      </c>
      <c r="B19" s="4" t="s">
        <v>378</v>
      </c>
      <c r="C19" s="4">
        <v>50</v>
      </c>
      <c r="D19" s="4">
        <v>45</v>
      </c>
      <c r="E19" s="4">
        <v>5</v>
      </c>
    </row>
    <row r="20" spans="1:5" ht="21.75" customHeight="1" x14ac:dyDescent="0.25">
      <c r="A20" s="4">
        <v>7</v>
      </c>
      <c r="B20" s="4" t="s">
        <v>379</v>
      </c>
      <c r="C20" s="4">
        <v>2382</v>
      </c>
      <c r="D20" s="4">
        <v>1155</v>
      </c>
      <c r="E20" s="4">
        <v>1227</v>
      </c>
    </row>
    <row r="21" spans="1:5" ht="21.75" customHeight="1" x14ac:dyDescent="0.25">
      <c r="A21" s="4">
        <v>8</v>
      </c>
      <c r="B21" s="4" t="s">
        <v>380</v>
      </c>
      <c r="C21" s="4">
        <v>2353</v>
      </c>
      <c r="D21" s="4">
        <v>1056</v>
      </c>
      <c r="E21" s="4">
        <v>1297</v>
      </c>
    </row>
    <row r="22" spans="1:5" ht="21.75" customHeight="1" x14ac:dyDescent="0.25">
      <c r="A22" s="4">
        <v>9</v>
      </c>
      <c r="B22" s="4" t="s">
        <v>381</v>
      </c>
      <c r="C22" s="4">
        <v>1336</v>
      </c>
      <c r="D22" s="4">
        <v>607</v>
      </c>
      <c r="E22" s="4">
        <v>729</v>
      </c>
    </row>
    <row r="23" spans="1:5" ht="21.75" customHeight="1" x14ac:dyDescent="0.25">
      <c r="A23" s="4">
        <v>10</v>
      </c>
      <c r="B23" s="4" t="s">
        <v>382</v>
      </c>
      <c r="C23" s="4">
        <v>1610</v>
      </c>
      <c r="D23" s="4">
        <v>785</v>
      </c>
      <c r="E23" s="4">
        <v>825</v>
      </c>
    </row>
    <row r="24" spans="1:5" ht="21.75" customHeight="1" x14ac:dyDescent="0.25">
      <c r="A24" s="4">
        <v>11</v>
      </c>
      <c r="B24" s="4" t="s">
        <v>383</v>
      </c>
      <c r="C24" s="4">
        <v>3554</v>
      </c>
      <c r="D24" s="4">
        <v>1732</v>
      </c>
      <c r="E24" s="4">
        <v>1822</v>
      </c>
    </row>
    <row r="25" spans="1:5" ht="21.75" customHeight="1" x14ac:dyDescent="0.25">
      <c r="A25" s="4">
        <v>12</v>
      </c>
      <c r="B25" s="4" t="s">
        <v>384</v>
      </c>
      <c r="C25" s="4">
        <v>2010</v>
      </c>
      <c r="D25" s="4">
        <v>988</v>
      </c>
      <c r="E25" s="4">
        <v>1022</v>
      </c>
    </row>
    <row r="26" spans="1:5" ht="21.75" customHeight="1" x14ac:dyDescent="0.25">
      <c r="A26" s="4">
        <v>13</v>
      </c>
      <c r="B26" s="4" t="s">
        <v>385</v>
      </c>
      <c r="C26" s="4">
        <v>1895</v>
      </c>
      <c r="D26" s="4">
        <v>886</v>
      </c>
      <c r="E26" s="4">
        <v>1009</v>
      </c>
    </row>
    <row r="27" spans="1:5" ht="21.75" customHeight="1" x14ac:dyDescent="0.25">
      <c r="A27" s="4">
        <v>14</v>
      </c>
      <c r="B27" s="4" t="s">
        <v>386</v>
      </c>
      <c r="C27" s="4">
        <v>1662</v>
      </c>
      <c r="D27" s="4">
        <v>852</v>
      </c>
      <c r="E27" s="4">
        <v>810</v>
      </c>
    </row>
    <row r="28" spans="1:5" ht="21.75" customHeight="1" x14ac:dyDescent="0.25">
      <c r="A28" s="4">
        <v>15</v>
      </c>
      <c r="B28" s="4" t="s">
        <v>387</v>
      </c>
      <c r="C28" s="4">
        <v>1155</v>
      </c>
      <c r="D28" s="4">
        <v>583</v>
      </c>
      <c r="E28" s="4">
        <v>572</v>
      </c>
    </row>
    <row r="29" spans="1:5" ht="21.75" customHeight="1" x14ac:dyDescent="0.25">
      <c r="A29" s="4">
        <v>16</v>
      </c>
      <c r="B29" s="4" t="s">
        <v>388</v>
      </c>
      <c r="C29" s="4">
        <v>1397</v>
      </c>
      <c r="D29" s="4">
        <v>691</v>
      </c>
      <c r="E29" s="4">
        <v>706</v>
      </c>
    </row>
    <row r="30" spans="1:5" ht="21.75" customHeight="1" x14ac:dyDescent="0.25">
      <c r="A30" s="4">
        <v>17</v>
      </c>
      <c r="B30" s="4" t="s">
        <v>389</v>
      </c>
      <c r="C30" s="4">
        <v>4322</v>
      </c>
      <c r="D30" s="4">
        <v>2123</v>
      </c>
      <c r="E30" s="4">
        <v>2199</v>
      </c>
    </row>
    <row r="31" spans="1:5" ht="21.75" customHeight="1" x14ac:dyDescent="0.25">
      <c r="A31" s="4">
        <v>18</v>
      </c>
      <c r="B31" s="4" t="s">
        <v>390</v>
      </c>
      <c r="C31" s="4">
        <v>1693</v>
      </c>
      <c r="D31" s="4">
        <v>852</v>
      </c>
      <c r="E31" s="4">
        <v>841</v>
      </c>
    </row>
    <row r="32" spans="1:5" ht="21.75" customHeight="1" x14ac:dyDescent="0.25">
      <c r="A32" s="4">
        <v>19</v>
      </c>
      <c r="B32" s="4" t="s">
        <v>391</v>
      </c>
      <c r="C32" s="4">
        <v>755</v>
      </c>
      <c r="D32" s="4">
        <v>421</v>
      </c>
      <c r="E32" s="4">
        <v>334</v>
      </c>
    </row>
    <row r="33" spans="1:5" ht="21.75" customHeight="1" x14ac:dyDescent="0.25">
      <c r="A33" s="4">
        <v>20</v>
      </c>
      <c r="B33" s="4" t="s">
        <v>392</v>
      </c>
      <c r="C33" s="4">
        <v>93</v>
      </c>
      <c r="D33" s="4">
        <v>51</v>
      </c>
      <c r="E33" s="4">
        <v>42</v>
      </c>
    </row>
    <row r="34" spans="1:5" ht="21.75" customHeight="1" x14ac:dyDescent="0.25">
      <c r="A34" s="4">
        <v>21</v>
      </c>
      <c r="B34" s="4" t="s">
        <v>393</v>
      </c>
      <c r="C34" s="4">
        <v>115</v>
      </c>
      <c r="D34" s="4">
        <v>60</v>
      </c>
      <c r="E34" s="4">
        <v>55</v>
      </c>
    </row>
    <row r="35" spans="1:5" ht="21.75" customHeight="1" x14ac:dyDescent="0.25">
      <c r="A35" s="7">
        <v>22</v>
      </c>
      <c r="B35" s="7" t="s">
        <v>394</v>
      </c>
      <c r="C35" s="7">
        <v>47</v>
      </c>
      <c r="D35" s="7">
        <v>22</v>
      </c>
      <c r="E35" s="7">
        <v>25</v>
      </c>
    </row>
    <row r="36" spans="1:5" ht="12.75" customHeight="1" x14ac:dyDescent="0.25">
      <c r="A36" s="21"/>
      <c r="B36" s="21"/>
      <c r="C36" s="21"/>
      <c r="D36" s="21"/>
      <c r="E36" s="21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  Bhamo District,   Momauk Township"/>
  </hyperlinks>
  <pageMargins left="0.75" right="0.5" top="0.5" bottom="0.2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zoomScaleNormal="100" workbookViewId="0">
      <selection sqref="A1:E1"/>
    </sheetView>
  </sheetViews>
  <sheetFormatPr defaultRowHeight="15" x14ac:dyDescent="0.25"/>
  <cols>
    <col min="1" max="1" width="9.140625" style="17"/>
    <col min="2" max="2" width="26.28515625" style="17" bestFit="1" customWidth="1"/>
    <col min="3" max="5" width="15.7109375" style="17" customWidth="1"/>
    <col min="6" max="16384" width="9.140625" style="17"/>
  </cols>
  <sheetData>
    <row r="1" spans="1:6" s="1" customFormat="1" ht="25.5" customHeight="1" x14ac:dyDescent="0.35">
      <c r="A1" s="42" t="s">
        <v>540</v>
      </c>
      <c r="B1" s="42"/>
      <c r="C1" s="42"/>
      <c r="D1" s="42"/>
      <c r="E1" s="42"/>
      <c r="F1" s="22"/>
    </row>
    <row r="2" spans="1:6" s="1" customFormat="1" ht="30" customHeight="1" x14ac:dyDescent="0.35">
      <c r="A2" s="22"/>
      <c r="B2" s="22"/>
      <c r="E2" s="18" t="s">
        <v>526</v>
      </c>
      <c r="F2" s="22"/>
    </row>
    <row r="3" spans="1:6" s="1" customFormat="1" ht="20.25" customHeight="1" x14ac:dyDescent="0.35">
      <c r="A3" s="22"/>
      <c r="B3" s="22"/>
      <c r="E3" s="18"/>
      <c r="F3" s="22"/>
    </row>
    <row r="4" spans="1:6" s="1" customFormat="1" ht="21" x14ac:dyDescent="0.35">
      <c r="A4" s="39" t="s">
        <v>527</v>
      </c>
      <c r="B4" s="39" t="s">
        <v>560</v>
      </c>
      <c r="C4" s="39" t="s">
        <v>523</v>
      </c>
      <c r="D4" s="39"/>
      <c r="E4" s="39"/>
    </row>
    <row r="5" spans="1:6" s="1" customFormat="1" ht="21" x14ac:dyDescent="0.35">
      <c r="A5" s="43"/>
      <c r="B5" s="43"/>
      <c r="C5" s="19" t="s">
        <v>0</v>
      </c>
      <c r="D5" s="19" t="s">
        <v>1</v>
      </c>
      <c r="E5" s="19" t="s">
        <v>2</v>
      </c>
    </row>
    <row r="6" spans="1:6" s="1" customFormat="1" ht="21.75" customHeight="1" x14ac:dyDescent="0.35">
      <c r="A6" s="4"/>
      <c r="B6" s="6" t="s">
        <v>558</v>
      </c>
      <c r="C6" s="9">
        <f>C8+C14</f>
        <v>52945</v>
      </c>
      <c r="D6" s="9">
        <f t="shared" ref="D6:E6" si="0">D8+D14</f>
        <v>26156</v>
      </c>
      <c r="E6" s="9">
        <f t="shared" si="0"/>
        <v>26789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SUM(C9:C12)</f>
        <v>8146</v>
      </c>
      <c r="D8" s="6">
        <f t="shared" ref="D8:E8" si="1">SUM(D9:D12)</f>
        <v>4087</v>
      </c>
      <c r="E8" s="6">
        <f t="shared" si="1"/>
        <v>4059</v>
      </c>
    </row>
    <row r="9" spans="1:6" ht="21.75" customHeight="1" x14ac:dyDescent="0.25">
      <c r="A9" s="4">
        <v>1</v>
      </c>
      <c r="B9" s="4" t="s">
        <v>395</v>
      </c>
      <c r="C9" s="4">
        <v>1713</v>
      </c>
      <c r="D9" s="4">
        <v>846</v>
      </c>
      <c r="E9" s="4">
        <v>867</v>
      </c>
    </row>
    <row r="10" spans="1:6" ht="21.75" customHeight="1" x14ac:dyDescent="0.25">
      <c r="A10" s="4">
        <v>2</v>
      </c>
      <c r="B10" s="4" t="s">
        <v>396</v>
      </c>
      <c r="C10" s="4">
        <v>1154</v>
      </c>
      <c r="D10" s="4">
        <v>564</v>
      </c>
      <c r="E10" s="4">
        <v>590</v>
      </c>
    </row>
    <row r="11" spans="1:6" ht="21.75" customHeight="1" x14ac:dyDescent="0.25">
      <c r="A11" s="4">
        <v>3</v>
      </c>
      <c r="B11" s="4" t="s">
        <v>397</v>
      </c>
      <c r="C11" s="4">
        <v>1161</v>
      </c>
      <c r="D11" s="4">
        <v>561</v>
      </c>
      <c r="E11" s="4">
        <v>600</v>
      </c>
    </row>
    <row r="12" spans="1:6" ht="21.75" customHeight="1" x14ac:dyDescent="0.25">
      <c r="A12" s="4">
        <v>4</v>
      </c>
      <c r="B12" s="4" t="s">
        <v>398</v>
      </c>
      <c r="C12" s="4">
        <v>4118</v>
      </c>
      <c r="D12" s="4">
        <v>2116</v>
      </c>
      <c r="E12" s="4">
        <v>2002</v>
      </c>
    </row>
    <row r="13" spans="1:6" ht="21.75" customHeight="1" x14ac:dyDescent="0.25">
      <c r="A13" s="4"/>
      <c r="B13" s="4"/>
      <c r="C13" s="4"/>
      <c r="D13" s="4"/>
      <c r="E13" s="4"/>
    </row>
    <row r="14" spans="1:6" ht="21.75" customHeight="1" x14ac:dyDescent="0.25">
      <c r="A14" s="4"/>
      <c r="B14" s="20" t="s">
        <v>559</v>
      </c>
      <c r="C14" s="6">
        <f>SUM(C15:C34)</f>
        <v>44799</v>
      </c>
      <c r="D14" s="6">
        <f t="shared" ref="D14:E14" si="2">SUM(D15:D34)</f>
        <v>22069</v>
      </c>
      <c r="E14" s="6">
        <f t="shared" si="2"/>
        <v>22730</v>
      </c>
    </row>
    <row r="15" spans="1:6" ht="21.75" customHeight="1" x14ac:dyDescent="0.25">
      <c r="A15" s="4">
        <v>1</v>
      </c>
      <c r="B15" s="4" t="s">
        <v>399</v>
      </c>
      <c r="C15" s="4">
        <v>539</v>
      </c>
      <c r="D15" s="4">
        <v>267</v>
      </c>
      <c r="E15" s="4">
        <v>272</v>
      </c>
    </row>
    <row r="16" spans="1:6" ht="21.75" customHeight="1" x14ac:dyDescent="0.25">
      <c r="A16" s="4">
        <v>2</v>
      </c>
      <c r="B16" s="4" t="s">
        <v>400</v>
      </c>
      <c r="C16" s="4">
        <v>325</v>
      </c>
      <c r="D16" s="4">
        <v>154</v>
      </c>
      <c r="E16" s="4">
        <v>171</v>
      </c>
    </row>
    <row r="17" spans="1:5" ht="21.75" customHeight="1" x14ac:dyDescent="0.25">
      <c r="A17" s="4">
        <v>3</v>
      </c>
      <c r="B17" s="4" t="s">
        <v>401</v>
      </c>
      <c r="C17" s="4">
        <v>3517</v>
      </c>
      <c r="D17" s="4">
        <v>1804</v>
      </c>
      <c r="E17" s="4">
        <v>1713</v>
      </c>
    </row>
    <row r="18" spans="1:5" ht="21.75" customHeight="1" x14ac:dyDescent="0.25">
      <c r="A18" s="4">
        <v>4</v>
      </c>
      <c r="B18" s="4" t="s">
        <v>402</v>
      </c>
      <c r="C18" s="4">
        <v>2080</v>
      </c>
      <c r="D18" s="4">
        <v>1057</v>
      </c>
      <c r="E18" s="4">
        <v>1023</v>
      </c>
    </row>
    <row r="19" spans="1:5" ht="21.75" customHeight="1" x14ac:dyDescent="0.25">
      <c r="A19" s="4">
        <v>5</v>
      </c>
      <c r="B19" s="4" t="s">
        <v>403</v>
      </c>
      <c r="C19" s="4">
        <v>1519</v>
      </c>
      <c r="D19" s="4">
        <v>806</v>
      </c>
      <c r="E19" s="4">
        <v>713</v>
      </c>
    </row>
    <row r="20" spans="1:5" ht="21.75" customHeight="1" x14ac:dyDescent="0.25">
      <c r="A20" s="4">
        <v>6</v>
      </c>
      <c r="B20" s="4" t="s">
        <v>404</v>
      </c>
      <c r="C20" s="4">
        <v>5173</v>
      </c>
      <c r="D20" s="4">
        <v>2555</v>
      </c>
      <c r="E20" s="4">
        <v>2618</v>
      </c>
    </row>
    <row r="21" spans="1:5" ht="21.75" customHeight="1" x14ac:dyDescent="0.25">
      <c r="A21" s="4">
        <v>7</v>
      </c>
      <c r="B21" s="4" t="s">
        <v>405</v>
      </c>
      <c r="C21" s="4">
        <v>4851</v>
      </c>
      <c r="D21" s="4">
        <v>2328</v>
      </c>
      <c r="E21" s="4">
        <v>2523</v>
      </c>
    </row>
    <row r="22" spans="1:5" ht="21.75" customHeight="1" x14ac:dyDescent="0.25">
      <c r="A22" s="4">
        <v>8</v>
      </c>
      <c r="B22" s="4" t="s">
        <v>406</v>
      </c>
      <c r="C22" s="4">
        <v>187</v>
      </c>
      <c r="D22" s="4">
        <v>100</v>
      </c>
      <c r="E22" s="4">
        <v>87</v>
      </c>
    </row>
    <row r="23" spans="1:5" ht="21.75" customHeight="1" x14ac:dyDescent="0.25">
      <c r="A23" s="4">
        <v>9</v>
      </c>
      <c r="B23" s="4" t="s">
        <v>407</v>
      </c>
      <c r="C23" s="4">
        <v>378</v>
      </c>
      <c r="D23" s="4">
        <v>183</v>
      </c>
      <c r="E23" s="4">
        <v>195</v>
      </c>
    </row>
    <row r="24" spans="1:5" ht="21.75" customHeight="1" x14ac:dyDescent="0.25">
      <c r="A24" s="4">
        <v>10</v>
      </c>
      <c r="B24" s="4" t="s">
        <v>408</v>
      </c>
      <c r="C24" s="4">
        <v>7533</v>
      </c>
      <c r="D24" s="4">
        <v>3602</v>
      </c>
      <c r="E24" s="4">
        <v>3931</v>
      </c>
    </row>
    <row r="25" spans="1:5" ht="21.75" customHeight="1" x14ac:dyDescent="0.25">
      <c r="A25" s="4">
        <v>11</v>
      </c>
      <c r="B25" s="4" t="s">
        <v>409</v>
      </c>
      <c r="C25" s="4">
        <v>1235</v>
      </c>
      <c r="D25" s="4">
        <v>604</v>
      </c>
      <c r="E25" s="4">
        <v>631</v>
      </c>
    </row>
    <row r="26" spans="1:5" ht="21.75" customHeight="1" x14ac:dyDescent="0.25">
      <c r="A26" s="4">
        <v>12</v>
      </c>
      <c r="B26" s="4" t="s">
        <v>410</v>
      </c>
      <c r="C26" s="4">
        <v>1695</v>
      </c>
      <c r="D26" s="4">
        <v>804</v>
      </c>
      <c r="E26" s="4">
        <v>891</v>
      </c>
    </row>
    <row r="27" spans="1:5" ht="21.75" customHeight="1" x14ac:dyDescent="0.25">
      <c r="A27" s="4">
        <v>13</v>
      </c>
      <c r="B27" s="4" t="s">
        <v>411</v>
      </c>
      <c r="C27" s="4">
        <v>3154</v>
      </c>
      <c r="D27" s="4">
        <v>1482</v>
      </c>
      <c r="E27" s="4">
        <v>1672</v>
      </c>
    </row>
    <row r="28" spans="1:5" ht="21.75" customHeight="1" x14ac:dyDescent="0.25">
      <c r="A28" s="4">
        <v>14</v>
      </c>
      <c r="B28" s="4" t="s">
        <v>412</v>
      </c>
      <c r="C28" s="4">
        <v>2982</v>
      </c>
      <c r="D28" s="4">
        <v>1408</v>
      </c>
      <c r="E28" s="4">
        <v>1574</v>
      </c>
    </row>
    <row r="29" spans="1:5" ht="21.75" customHeight="1" x14ac:dyDescent="0.25">
      <c r="A29" s="4">
        <v>15</v>
      </c>
      <c r="B29" s="4" t="s">
        <v>413</v>
      </c>
      <c r="C29" s="4">
        <v>469</v>
      </c>
      <c r="D29" s="4">
        <v>236</v>
      </c>
      <c r="E29" s="4">
        <v>233</v>
      </c>
    </row>
    <row r="30" spans="1:5" ht="21.75" customHeight="1" x14ac:dyDescent="0.25">
      <c r="A30" s="4">
        <v>16</v>
      </c>
      <c r="B30" s="4" t="s">
        <v>414</v>
      </c>
      <c r="C30" s="4">
        <v>1725</v>
      </c>
      <c r="D30" s="4">
        <v>855</v>
      </c>
      <c r="E30" s="4">
        <v>870</v>
      </c>
    </row>
    <row r="31" spans="1:5" ht="21.75" customHeight="1" x14ac:dyDescent="0.25">
      <c r="A31" s="4">
        <v>17</v>
      </c>
      <c r="B31" s="4" t="s">
        <v>415</v>
      </c>
      <c r="C31" s="4">
        <v>1810</v>
      </c>
      <c r="D31" s="4">
        <v>914</v>
      </c>
      <c r="E31" s="4">
        <v>896</v>
      </c>
    </row>
    <row r="32" spans="1:5" ht="21.75" customHeight="1" x14ac:dyDescent="0.25">
      <c r="A32" s="4">
        <v>18</v>
      </c>
      <c r="B32" s="4" t="s">
        <v>381</v>
      </c>
      <c r="C32" s="4">
        <v>1076</v>
      </c>
      <c r="D32" s="4">
        <v>557</v>
      </c>
      <c r="E32" s="4">
        <v>519</v>
      </c>
    </row>
    <row r="33" spans="1:5" ht="21.75" customHeight="1" x14ac:dyDescent="0.25">
      <c r="A33" s="7">
        <v>19</v>
      </c>
      <c r="B33" s="7" t="s">
        <v>416</v>
      </c>
      <c r="C33" s="7">
        <v>2397</v>
      </c>
      <c r="D33" s="7">
        <v>1255</v>
      </c>
      <c r="E33" s="7">
        <v>1142</v>
      </c>
    </row>
    <row r="34" spans="1:5" ht="21.75" customHeight="1" x14ac:dyDescent="0.25">
      <c r="A34" s="11">
        <v>20</v>
      </c>
      <c r="B34" s="11" t="s">
        <v>417</v>
      </c>
      <c r="C34" s="11">
        <v>2154</v>
      </c>
      <c r="D34" s="11">
        <v>1098</v>
      </c>
      <c r="E34" s="11">
        <v>1056</v>
      </c>
    </row>
    <row r="35" spans="1:5" ht="15.75" x14ac:dyDescent="0.25">
      <c r="A35" s="10"/>
      <c r="B35" s="10"/>
      <c r="C35" s="10"/>
      <c r="D35" s="10"/>
      <c r="E35" s="10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  Bhamo District,   Mansi Township"/>
  </hyperlinks>
  <pageMargins left="0.75" right="0.5" top="0.5" bottom="0.2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E1"/>
    </sheetView>
  </sheetViews>
  <sheetFormatPr defaultRowHeight="15" x14ac:dyDescent="0.25"/>
  <cols>
    <col min="1" max="1" width="9.140625" style="17"/>
    <col min="2" max="2" width="30.7109375" style="17" bestFit="1" customWidth="1"/>
    <col min="3" max="5" width="15.7109375" style="17" customWidth="1"/>
    <col min="6" max="16384" width="9.140625" style="17"/>
  </cols>
  <sheetData>
    <row r="1" spans="1:6" s="1" customFormat="1" ht="25.5" customHeight="1" x14ac:dyDescent="0.35">
      <c r="A1" s="48" t="s">
        <v>541</v>
      </c>
      <c r="B1" s="48"/>
      <c r="C1" s="48"/>
      <c r="D1" s="48"/>
      <c r="E1" s="48"/>
      <c r="F1" s="22"/>
    </row>
    <row r="2" spans="1:6" s="1" customFormat="1" ht="30" customHeight="1" x14ac:dyDescent="0.35">
      <c r="A2" s="22"/>
      <c r="B2" s="22"/>
      <c r="E2" s="18" t="s">
        <v>526</v>
      </c>
      <c r="F2" s="22"/>
    </row>
    <row r="3" spans="1:6" s="1" customFormat="1" ht="30" customHeight="1" x14ac:dyDescent="0.35">
      <c r="A3" s="22"/>
      <c r="B3" s="22"/>
      <c r="E3" s="18"/>
      <c r="F3" s="22"/>
    </row>
    <row r="4" spans="1:6" s="1" customFormat="1" ht="2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6" s="1" customFormat="1" ht="2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6" s="1" customFormat="1" ht="21.75" customHeight="1" x14ac:dyDescent="0.35">
      <c r="A6" s="14"/>
      <c r="B6" s="33" t="s">
        <v>558</v>
      </c>
      <c r="C6" s="15">
        <f>C8+C14</f>
        <v>4093</v>
      </c>
      <c r="D6" s="15">
        <f t="shared" ref="D6:E6" si="0">D8+D14</f>
        <v>2112</v>
      </c>
      <c r="E6" s="15">
        <f t="shared" si="0"/>
        <v>1981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SUM(C9:C12)</f>
        <v>1828</v>
      </c>
      <c r="D8" s="6">
        <f t="shared" ref="D8:E8" si="1">SUM(D9:D12)</f>
        <v>951</v>
      </c>
      <c r="E8" s="6">
        <f t="shared" si="1"/>
        <v>877</v>
      </c>
    </row>
    <row r="9" spans="1:6" ht="21.75" customHeight="1" x14ac:dyDescent="0.25">
      <c r="A9" s="4">
        <v>1</v>
      </c>
      <c r="B9" s="4" t="s">
        <v>48</v>
      </c>
      <c r="C9" s="4">
        <v>421</v>
      </c>
      <c r="D9" s="4">
        <v>209</v>
      </c>
      <c r="E9" s="4">
        <v>212</v>
      </c>
    </row>
    <row r="10" spans="1:6" ht="21.75" customHeight="1" x14ac:dyDescent="0.25">
      <c r="A10" s="4">
        <v>2</v>
      </c>
      <c r="B10" s="4" t="s">
        <v>49</v>
      </c>
      <c r="C10" s="4">
        <v>523</v>
      </c>
      <c r="D10" s="4">
        <v>268</v>
      </c>
      <c r="E10" s="4">
        <v>255</v>
      </c>
    </row>
    <row r="11" spans="1:6" ht="21.75" customHeight="1" x14ac:dyDescent="0.25">
      <c r="A11" s="4">
        <v>3</v>
      </c>
      <c r="B11" s="4" t="s">
        <v>50</v>
      </c>
      <c r="C11" s="4">
        <v>476</v>
      </c>
      <c r="D11" s="4">
        <v>251</v>
      </c>
      <c r="E11" s="4">
        <v>225</v>
      </c>
    </row>
    <row r="12" spans="1:6" ht="21.75" customHeight="1" x14ac:dyDescent="0.25">
      <c r="A12" s="4">
        <v>4</v>
      </c>
      <c r="B12" s="4" t="s">
        <v>51</v>
      </c>
      <c r="C12" s="4">
        <v>408</v>
      </c>
      <c r="D12" s="4">
        <v>223</v>
      </c>
      <c r="E12" s="4">
        <v>185</v>
      </c>
    </row>
    <row r="13" spans="1:6" ht="21.75" customHeight="1" x14ac:dyDescent="0.25">
      <c r="A13" s="4"/>
      <c r="B13" s="4"/>
      <c r="C13" s="4"/>
      <c r="D13" s="4"/>
      <c r="E13" s="4"/>
    </row>
    <row r="14" spans="1:6" ht="21.75" customHeight="1" x14ac:dyDescent="0.25">
      <c r="A14" s="4"/>
      <c r="B14" s="20" t="s">
        <v>559</v>
      </c>
      <c r="C14" s="6">
        <f>SUM(C15:C16)</f>
        <v>2265</v>
      </c>
      <c r="D14" s="6">
        <f t="shared" ref="D14:E14" si="2">SUM(D15:D16)</f>
        <v>1161</v>
      </c>
      <c r="E14" s="6">
        <f t="shared" si="2"/>
        <v>1104</v>
      </c>
    </row>
    <row r="15" spans="1:6" ht="21.75" customHeight="1" x14ac:dyDescent="0.25">
      <c r="A15" s="4">
        <v>1</v>
      </c>
      <c r="B15" s="4" t="s">
        <v>418</v>
      </c>
      <c r="C15" s="4">
        <v>807</v>
      </c>
      <c r="D15" s="4">
        <v>450</v>
      </c>
      <c r="E15" s="4">
        <v>357</v>
      </c>
    </row>
    <row r="16" spans="1:6" ht="21.75" customHeight="1" x14ac:dyDescent="0.25">
      <c r="A16" s="7">
        <v>2</v>
      </c>
      <c r="B16" s="7" t="s">
        <v>419</v>
      </c>
      <c r="C16" s="7">
        <v>1458</v>
      </c>
      <c r="D16" s="7">
        <v>711</v>
      </c>
      <c r="E16" s="7">
        <v>747</v>
      </c>
    </row>
    <row r="17" spans="1:5" ht="21.75" customHeight="1" x14ac:dyDescent="0.25">
      <c r="A17" s="21"/>
      <c r="B17" s="21"/>
      <c r="C17" s="21"/>
      <c r="D17" s="21"/>
      <c r="E17" s="21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  Bhamo District,   Myohla (Sub-Township)"/>
  </hyperlinks>
  <pageMargins left="0.75" right="0.5" top="0.5" bottom="0.2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sqref="A1:E1"/>
    </sheetView>
  </sheetViews>
  <sheetFormatPr defaultRowHeight="15.75" x14ac:dyDescent="0.25"/>
  <cols>
    <col min="1" max="1" width="9.140625" style="3"/>
    <col min="2" max="2" width="30.42578125" style="3" bestFit="1" customWidth="1"/>
    <col min="3" max="5" width="15.7109375" style="3" customWidth="1"/>
    <col min="6" max="16384" width="9.140625" style="17"/>
  </cols>
  <sheetData>
    <row r="1" spans="1:6" s="1" customFormat="1" ht="25.5" customHeight="1" x14ac:dyDescent="0.35">
      <c r="A1" s="42" t="s">
        <v>546</v>
      </c>
      <c r="B1" s="42"/>
      <c r="C1" s="42"/>
      <c r="D1" s="42"/>
      <c r="E1" s="42"/>
      <c r="F1" s="22"/>
    </row>
    <row r="2" spans="1:6" s="1" customFormat="1" ht="30" customHeight="1" x14ac:dyDescent="0.35">
      <c r="A2" s="27"/>
      <c r="B2" s="27"/>
      <c r="C2" s="3"/>
      <c r="D2" s="3"/>
      <c r="E2" s="18" t="s">
        <v>526</v>
      </c>
      <c r="F2" s="22"/>
    </row>
    <row r="3" spans="1:6" s="1" customFormat="1" ht="19.5" customHeight="1" x14ac:dyDescent="0.35">
      <c r="A3" s="27"/>
      <c r="B3" s="27"/>
      <c r="C3" s="3"/>
      <c r="D3" s="3"/>
      <c r="E3" s="18"/>
      <c r="F3" s="22"/>
    </row>
    <row r="4" spans="1:6" s="1" customFormat="1" ht="2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6" s="1" customFormat="1" ht="2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6" s="1" customFormat="1" ht="21.75" customHeight="1" x14ac:dyDescent="0.35">
      <c r="A6" s="14"/>
      <c r="B6" s="6" t="s">
        <v>558</v>
      </c>
      <c r="C6" s="15">
        <f>C8+C17</f>
        <v>10039</v>
      </c>
      <c r="D6" s="15">
        <f t="shared" ref="D6:E6" si="0">D8+D17</f>
        <v>4965</v>
      </c>
      <c r="E6" s="15">
        <f t="shared" si="0"/>
        <v>5074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SUM(C9:C15)</f>
        <v>8375</v>
      </c>
      <c r="D8" s="6">
        <f t="shared" ref="D8:E8" si="1">SUM(D9:D15)</f>
        <v>4112</v>
      </c>
      <c r="E8" s="6">
        <f t="shared" si="1"/>
        <v>4263</v>
      </c>
    </row>
    <row r="9" spans="1:6" ht="21.75" customHeight="1" x14ac:dyDescent="0.25">
      <c r="A9" s="4">
        <v>1</v>
      </c>
      <c r="B9" s="4" t="s">
        <v>154</v>
      </c>
      <c r="C9" s="4">
        <v>1107</v>
      </c>
      <c r="D9" s="4">
        <v>576</v>
      </c>
      <c r="E9" s="4">
        <v>531</v>
      </c>
    </row>
    <row r="10" spans="1:6" ht="21.75" customHeight="1" x14ac:dyDescent="0.25">
      <c r="A10" s="4">
        <v>2</v>
      </c>
      <c r="B10" s="4" t="s">
        <v>420</v>
      </c>
      <c r="C10" s="4">
        <v>1465</v>
      </c>
      <c r="D10" s="4">
        <v>689</v>
      </c>
      <c r="E10" s="4">
        <v>776</v>
      </c>
    </row>
    <row r="11" spans="1:6" ht="21.75" customHeight="1" x14ac:dyDescent="0.25">
      <c r="A11" s="4">
        <v>3</v>
      </c>
      <c r="B11" s="4" t="s">
        <v>155</v>
      </c>
      <c r="C11" s="4">
        <v>1176</v>
      </c>
      <c r="D11" s="4">
        <v>596</v>
      </c>
      <c r="E11" s="4">
        <v>580</v>
      </c>
    </row>
    <row r="12" spans="1:6" ht="21.75" customHeight="1" x14ac:dyDescent="0.25">
      <c r="A12" s="4">
        <v>4</v>
      </c>
      <c r="B12" s="4" t="s">
        <v>421</v>
      </c>
      <c r="C12" s="4">
        <v>904</v>
      </c>
      <c r="D12" s="4">
        <v>431</v>
      </c>
      <c r="E12" s="4">
        <v>473</v>
      </c>
    </row>
    <row r="13" spans="1:6" ht="21.75" customHeight="1" x14ac:dyDescent="0.25">
      <c r="A13" s="4">
        <v>5</v>
      </c>
      <c r="B13" s="4" t="s">
        <v>422</v>
      </c>
      <c r="C13" s="4">
        <v>2792</v>
      </c>
      <c r="D13" s="4">
        <v>1371</v>
      </c>
      <c r="E13" s="4">
        <v>1421</v>
      </c>
    </row>
    <row r="14" spans="1:6" ht="21.75" customHeight="1" x14ac:dyDescent="0.25">
      <c r="A14" s="4">
        <v>6</v>
      </c>
      <c r="B14" s="4" t="s">
        <v>423</v>
      </c>
      <c r="C14" s="4">
        <v>559</v>
      </c>
      <c r="D14" s="4">
        <v>265</v>
      </c>
      <c r="E14" s="4">
        <v>294</v>
      </c>
    </row>
    <row r="15" spans="1:6" ht="21.75" customHeight="1" x14ac:dyDescent="0.25">
      <c r="A15" s="4">
        <v>7</v>
      </c>
      <c r="B15" s="4" t="s">
        <v>424</v>
      </c>
      <c r="C15" s="4">
        <v>372</v>
      </c>
      <c r="D15" s="4">
        <v>184</v>
      </c>
      <c r="E15" s="4">
        <v>188</v>
      </c>
    </row>
    <row r="16" spans="1:6" ht="21.75" customHeight="1" x14ac:dyDescent="0.25">
      <c r="A16" s="4"/>
      <c r="B16" s="4"/>
      <c r="C16" s="4"/>
      <c r="D16" s="4"/>
      <c r="E16" s="4"/>
    </row>
    <row r="17" spans="1:5" ht="21.75" customHeight="1" x14ac:dyDescent="0.25">
      <c r="A17" s="4"/>
      <c r="B17" s="20" t="s">
        <v>559</v>
      </c>
      <c r="C17" s="6">
        <f>SUM(C18:C22)</f>
        <v>1664</v>
      </c>
      <c r="D17" s="6">
        <f t="shared" ref="D17:E17" si="2">SUM(D18:D22)</f>
        <v>853</v>
      </c>
      <c r="E17" s="6">
        <f t="shared" si="2"/>
        <v>811</v>
      </c>
    </row>
    <row r="18" spans="1:5" ht="21.75" customHeight="1" x14ac:dyDescent="0.25">
      <c r="A18" s="4">
        <v>1</v>
      </c>
      <c r="B18" s="4" t="s">
        <v>425</v>
      </c>
      <c r="C18" s="4">
        <v>83</v>
      </c>
      <c r="D18" s="4">
        <v>58</v>
      </c>
      <c r="E18" s="4">
        <v>25</v>
      </c>
    </row>
    <row r="19" spans="1:5" ht="21.75" customHeight="1" x14ac:dyDescent="0.25">
      <c r="A19" s="4">
        <v>2</v>
      </c>
      <c r="B19" s="4" t="s">
        <v>426</v>
      </c>
      <c r="C19" s="4">
        <v>540</v>
      </c>
      <c r="D19" s="4">
        <v>256</v>
      </c>
      <c r="E19" s="4">
        <v>284</v>
      </c>
    </row>
    <row r="20" spans="1:5" ht="21.75" customHeight="1" x14ac:dyDescent="0.25">
      <c r="A20" s="4">
        <v>3</v>
      </c>
      <c r="B20" s="4" t="s">
        <v>427</v>
      </c>
      <c r="C20" s="4">
        <v>15</v>
      </c>
      <c r="D20" s="4">
        <v>6</v>
      </c>
      <c r="E20" s="4">
        <v>9</v>
      </c>
    </row>
    <row r="21" spans="1:5" ht="21.75" customHeight="1" x14ac:dyDescent="0.25">
      <c r="A21" s="4">
        <v>4</v>
      </c>
      <c r="B21" s="4" t="s">
        <v>428</v>
      </c>
      <c r="C21" s="4">
        <v>300</v>
      </c>
      <c r="D21" s="4">
        <v>151</v>
      </c>
      <c r="E21" s="4">
        <v>149</v>
      </c>
    </row>
    <row r="22" spans="1:5" ht="21.75" customHeight="1" x14ac:dyDescent="0.25">
      <c r="A22" s="7">
        <v>5</v>
      </c>
      <c r="B22" s="7" t="s">
        <v>429</v>
      </c>
      <c r="C22" s="7">
        <v>726</v>
      </c>
      <c r="D22" s="7">
        <v>382</v>
      </c>
      <c r="E22" s="7">
        <v>344</v>
      </c>
    </row>
    <row r="23" spans="1:5" x14ac:dyDescent="0.25">
      <c r="A23" s="10"/>
      <c r="B23" s="10"/>
      <c r="C23" s="10"/>
      <c r="D23" s="10"/>
      <c r="E23" s="10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  Bhamo District,  Lwe`ge` (Sub-Township)"/>
  </hyperlinks>
  <pageMargins left="0.75" right="0.5" top="0.5" bottom="0.2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sqref="A1:E1"/>
    </sheetView>
  </sheetViews>
  <sheetFormatPr defaultRowHeight="15" x14ac:dyDescent="0.25"/>
  <cols>
    <col min="1" max="1" width="10.42578125" style="17" customWidth="1"/>
    <col min="2" max="2" width="28.28515625" style="17" customWidth="1"/>
    <col min="3" max="5" width="15.7109375" style="17" customWidth="1"/>
    <col min="6" max="16384" width="9.140625" style="17"/>
  </cols>
  <sheetData>
    <row r="1" spans="1:6" s="1" customFormat="1" ht="25.5" customHeight="1" x14ac:dyDescent="0.35">
      <c r="A1" s="42" t="s">
        <v>547</v>
      </c>
      <c r="B1" s="42"/>
      <c r="C1" s="42"/>
      <c r="D1" s="42"/>
      <c r="E1" s="42"/>
      <c r="F1" s="22"/>
    </row>
    <row r="2" spans="1:6" s="1" customFormat="1" ht="30" customHeight="1" x14ac:dyDescent="0.35">
      <c r="A2" s="22"/>
      <c r="B2" s="22"/>
      <c r="E2" s="18" t="s">
        <v>526</v>
      </c>
      <c r="F2" s="22"/>
    </row>
    <row r="3" spans="1:6" s="1" customFormat="1" ht="16.5" customHeight="1" x14ac:dyDescent="0.35">
      <c r="A3" s="22"/>
      <c r="B3" s="22"/>
      <c r="E3" s="18"/>
      <c r="F3" s="22"/>
    </row>
    <row r="4" spans="1:6" s="1" customFormat="1" ht="2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6" s="1" customFormat="1" ht="2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6" s="1" customFormat="1" ht="21.75" customHeight="1" x14ac:dyDescent="0.35">
      <c r="A6" s="12"/>
      <c r="B6" s="6" t="s">
        <v>558</v>
      </c>
      <c r="C6" s="13">
        <f>C8+C13</f>
        <v>11313</v>
      </c>
      <c r="D6" s="13">
        <f t="shared" ref="D6:E6" si="0">D8+D13</f>
        <v>5816</v>
      </c>
      <c r="E6" s="13">
        <f t="shared" si="0"/>
        <v>5497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SUM(C9:C11)</f>
        <v>1881</v>
      </c>
      <c r="D8" s="6">
        <f t="shared" ref="D8:E8" si="1">SUM(D9:D11)</f>
        <v>981</v>
      </c>
      <c r="E8" s="6">
        <f t="shared" si="1"/>
        <v>900</v>
      </c>
    </row>
    <row r="9" spans="1:6" ht="21.75" customHeight="1" x14ac:dyDescent="0.25">
      <c r="A9" s="4">
        <v>1</v>
      </c>
      <c r="B9" s="4" t="s">
        <v>48</v>
      </c>
      <c r="C9" s="4">
        <v>701</v>
      </c>
      <c r="D9" s="4">
        <v>361</v>
      </c>
      <c r="E9" s="4">
        <v>340</v>
      </c>
    </row>
    <row r="10" spans="1:6" ht="21.75" customHeight="1" x14ac:dyDescent="0.25">
      <c r="A10" s="4">
        <v>2</v>
      </c>
      <c r="B10" s="4" t="s">
        <v>49</v>
      </c>
      <c r="C10" s="4">
        <v>368</v>
      </c>
      <c r="D10" s="4">
        <v>178</v>
      </c>
      <c r="E10" s="4">
        <v>190</v>
      </c>
    </row>
    <row r="11" spans="1:6" ht="21.75" customHeight="1" x14ac:dyDescent="0.25">
      <c r="A11" s="4">
        <v>3</v>
      </c>
      <c r="B11" s="4" t="s">
        <v>50</v>
      </c>
      <c r="C11" s="4">
        <v>812</v>
      </c>
      <c r="D11" s="4">
        <v>442</v>
      </c>
      <c r="E11" s="4">
        <v>370</v>
      </c>
    </row>
    <row r="12" spans="1:6" ht="21.75" customHeight="1" x14ac:dyDescent="0.25">
      <c r="A12" s="4"/>
      <c r="B12" s="4"/>
      <c r="C12" s="4"/>
      <c r="D12" s="4"/>
      <c r="E12" s="4"/>
    </row>
    <row r="13" spans="1:6" ht="21.75" customHeight="1" x14ac:dyDescent="0.25">
      <c r="A13" s="4"/>
      <c r="B13" s="20" t="s">
        <v>559</v>
      </c>
      <c r="C13" s="6">
        <f>SUM(C14:C23)</f>
        <v>9432</v>
      </c>
      <c r="D13" s="6">
        <f t="shared" ref="D13:E13" si="2">SUM(D14:D23)</f>
        <v>4835</v>
      </c>
      <c r="E13" s="6">
        <f t="shared" si="2"/>
        <v>4597</v>
      </c>
    </row>
    <row r="14" spans="1:6" ht="21.75" customHeight="1" x14ac:dyDescent="0.25">
      <c r="A14" s="4">
        <v>1</v>
      </c>
      <c r="B14" s="4" t="s">
        <v>430</v>
      </c>
      <c r="C14" s="4">
        <v>108</v>
      </c>
      <c r="D14" s="4">
        <v>77</v>
      </c>
      <c r="E14" s="4">
        <v>31</v>
      </c>
    </row>
    <row r="15" spans="1:6" ht="21.75" customHeight="1" x14ac:dyDescent="0.25">
      <c r="A15" s="4">
        <v>2</v>
      </c>
      <c r="B15" s="4" t="s">
        <v>431</v>
      </c>
      <c r="C15" s="4">
        <v>1721</v>
      </c>
      <c r="D15" s="4">
        <v>891</v>
      </c>
      <c r="E15" s="4">
        <v>830</v>
      </c>
    </row>
    <row r="16" spans="1:6" ht="21.75" customHeight="1" x14ac:dyDescent="0.25">
      <c r="A16" s="4">
        <v>3</v>
      </c>
      <c r="B16" s="4" t="s">
        <v>432</v>
      </c>
      <c r="C16" s="4">
        <v>1077</v>
      </c>
      <c r="D16" s="4">
        <v>564</v>
      </c>
      <c r="E16" s="4">
        <v>513</v>
      </c>
    </row>
    <row r="17" spans="1:5" ht="21.75" customHeight="1" x14ac:dyDescent="0.25">
      <c r="A17" s="4">
        <v>4</v>
      </c>
      <c r="B17" s="4" t="s">
        <v>433</v>
      </c>
      <c r="C17" s="4">
        <v>3105</v>
      </c>
      <c r="D17" s="4">
        <v>1600</v>
      </c>
      <c r="E17" s="4">
        <v>1505</v>
      </c>
    </row>
    <row r="18" spans="1:5" ht="21.75" customHeight="1" x14ac:dyDescent="0.25">
      <c r="A18" s="4">
        <v>5</v>
      </c>
      <c r="B18" s="4" t="s">
        <v>434</v>
      </c>
      <c r="C18" s="4">
        <v>1277</v>
      </c>
      <c r="D18" s="4">
        <v>639</v>
      </c>
      <c r="E18" s="4">
        <v>638</v>
      </c>
    </row>
    <row r="19" spans="1:5" ht="21.75" customHeight="1" x14ac:dyDescent="0.25">
      <c r="A19" s="4">
        <v>6</v>
      </c>
      <c r="B19" s="4" t="s">
        <v>435</v>
      </c>
      <c r="C19" s="4">
        <v>374</v>
      </c>
      <c r="D19" s="4">
        <v>189</v>
      </c>
      <c r="E19" s="4">
        <v>185</v>
      </c>
    </row>
    <row r="20" spans="1:5" ht="21.75" customHeight="1" x14ac:dyDescent="0.25">
      <c r="A20" s="4">
        <v>7</v>
      </c>
      <c r="B20" s="4" t="s">
        <v>436</v>
      </c>
      <c r="C20" s="4">
        <v>498</v>
      </c>
      <c r="D20" s="4">
        <v>225</v>
      </c>
      <c r="E20" s="4">
        <v>273</v>
      </c>
    </row>
    <row r="21" spans="1:5" ht="21.75" customHeight="1" x14ac:dyDescent="0.25">
      <c r="A21" s="4">
        <v>8</v>
      </c>
      <c r="B21" s="4" t="s">
        <v>437</v>
      </c>
      <c r="C21" s="4">
        <v>27</v>
      </c>
      <c r="D21" s="4">
        <v>13</v>
      </c>
      <c r="E21" s="4">
        <v>14</v>
      </c>
    </row>
    <row r="22" spans="1:5" ht="21.75" customHeight="1" x14ac:dyDescent="0.25">
      <c r="A22" s="4">
        <v>9</v>
      </c>
      <c r="B22" s="4" t="s">
        <v>438</v>
      </c>
      <c r="C22" s="4">
        <v>370</v>
      </c>
      <c r="D22" s="4">
        <v>193</v>
      </c>
      <c r="E22" s="4">
        <v>177</v>
      </c>
    </row>
    <row r="23" spans="1:5" ht="21.75" customHeight="1" x14ac:dyDescent="0.25">
      <c r="A23" s="4">
        <v>10</v>
      </c>
      <c r="B23" s="7" t="s">
        <v>439</v>
      </c>
      <c r="C23" s="7">
        <v>875</v>
      </c>
      <c r="D23" s="7">
        <v>444</v>
      </c>
      <c r="E23" s="7">
        <v>431</v>
      </c>
    </row>
    <row r="24" spans="1:5" x14ac:dyDescent="0.25">
      <c r="A24" s="21"/>
      <c r="B24" s="21"/>
      <c r="C24" s="21"/>
      <c r="D24" s="21"/>
      <c r="E24" s="21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Bhamo District, Dotphoneyan (Sub-Township)"/>
  </hyperlinks>
  <pageMargins left="0.75" right="0.5" top="0.5" bottom="0.2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E1"/>
    </sheetView>
  </sheetViews>
  <sheetFormatPr defaultRowHeight="15.75" x14ac:dyDescent="0.25"/>
  <cols>
    <col min="1" max="1" width="9.140625" style="3"/>
    <col min="2" max="2" width="30.28515625" style="3" bestFit="1" customWidth="1"/>
    <col min="3" max="5" width="15.7109375" style="3" customWidth="1"/>
    <col min="6" max="16384" width="9.140625" style="17"/>
  </cols>
  <sheetData>
    <row r="1" spans="1:6" s="1" customFormat="1" ht="25.5" customHeight="1" x14ac:dyDescent="0.35">
      <c r="A1" s="42" t="s">
        <v>548</v>
      </c>
      <c r="B1" s="42"/>
      <c r="C1" s="42"/>
      <c r="D1" s="42"/>
      <c r="E1" s="42"/>
      <c r="F1" s="22"/>
    </row>
    <row r="2" spans="1:6" s="1" customFormat="1" ht="30" customHeight="1" x14ac:dyDescent="0.35">
      <c r="A2" s="27"/>
      <c r="B2" s="27"/>
      <c r="C2" s="3"/>
      <c r="D2" s="3"/>
      <c r="E2" s="18" t="s">
        <v>526</v>
      </c>
      <c r="F2" s="22"/>
    </row>
    <row r="3" spans="1:6" s="1" customFormat="1" ht="17.25" customHeight="1" x14ac:dyDescent="0.35">
      <c r="A3" s="27"/>
      <c r="B3" s="27"/>
      <c r="C3" s="3"/>
      <c r="D3" s="3"/>
      <c r="E3" s="18"/>
      <c r="F3" s="22"/>
    </row>
    <row r="4" spans="1:6" s="1" customFormat="1" ht="2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6" s="1" customFormat="1" ht="2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6" s="1" customFormat="1" ht="21.75" customHeight="1" x14ac:dyDescent="0.35">
      <c r="A6" s="12"/>
      <c r="B6" s="6" t="s">
        <v>558</v>
      </c>
      <c r="C6" s="13">
        <f>C8+C20</f>
        <v>61075</v>
      </c>
      <c r="D6" s="13">
        <f t="shared" ref="D6:E6" si="0">D8+D20</f>
        <v>30162</v>
      </c>
      <c r="E6" s="13">
        <f t="shared" si="0"/>
        <v>30913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SUM(C9:C18)</f>
        <v>15978</v>
      </c>
      <c r="D8" s="6">
        <f t="shared" ref="D8:E8" si="1">SUM(D9:D18)</f>
        <v>7706</v>
      </c>
      <c r="E8" s="6">
        <f t="shared" si="1"/>
        <v>8272</v>
      </c>
    </row>
    <row r="9" spans="1:6" ht="21.75" customHeight="1" x14ac:dyDescent="0.25">
      <c r="A9" s="4">
        <v>1</v>
      </c>
      <c r="B9" s="4" t="s">
        <v>440</v>
      </c>
      <c r="C9" s="4">
        <v>571</v>
      </c>
      <c r="D9" s="4">
        <v>279</v>
      </c>
      <c r="E9" s="4">
        <v>292</v>
      </c>
    </row>
    <row r="10" spans="1:6" ht="21.75" customHeight="1" x14ac:dyDescent="0.25">
      <c r="A10" s="4">
        <v>2</v>
      </c>
      <c r="B10" s="4" t="s">
        <v>441</v>
      </c>
      <c r="C10" s="4">
        <v>1208</v>
      </c>
      <c r="D10" s="4">
        <v>591</v>
      </c>
      <c r="E10" s="4">
        <v>617</v>
      </c>
    </row>
    <row r="11" spans="1:6" ht="21.75" customHeight="1" x14ac:dyDescent="0.25">
      <c r="A11" s="4">
        <v>3</v>
      </c>
      <c r="B11" s="4" t="s">
        <v>7</v>
      </c>
      <c r="C11" s="4">
        <v>1691</v>
      </c>
      <c r="D11" s="4">
        <v>855</v>
      </c>
      <c r="E11" s="4">
        <v>836</v>
      </c>
    </row>
    <row r="12" spans="1:6" ht="21.75" customHeight="1" x14ac:dyDescent="0.25">
      <c r="A12" s="4">
        <v>4</v>
      </c>
      <c r="B12" s="4" t="s">
        <v>442</v>
      </c>
      <c r="C12" s="4">
        <v>2425</v>
      </c>
      <c r="D12" s="4">
        <v>1108</v>
      </c>
      <c r="E12" s="4">
        <v>1317</v>
      </c>
    </row>
    <row r="13" spans="1:6" ht="21.75" customHeight="1" x14ac:dyDescent="0.25">
      <c r="A13" s="4">
        <v>5</v>
      </c>
      <c r="B13" s="4" t="s">
        <v>443</v>
      </c>
      <c r="C13" s="4">
        <v>850</v>
      </c>
      <c r="D13" s="4">
        <v>523</v>
      </c>
      <c r="E13" s="4">
        <v>327</v>
      </c>
    </row>
    <row r="14" spans="1:6" ht="21.75" customHeight="1" x14ac:dyDescent="0.25">
      <c r="A14" s="4">
        <v>6</v>
      </c>
      <c r="B14" s="4" t="s">
        <v>444</v>
      </c>
      <c r="C14" s="4">
        <v>226</v>
      </c>
      <c r="D14" s="4">
        <v>107</v>
      </c>
      <c r="E14" s="4">
        <v>119</v>
      </c>
    </row>
    <row r="15" spans="1:6" ht="21.75" customHeight="1" x14ac:dyDescent="0.25">
      <c r="A15" s="4">
        <v>7</v>
      </c>
      <c r="B15" s="4" t="s">
        <v>445</v>
      </c>
      <c r="C15" s="4">
        <v>601</v>
      </c>
      <c r="D15" s="4">
        <v>295</v>
      </c>
      <c r="E15" s="4">
        <v>306</v>
      </c>
    </row>
    <row r="16" spans="1:6" ht="21.75" customHeight="1" x14ac:dyDescent="0.25">
      <c r="A16" s="4">
        <v>8</v>
      </c>
      <c r="B16" s="4" t="s">
        <v>446</v>
      </c>
      <c r="C16" s="4">
        <v>4276</v>
      </c>
      <c r="D16" s="4">
        <v>2026</v>
      </c>
      <c r="E16" s="4">
        <v>2250</v>
      </c>
    </row>
    <row r="17" spans="1:5" ht="21.75" customHeight="1" x14ac:dyDescent="0.25">
      <c r="A17" s="4">
        <v>9</v>
      </c>
      <c r="B17" s="4" t="s">
        <v>447</v>
      </c>
      <c r="C17" s="4">
        <v>2769</v>
      </c>
      <c r="D17" s="4">
        <v>1312</v>
      </c>
      <c r="E17" s="4">
        <v>1457</v>
      </c>
    </row>
    <row r="18" spans="1:5" ht="21.75" customHeight="1" x14ac:dyDescent="0.25">
      <c r="A18" s="4">
        <v>10</v>
      </c>
      <c r="B18" s="4" t="s">
        <v>448</v>
      </c>
      <c r="C18" s="4">
        <v>1361</v>
      </c>
      <c r="D18" s="4">
        <v>610</v>
      </c>
      <c r="E18" s="4">
        <v>751</v>
      </c>
    </row>
    <row r="19" spans="1:5" ht="21.75" customHeight="1" x14ac:dyDescent="0.25">
      <c r="A19" s="4"/>
      <c r="B19" s="4"/>
      <c r="C19" s="4"/>
      <c r="D19" s="4"/>
      <c r="E19" s="4"/>
    </row>
    <row r="20" spans="1:5" ht="21.75" customHeight="1" x14ac:dyDescent="0.25">
      <c r="A20" s="4"/>
      <c r="B20" s="20" t="s">
        <v>559</v>
      </c>
      <c r="C20" s="6">
        <f>SUM(C21:C34)</f>
        <v>45097</v>
      </c>
      <c r="D20" s="6">
        <f t="shared" ref="D20:E20" si="2">SUM(D21:D34)</f>
        <v>22456</v>
      </c>
      <c r="E20" s="6">
        <f t="shared" si="2"/>
        <v>22641</v>
      </c>
    </row>
    <row r="21" spans="1:5" ht="21.75" customHeight="1" x14ac:dyDescent="0.25">
      <c r="A21" s="4">
        <v>1</v>
      </c>
      <c r="B21" s="4" t="s">
        <v>449</v>
      </c>
      <c r="C21" s="4">
        <v>2516</v>
      </c>
      <c r="D21" s="4">
        <v>1274</v>
      </c>
      <c r="E21" s="4">
        <v>1242</v>
      </c>
    </row>
    <row r="22" spans="1:5" ht="21.75" customHeight="1" x14ac:dyDescent="0.25">
      <c r="A22" s="4">
        <v>2</v>
      </c>
      <c r="B22" s="4" t="s">
        <v>450</v>
      </c>
      <c r="C22" s="4">
        <v>2534</v>
      </c>
      <c r="D22" s="4">
        <v>1210</v>
      </c>
      <c r="E22" s="4">
        <v>1324</v>
      </c>
    </row>
    <row r="23" spans="1:5" ht="21.75" customHeight="1" x14ac:dyDescent="0.25">
      <c r="A23" s="4">
        <v>3</v>
      </c>
      <c r="B23" s="4" t="s">
        <v>451</v>
      </c>
      <c r="C23" s="4">
        <v>2243</v>
      </c>
      <c r="D23" s="4">
        <v>1135</v>
      </c>
      <c r="E23" s="4">
        <v>1108</v>
      </c>
    </row>
    <row r="24" spans="1:5" ht="21.75" customHeight="1" x14ac:dyDescent="0.25">
      <c r="A24" s="4">
        <v>4</v>
      </c>
      <c r="B24" s="4" t="s">
        <v>452</v>
      </c>
      <c r="C24" s="4">
        <v>5019</v>
      </c>
      <c r="D24" s="4">
        <v>2465</v>
      </c>
      <c r="E24" s="4">
        <v>2554</v>
      </c>
    </row>
    <row r="25" spans="1:5" ht="21.75" customHeight="1" x14ac:dyDescent="0.25">
      <c r="A25" s="4">
        <v>5</v>
      </c>
      <c r="B25" s="4" t="s">
        <v>453</v>
      </c>
      <c r="C25" s="4">
        <v>2562</v>
      </c>
      <c r="D25" s="4">
        <v>1237</v>
      </c>
      <c r="E25" s="4">
        <v>1325</v>
      </c>
    </row>
    <row r="26" spans="1:5" ht="21.75" customHeight="1" x14ac:dyDescent="0.25">
      <c r="A26" s="4">
        <v>6</v>
      </c>
      <c r="B26" s="4" t="s">
        <v>454</v>
      </c>
      <c r="C26" s="4">
        <v>2414</v>
      </c>
      <c r="D26" s="4">
        <v>1200</v>
      </c>
      <c r="E26" s="4">
        <v>1214</v>
      </c>
    </row>
    <row r="27" spans="1:5" ht="21.75" customHeight="1" x14ac:dyDescent="0.25">
      <c r="A27" s="4">
        <v>7</v>
      </c>
      <c r="B27" s="4" t="s">
        <v>455</v>
      </c>
      <c r="C27" s="4">
        <v>7162</v>
      </c>
      <c r="D27" s="4">
        <v>3554</v>
      </c>
      <c r="E27" s="4">
        <v>3608</v>
      </c>
    </row>
    <row r="28" spans="1:5" ht="21.75" customHeight="1" x14ac:dyDescent="0.25">
      <c r="A28" s="4">
        <v>8</v>
      </c>
      <c r="B28" s="4" t="s">
        <v>456</v>
      </c>
      <c r="C28" s="4">
        <v>1821</v>
      </c>
      <c r="D28" s="4">
        <v>890</v>
      </c>
      <c r="E28" s="4">
        <v>931</v>
      </c>
    </row>
    <row r="29" spans="1:5" ht="21.75" customHeight="1" x14ac:dyDescent="0.25">
      <c r="A29" s="4">
        <v>9</v>
      </c>
      <c r="B29" s="4" t="s">
        <v>457</v>
      </c>
      <c r="C29" s="4">
        <v>4615</v>
      </c>
      <c r="D29" s="4">
        <v>2328</v>
      </c>
      <c r="E29" s="4">
        <v>2287</v>
      </c>
    </row>
    <row r="30" spans="1:5" ht="21.75" customHeight="1" x14ac:dyDescent="0.25">
      <c r="A30" s="4">
        <v>10</v>
      </c>
      <c r="B30" s="4" t="s">
        <v>458</v>
      </c>
      <c r="C30" s="4">
        <v>5469</v>
      </c>
      <c r="D30" s="4">
        <v>2844</v>
      </c>
      <c r="E30" s="4">
        <v>2625</v>
      </c>
    </row>
    <row r="31" spans="1:5" ht="21.75" customHeight="1" x14ac:dyDescent="0.25">
      <c r="A31" s="4">
        <v>11</v>
      </c>
      <c r="B31" s="4" t="s">
        <v>459</v>
      </c>
      <c r="C31" s="4">
        <v>2065</v>
      </c>
      <c r="D31" s="4">
        <v>1041</v>
      </c>
      <c r="E31" s="4">
        <v>1024</v>
      </c>
    </row>
    <row r="32" spans="1:5" ht="21.75" customHeight="1" x14ac:dyDescent="0.25">
      <c r="A32" s="4">
        <v>12</v>
      </c>
      <c r="B32" s="4" t="s">
        <v>460</v>
      </c>
      <c r="C32" s="4">
        <v>4609</v>
      </c>
      <c r="D32" s="4">
        <v>2259</v>
      </c>
      <c r="E32" s="4">
        <v>2350</v>
      </c>
    </row>
    <row r="33" spans="1:5" ht="21.75" customHeight="1" x14ac:dyDescent="0.25">
      <c r="A33" s="4">
        <v>13</v>
      </c>
      <c r="B33" s="4" t="s">
        <v>461</v>
      </c>
      <c r="C33" s="4">
        <v>1061</v>
      </c>
      <c r="D33" s="4">
        <v>537</v>
      </c>
      <c r="E33" s="4">
        <v>524</v>
      </c>
    </row>
    <row r="34" spans="1:5" ht="21.75" customHeight="1" x14ac:dyDescent="0.25">
      <c r="A34" s="4">
        <v>14</v>
      </c>
      <c r="B34" s="4" t="s">
        <v>462</v>
      </c>
      <c r="C34" s="4">
        <v>1007</v>
      </c>
      <c r="D34" s="4">
        <v>482</v>
      </c>
      <c r="E34" s="4">
        <v>525</v>
      </c>
    </row>
    <row r="35" spans="1:5" ht="21.75" customHeight="1" x14ac:dyDescent="0.25">
      <c r="A35" s="5"/>
      <c r="B35" s="5"/>
      <c r="C35" s="5"/>
      <c r="D35" s="5"/>
      <c r="E35" s="5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Putao District, Putao Township"/>
  </hyperlinks>
  <pageMargins left="0.75" right="0.5" top="0.5" bottom="0.2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sqref="A1:E1"/>
    </sheetView>
  </sheetViews>
  <sheetFormatPr defaultRowHeight="15.75" x14ac:dyDescent="0.25"/>
  <cols>
    <col min="1" max="1" width="9.140625" style="3"/>
    <col min="2" max="2" width="30.140625" style="3" bestFit="1" customWidth="1"/>
    <col min="3" max="5" width="15.7109375" style="3" customWidth="1"/>
    <col min="6" max="16384" width="9.140625" style="17"/>
  </cols>
  <sheetData>
    <row r="1" spans="1:6" s="1" customFormat="1" ht="25.5" customHeight="1" x14ac:dyDescent="0.35">
      <c r="A1" s="42" t="s">
        <v>549</v>
      </c>
      <c r="B1" s="42"/>
      <c r="C1" s="42"/>
      <c r="D1" s="42"/>
      <c r="E1" s="42"/>
      <c r="F1" s="22"/>
    </row>
    <row r="2" spans="1:6" s="1" customFormat="1" ht="30" customHeight="1" x14ac:dyDescent="0.35">
      <c r="A2" s="27"/>
      <c r="B2" s="27"/>
      <c r="C2" s="3"/>
      <c r="D2" s="3"/>
      <c r="E2" s="18" t="s">
        <v>526</v>
      </c>
      <c r="F2" s="22"/>
    </row>
    <row r="3" spans="1:6" s="1" customFormat="1" ht="19.5" customHeight="1" x14ac:dyDescent="0.35">
      <c r="A3" s="27"/>
      <c r="B3" s="27"/>
      <c r="C3" s="3"/>
      <c r="D3" s="3"/>
      <c r="E3" s="18"/>
      <c r="F3" s="22"/>
    </row>
    <row r="4" spans="1:6" s="1" customFormat="1" ht="2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6" s="1" customFormat="1" ht="24" customHeight="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6" s="1" customFormat="1" ht="21.75" customHeight="1" x14ac:dyDescent="0.35">
      <c r="A6" s="12"/>
      <c r="B6" s="6" t="s">
        <v>558</v>
      </c>
      <c r="C6" s="13">
        <f>C8+C13</f>
        <v>2546</v>
      </c>
      <c r="D6" s="13">
        <f t="shared" ref="D6:E6" si="0">D8+D13</f>
        <v>1291</v>
      </c>
      <c r="E6" s="13">
        <f t="shared" si="0"/>
        <v>1255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SUM(C9:C11)</f>
        <v>1137</v>
      </c>
      <c r="D8" s="6">
        <f t="shared" ref="D8:E8" si="1">SUM(D9:D11)</f>
        <v>606</v>
      </c>
      <c r="E8" s="6">
        <f t="shared" si="1"/>
        <v>531</v>
      </c>
    </row>
    <row r="9" spans="1:6" ht="21.75" customHeight="1" x14ac:dyDescent="0.25">
      <c r="A9" s="4">
        <v>1</v>
      </c>
      <c r="B9" s="4" t="s">
        <v>463</v>
      </c>
      <c r="C9" s="4">
        <v>126</v>
      </c>
      <c r="D9" s="4">
        <v>57</v>
      </c>
      <c r="E9" s="4">
        <v>69</v>
      </c>
    </row>
    <row r="10" spans="1:6" ht="21.75" customHeight="1" x14ac:dyDescent="0.25">
      <c r="A10" s="4">
        <v>2</v>
      </c>
      <c r="B10" s="4" t="s">
        <v>7</v>
      </c>
      <c r="C10" s="4">
        <v>746</v>
      </c>
      <c r="D10" s="4">
        <v>416</v>
      </c>
      <c r="E10" s="4">
        <v>330</v>
      </c>
    </row>
    <row r="11" spans="1:6" ht="21.75" customHeight="1" x14ac:dyDescent="0.25">
      <c r="A11" s="4">
        <v>3</v>
      </c>
      <c r="B11" s="4" t="s">
        <v>464</v>
      </c>
      <c r="C11" s="4">
        <v>265</v>
      </c>
      <c r="D11" s="4">
        <v>133</v>
      </c>
      <c r="E11" s="4">
        <v>132</v>
      </c>
    </row>
    <row r="12" spans="1:6" ht="21.75" customHeight="1" x14ac:dyDescent="0.25">
      <c r="A12" s="4"/>
      <c r="B12" s="4"/>
      <c r="C12" s="4"/>
      <c r="D12" s="4"/>
      <c r="E12" s="4"/>
    </row>
    <row r="13" spans="1:6" ht="21.75" customHeight="1" x14ac:dyDescent="0.25">
      <c r="A13" s="4"/>
      <c r="B13" s="20" t="s">
        <v>559</v>
      </c>
      <c r="C13" s="6">
        <f>SUM(C14:C22)</f>
        <v>1409</v>
      </c>
      <c r="D13" s="6">
        <f t="shared" ref="D13:E13" si="2">SUM(D14:D22)</f>
        <v>685</v>
      </c>
      <c r="E13" s="6">
        <f t="shared" si="2"/>
        <v>724</v>
      </c>
    </row>
    <row r="14" spans="1:6" ht="21.75" customHeight="1" x14ac:dyDescent="0.25">
      <c r="A14" s="4">
        <v>1</v>
      </c>
      <c r="B14" s="4" t="s">
        <v>465</v>
      </c>
      <c r="C14" s="4">
        <v>186</v>
      </c>
      <c r="D14" s="4">
        <v>90</v>
      </c>
      <c r="E14" s="4">
        <v>96</v>
      </c>
    </row>
    <row r="15" spans="1:6" ht="21.75" customHeight="1" x14ac:dyDescent="0.25">
      <c r="A15" s="4">
        <v>2</v>
      </c>
      <c r="B15" s="4" t="s">
        <v>466</v>
      </c>
      <c r="C15" s="4">
        <v>129</v>
      </c>
      <c r="D15" s="4">
        <v>58</v>
      </c>
      <c r="E15" s="4">
        <v>71</v>
      </c>
    </row>
    <row r="16" spans="1:6" ht="21.75" customHeight="1" x14ac:dyDescent="0.25">
      <c r="A16" s="4">
        <v>3</v>
      </c>
      <c r="B16" s="4" t="s">
        <v>467</v>
      </c>
      <c r="C16" s="4">
        <v>67</v>
      </c>
      <c r="D16" s="4">
        <v>37</v>
      </c>
      <c r="E16" s="4">
        <v>30</v>
      </c>
    </row>
    <row r="17" spans="1:5" ht="21.75" customHeight="1" x14ac:dyDescent="0.25">
      <c r="A17" s="4">
        <v>4</v>
      </c>
      <c r="B17" s="4" t="s">
        <v>468</v>
      </c>
      <c r="C17" s="4">
        <v>163</v>
      </c>
      <c r="D17" s="4">
        <v>78</v>
      </c>
      <c r="E17" s="4">
        <v>85</v>
      </c>
    </row>
    <row r="18" spans="1:5" ht="21.75" customHeight="1" x14ac:dyDescent="0.25">
      <c r="A18" s="4">
        <v>5</v>
      </c>
      <c r="B18" s="4" t="s">
        <v>469</v>
      </c>
      <c r="C18" s="4">
        <v>205</v>
      </c>
      <c r="D18" s="4">
        <v>99</v>
      </c>
      <c r="E18" s="4">
        <v>106</v>
      </c>
    </row>
    <row r="19" spans="1:5" ht="21.75" customHeight="1" x14ac:dyDescent="0.25">
      <c r="A19" s="4">
        <v>6</v>
      </c>
      <c r="B19" s="4" t="s">
        <v>470</v>
      </c>
      <c r="C19" s="4">
        <v>127</v>
      </c>
      <c r="D19" s="4">
        <v>61</v>
      </c>
      <c r="E19" s="4">
        <v>66</v>
      </c>
    </row>
    <row r="20" spans="1:5" ht="21.75" customHeight="1" x14ac:dyDescent="0.25">
      <c r="A20" s="4">
        <v>7</v>
      </c>
      <c r="B20" s="4" t="s">
        <v>471</v>
      </c>
      <c r="C20" s="4">
        <v>241</v>
      </c>
      <c r="D20" s="4">
        <v>113</v>
      </c>
      <c r="E20" s="4">
        <v>128</v>
      </c>
    </row>
    <row r="21" spans="1:5" ht="21.75" customHeight="1" x14ac:dyDescent="0.25">
      <c r="A21" s="4">
        <v>8</v>
      </c>
      <c r="B21" s="4" t="s">
        <v>472</v>
      </c>
      <c r="C21" s="4">
        <v>85</v>
      </c>
      <c r="D21" s="4">
        <v>45</v>
      </c>
      <c r="E21" s="4">
        <v>40</v>
      </c>
    </row>
    <row r="22" spans="1:5" ht="21.75" customHeight="1" x14ac:dyDescent="0.25">
      <c r="A22" s="4">
        <v>9</v>
      </c>
      <c r="B22" s="4" t="s">
        <v>473</v>
      </c>
      <c r="C22" s="4">
        <v>206</v>
      </c>
      <c r="D22" s="4">
        <v>104</v>
      </c>
      <c r="E22" s="4">
        <v>102</v>
      </c>
    </row>
    <row r="23" spans="1:5" x14ac:dyDescent="0.25">
      <c r="A23" s="5"/>
      <c r="B23" s="5"/>
      <c r="C23" s="5"/>
      <c r="D23" s="5"/>
      <c r="E23" s="5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Putao District,  Sumprabum Township"/>
  </hyperlinks>
  <pageMargins left="0.75" right="0.5" top="0.5" bottom="0.2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sqref="A1:E1"/>
    </sheetView>
  </sheetViews>
  <sheetFormatPr defaultRowHeight="15" x14ac:dyDescent="0.25"/>
  <cols>
    <col min="1" max="1" width="9.140625" style="17"/>
    <col min="2" max="2" width="40.42578125" style="17" customWidth="1"/>
    <col min="3" max="5" width="12.7109375" style="17" customWidth="1"/>
    <col min="6" max="16384" width="9.140625" style="17"/>
  </cols>
  <sheetData>
    <row r="1" spans="1:6" s="1" customFormat="1" ht="25.5" customHeight="1" x14ac:dyDescent="0.35">
      <c r="A1" s="42" t="s">
        <v>550</v>
      </c>
      <c r="B1" s="42"/>
      <c r="C1" s="42"/>
      <c r="D1" s="42"/>
      <c r="E1" s="42"/>
      <c r="F1" s="22"/>
    </row>
    <row r="2" spans="1:6" s="1" customFormat="1" ht="30" customHeight="1" x14ac:dyDescent="0.35">
      <c r="A2" s="22"/>
      <c r="B2" s="22"/>
      <c r="E2" s="18" t="s">
        <v>526</v>
      </c>
      <c r="F2" s="22"/>
    </row>
    <row r="3" spans="1:6" s="1" customFormat="1" ht="17.25" customHeight="1" x14ac:dyDescent="0.35">
      <c r="A3" s="23"/>
      <c r="B3" s="22"/>
      <c r="E3" s="22"/>
      <c r="F3" s="22"/>
    </row>
    <row r="4" spans="1:6" s="1" customFormat="1" ht="2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6" s="1" customFormat="1" ht="2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6" s="1" customFormat="1" ht="21.75" customHeight="1" x14ac:dyDescent="0.35">
      <c r="A6" s="12"/>
      <c r="B6" s="6" t="s">
        <v>558</v>
      </c>
      <c r="C6" s="13">
        <f>C8+C14</f>
        <v>8858</v>
      </c>
      <c r="D6" s="13">
        <f t="shared" ref="D6:E6" si="0">D8+D14</f>
        <v>4455</v>
      </c>
      <c r="E6" s="13">
        <f t="shared" si="0"/>
        <v>4403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SUM(C9:C12)</f>
        <v>2315</v>
      </c>
      <c r="D8" s="6">
        <f t="shared" ref="D8:E8" si="1">SUM(D9:D12)</f>
        <v>1181</v>
      </c>
      <c r="E8" s="6">
        <f t="shared" si="1"/>
        <v>1134</v>
      </c>
    </row>
    <row r="9" spans="1:6" ht="21.75" customHeight="1" x14ac:dyDescent="0.25">
      <c r="A9" s="4">
        <v>1</v>
      </c>
      <c r="B9" s="4" t="s">
        <v>48</v>
      </c>
      <c r="C9" s="4">
        <v>835</v>
      </c>
      <c r="D9" s="4">
        <v>462</v>
      </c>
      <c r="E9" s="4">
        <v>373</v>
      </c>
    </row>
    <row r="10" spans="1:6" ht="21.75" customHeight="1" x14ac:dyDescent="0.25">
      <c r="A10" s="4">
        <v>2</v>
      </c>
      <c r="B10" s="4" t="s">
        <v>49</v>
      </c>
      <c r="C10" s="4">
        <v>511</v>
      </c>
      <c r="D10" s="4">
        <v>241</v>
      </c>
      <c r="E10" s="4">
        <v>270</v>
      </c>
    </row>
    <row r="11" spans="1:6" ht="21.75" customHeight="1" x14ac:dyDescent="0.25">
      <c r="A11" s="4">
        <v>3</v>
      </c>
      <c r="B11" s="4" t="s">
        <v>50</v>
      </c>
      <c r="C11" s="4">
        <v>505</v>
      </c>
      <c r="D11" s="4">
        <v>248</v>
      </c>
      <c r="E11" s="4">
        <v>257</v>
      </c>
    </row>
    <row r="12" spans="1:6" ht="21.75" customHeight="1" x14ac:dyDescent="0.25">
      <c r="A12" s="4">
        <v>4</v>
      </c>
      <c r="B12" s="4" t="s">
        <v>51</v>
      </c>
      <c r="C12" s="4">
        <v>464</v>
      </c>
      <c r="D12" s="4">
        <v>230</v>
      </c>
      <c r="E12" s="4">
        <v>234</v>
      </c>
    </row>
    <row r="13" spans="1:6" ht="21.75" customHeight="1" x14ac:dyDescent="0.25">
      <c r="A13" s="4"/>
      <c r="B13" s="4"/>
      <c r="C13" s="4"/>
      <c r="D13" s="4"/>
      <c r="E13" s="4"/>
    </row>
    <row r="14" spans="1:6" ht="21.75" customHeight="1" x14ac:dyDescent="0.25">
      <c r="A14" s="4"/>
      <c r="B14" s="20" t="s">
        <v>559</v>
      </c>
      <c r="C14" s="6">
        <f>SUM(C15:C26)</f>
        <v>6543</v>
      </c>
      <c r="D14" s="6">
        <f t="shared" ref="D14:E14" si="2">SUM(D15:D26)</f>
        <v>3274</v>
      </c>
      <c r="E14" s="6">
        <f t="shared" si="2"/>
        <v>3269</v>
      </c>
    </row>
    <row r="15" spans="1:6" ht="21.75" customHeight="1" x14ac:dyDescent="0.25">
      <c r="A15" s="4">
        <v>1</v>
      </c>
      <c r="B15" s="4" t="s">
        <v>474</v>
      </c>
      <c r="C15" s="4">
        <v>500</v>
      </c>
      <c r="D15" s="4">
        <v>261</v>
      </c>
      <c r="E15" s="4">
        <v>239</v>
      </c>
    </row>
    <row r="16" spans="1:6" ht="21.75" customHeight="1" x14ac:dyDescent="0.25">
      <c r="A16" s="4">
        <v>2</v>
      </c>
      <c r="B16" s="4" t="s">
        <v>475</v>
      </c>
      <c r="C16" s="4">
        <v>1011</v>
      </c>
      <c r="D16" s="4">
        <v>489</v>
      </c>
      <c r="E16" s="4">
        <v>522</v>
      </c>
    </row>
    <row r="17" spans="1:5" ht="21.75" customHeight="1" x14ac:dyDescent="0.25">
      <c r="A17" s="4">
        <v>3</v>
      </c>
      <c r="B17" s="4" t="s">
        <v>476</v>
      </c>
      <c r="C17" s="4">
        <v>1881</v>
      </c>
      <c r="D17" s="4">
        <v>906</v>
      </c>
      <c r="E17" s="4">
        <v>975</v>
      </c>
    </row>
    <row r="18" spans="1:5" ht="21.75" customHeight="1" x14ac:dyDescent="0.25">
      <c r="A18" s="4">
        <v>4</v>
      </c>
      <c r="B18" s="4" t="s">
        <v>477</v>
      </c>
      <c r="C18" s="4">
        <v>1026</v>
      </c>
      <c r="D18" s="4">
        <v>531</v>
      </c>
      <c r="E18" s="4">
        <v>495</v>
      </c>
    </row>
    <row r="19" spans="1:5" ht="21.75" customHeight="1" x14ac:dyDescent="0.25">
      <c r="A19" s="4">
        <v>5</v>
      </c>
      <c r="B19" s="4" t="s">
        <v>478</v>
      </c>
      <c r="C19" s="4">
        <v>743</v>
      </c>
      <c r="D19" s="4">
        <v>342</v>
      </c>
      <c r="E19" s="4">
        <v>401</v>
      </c>
    </row>
    <row r="20" spans="1:5" ht="21.75" customHeight="1" x14ac:dyDescent="0.25">
      <c r="A20" s="4">
        <v>6</v>
      </c>
      <c r="B20" s="4" t="s">
        <v>479</v>
      </c>
      <c r="C20" s="4">
        <v>602</v>
      </c>
      <c r="D20" s="4">
        <v>327</v>
      </c>
      <c r="E20" s="4">
        <v>275</v>
      </c>
    </row>
    <row r="21" spans="1:5" ht="21.75" customHeight="1" x14ac:dyDescent="0.25">
      <c r="A21" s="4">
        <v>7</v>
      </c>
      <c r="B21" s="4" t="s">
        <v>480</v>
      </c>
      <c r="C21" s="4">
        <v>165</v>
      </c>
      <c r="D21" s="4">
        <v>99</v>
      </c>
      <c r="E21" s="4">
        <v>66</v>
      </c>
    </row>
    <row r="22" spans="1:5" ht="21.75" customHeight="1" x14ac:dyDescent="0.25">
      <c r="A22" s="4">
        <v>8</v>
      </c>
      <c r="B22" s="4" t="s">
        <v>481</v>
      </c>
      <c r="C22" s="4">
        <v>281</v>
      </c>
      <c r="D22" s="4">
        <v>137</v>
      </c>
      <c r="E22" s="4">
        <v>144</v>
      </c>
    </row>
    <row r="23" spans="1:5" ht="21.75" customHeight="1" x14ac:dyDescent="0.25">
      <c r="A23" s="4">
        <v>9</v>
      </c>
      <c r="B23" s="4" t="s">
        <v>482</v>
      </c>
      <c r="C23" s="4">
        <v>149</v>
      </c>
      <c r="D23" s="4">
        <v>88</v>
      </c>
      <c r="E23" s="4">
        <v>61</v>
      </c>
    </row>
    <row r="24" spans="1:5" ht="21.75" customHeight="1" x14ac:dyDescent="0.25">
      <c r="A24" s="4">
        <v>10</v>
      </c>
      <c r="B24" s="4" t="s">
        <v>483</v>
      </c>
      <c r="C24" s="4">
        <v>66</v>
      </c>
      <c r="D24" s="4">
        <v>31</v>
      </c>
      <c r="E24" s="4">
        <v>35</v>
      </c>
    </row>
    <row r="25" spans="1:5" ht="21.75" customHeight="1" x14ac:dyDescent="0.25">
      <c r="A25" s="4">
        <v>11</v>
      </c>
      <c r="B25" s="4" t="s">
        <v>484</v>
      </c>
      <c r="C25" s="4">
        <v>46</v>
      </c>
      <c r="D25" s="4">
        <v>25</v>
      </c>
      <c r="E25" s="4">
        <v>21</v>
      </c>
    </row>
    <row r="26" spans="1:5" ht="21.75" customHeight="1" x14ac:dyDescent="0.25">
      <c r="A26" s="4">
        <v>12</v>
      </c>
      <c r="B26" s="4" t="s">
        <v>485</v>
      </c>
      <c r="C26" s="4">
        <v>73</v>
      </c>
      <c r="D26" s="4">
        <v>38</v>
      </c>
      <c r="E26" s="4">
        <v>35</v>
      </c>
    </row>
    <row r="27" spans="1:5" ht="21.75" customHeight="1" x14ac:dyDescent="0.25">
      <c r="A27" s="5"/>
      <c r="B27" s="5"/>
      <c r="C27" s="5"/>
      <c r="D27" s="5"/>
      <c r="E27" s="5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Putao District,  Machanbaw Township"/>
  </hyperlinks>
  <pageMargins left="0.75" right="0.5" top="0.5" bottom="0.2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sqref="A1:E1"/>
    </sheetView>
  </sheetViews>
  <sheetFormatPr defaultRowHeight="15.75" x14ac:dyDescent="0.25"/>
  <cols>
    <col min="1" max="1" width="9.140625" style="17"/>
    <col min="2" max="2" width="29.42578125" style="3" customWidth="1"/>
    <col min="3" max="5" width="15.7109375" style="3" customWidth="1"/>
    <col min="6" max="16384" width="9.140625" style="17"/>
  </cols>
  <sheetData>
    <row r="1" spans="1:6" s="1" customFormat="1" ht="25.5" customHeight="1" x14ac:dyDescent="0.35">
      <c r="A1" s="42" t="s">
        <v>551</v>
      </c>
      <c r="B1" s="42"/>
      <c r="C1" s="42"/>
      <c r="D1" s="42"/>
      <c r="E1" s="42"/>
      <c r="F1" s="22"/>
    </row>
    <row r="2" spans="1:6" s="1" customFormat="1" ht="30" customHeight="1" x14ac:dyDescent="0.35">
      <c r="A2" s="22"/>
      <c r="B2" s="27"/>
      <c r="C2" s="3"/>
      <c r="D2" s="3"/>
      <c r="E2" s="18" t="s">
        <v>526</v>
      </c>
      <c r="F2" s="22"/>
    </row>
    <row r="3" spans="1:6" s="1" customFormat="1" ht="25.5" customHeight="1" x14ac:dyDescent="0.35">
      <c r="A3" s="23"/>
      <c r="B3" s="27"/>
      <c r="C3" s="3"/>
      <c r="D3" s="3"/>
      <c r="E3" s="27"/>
      <c r="F3" s="22"/>
    </row>
    <row r="4" spans="1:6" s="1" customFormat="1" ht="21" x14ac:dyDescent="0.35">
      <c r="A4" s="39" t="s">
        <v>527</v>
      </c>
      <c r="B4" s="39" t="s">
        <v>560</v>
      </c>
      <c r="C4" s="38" t="s">
        <v>523</v>
      </c>
      <c r="D4" s="38"/>
      <c r="E4" s="38"/>
    </row>
    <row r="5" spans="1:6" s="1" customFormat="1" ht="21" x14ac:dyDescent="0.35">
      <c r="A5" s="40"/>
      <c r="B5" s="40"/>
      <c r="C5" s="28" t="s">
        <v>0</v>
      </c>
      <c r="D5" s="28" t="s">
        <v>1</v>
      </c>
      <c r="E5" s="28" t="s">
        <v>2</v>
      </c>
    </row>
    <row r="6" spans="1:6" s="1" customFormat="1" ht="21.75" customHeight="1" x14ac:dyDescent="0.35">
      <c r="A6" s="12"/>
      <c r="B6" s="6" t="s">
        <v>558</v>
      </c>
      <c r="C6" s="13">
        <f>C8+C14</f>
        <v>11655</v>
      </c>
      <c r="D6" s="29">
        <f t="shared" ref="D6:E6" si="0">D8+D14</f>
        <v>5855</v>
      </c>
      <c r="E6" s="29">
        <f t="shared" si="0"/>
        <v>5800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SUM(C9:C12)</f>
        <v>450</v>
      </c>
      <c r="D8" s="6">
        <f t="shared" ref="D8:E8" si="1">SUM(D9:D12)</f>
        <v>237</v>
      </c>
      <c r="E8" s="6">
        <f t="shared" si="1"/>
        <v>213</v>
      </c>
    </row>
    <row r="9" spans="1:6" ht="21.75" customHeight="1" x14ac:dyDescent="0.25">
      <c r="A9" s="4">
        <v>1</v>
      </c>
      <c r="B9" s="4" t="s">
        <v>48</v>
      </c>
      <c r="C9" s="4">
        <v>165</v>
      </c>
      <c r="D9" s="4">
        <v>85</v>
      </c>
      <c r="E9" s="4">
        <v>80</v>
      </c>
    </row>
    <row r="10" spans="1:6" ht="21.75" customHeight="1" x14ac:dyDescent="0.25">
      <c r="A10" s="4">
        <v>2</v>
      </c>
      <c r="B10" s="4" t="s">
        <v>49</v>
      </c>
      <c r="C10" s="4">
        <v>100</v>
      </c>
      <c r="D10" s="4">
        <v>58</v>
      </c>
      <c r="E10" s="4">
        <v>42</v>
      </c>
    </row>
    <row r="11" spans="1:6" ht="21.75" customHeight="1" x14ac:dyDescent="0.25">
      <c r="A11" s="4">
        <v>3</v>
      </c>
      <c r="B11" s="4" t="s">
        <v>50</v>
      </c>
      <c r="C11" s="4">
        <v>96</v>
      </c>
      <c r="D11" s="4">
        <v>51</v>
      </c>
      <c r="E11" s="4">
        <v>45</v>
      </c>
    </row>
    <row r="12" spans="1:6" ht="21.75" customHeight="1" x14ac:dyDescent="0.25">
      <c r="A12" s="4">
        <v>4</v>
      </c>
      <c r="B12" s="4" t="s">
        <v>51</v>
      </c>
      <c r="C12" s="4">
        <v>89</v>
      </c>
      <c r="D12" s="4">
        <v>43</v>
      </c>
      <c r="E12" s="4">
        <v>46</v>
      </c>
    </row>
    <row r="13" spans="1:6" ht="21.75" customHeight="1" x14ac:dyDescent="0.25">
      <c r="A13" s="4"/>
      <c r="B13" s="4"/>
      <c r="C13" s="4"/>
      <c r="D13" s="4"/>
      <c r="E13" s="4"/>
    </row>
    <row r="14" spans="1:6" ht="21.75" customHeight="1" x14ac:dyDescent="0.25">
      <c r="A14" s="4"/>
      <c r="B14" s="20" t="s">
        <v>559</v>
      </c>
      <c r="C14" s="6">
        <f>SUM(C15:C38)</f>
        <v>11205</v>
      </c>
      <c r="D14" s="6">
        <f t="shared" ref="D14:E14" si="2">SUM(D15:D38)</f>
        <v>5618</v>
      </c>
      <c r="E14" s="6">
        <f t="shared" si="2"/>
        <v>5587</v>
      </c>
    </row>
    <row r="15" spans="1:6" ht="21.75" customHeight="1" x14ac:dyDescent="0.25">
      <c r="A15" s="4">
        <v>1</v>
      </c>
      <c r="B15" s="4" t="s">
        <v>486</v>
      </c>
      <c r="C15" s="4">
        <v>251</v>
      </c>
      <c r="D15" s="4">
        <v>119</v>
      </c>
      <c r="E15" s="4">
        <v>132</v>
      </c>
    </row>
    <row r="16" spans="1:6" ht="21.75" customHeight="1" x14ac:dyDescent="0.25">
      <c r="A16" s="4">
        <v>2</v>
      </c>
      <c r="B16" s="4" t="s">
        <v>487</v>
      </c>
      <c r="C16" s="4">
        <v>388</v>
      </c>
      <c r="D16" s="4">
        <v>200</v>
      </c>
      <c r="E16" s="4">
        <v>188</v>
      </c>
    </row>
    <row r="17" spans="1:5" ht="21.75" customHeight="1" x14ac:dyDescent="0.25">
      <c r="A17" s="4">
        <v>3</v>
      </c>
      <c r="B17" s="4" t="s">
        <v>488</v>
      </c>
      <c r="C17" s="4">
        <v>214</v>
      </c>
      <c r="D17" s="4">
        <v>105</v>
      </c>
      <c r="E17" s="4">
        <v>109</v>
      </c>
    </row>
    <row r="18" spans="1:5" ht="21.75" customHeight="1" x14ac:dyDescent="0.25">
      <c r="A18" s="4">
        <v>4</v>
      </c>
      <c r="B18" s="4" t="s">
        <v>489</v>
      </c>
      <c r="C18" s="4">
        <v>112</v>
      </c>
      <c r="D18" s="4">
        <v>57</v>
      </c>
      <c r="E18" s="4">
        <v>55</v>
      </c>
    </row>
    <row r="19" spans="1:5" ht="21.75" customHeight="1" x14ac:dyDescent="0.25">
      <c r="A19" s="4">
        <v>5</v>
      </c>
      <c r="B19" s="4" t="s">
        <v>490</v>
      </c>
      <c r="C19" s="4">
        <v>143</v>
      </c>
      <c r="D19" s="4">
        <v>76</v>
      </c>
      <c r="E19" s="4">
        <v>67</v>
      </c>
    </row>
    <row r="20" spans="1:5" ht="21.75" customHeight="1" x14ac:dyDescent="0.25">
      <c r="A20" s="4">
        <v>6</v>
      </c>
      <c r="B20" s="4" t="s">
        <v>491</v>
      </c>
      <c r="C20" s="4">
        <v>68</v>
      </c>
      <c r="D20" s="4">
        <v>37</v>
      </c>
      <c r="E20" s="4">
        <v>31</v>
      </c>
    </row>
    <row r="21" spans="1:5" ht="21.75" customHeight="1" x14ac:dyDescent="0.25">
      <c r="A21" s="4">
        <v>7</v>
      </c>
      <c r="B21" s="4" t="s">
        <v>492</v>
      </c>
      <c r="C21" s="4">
        <v>408</v>
      </c>
      <c r="D21" s="4">
        <v>201</v>
      </c>
      <c r="E21" s="4">
        <v>207</v>
      </c>
    </row>
    <row r="22" spans="1:5" ht="21.75" customHeight="1" x14ac:dyDescent="0.25">
      <c r="A22" s="4">
        <v>8</v>
      </c>
      <c r="B22" s="4" t="s">
        <v>493</v>
      </c>
      <c r="C22" s="4">
        <v>829</v>
      </c>
      <c r="D22" s="4">
        <v>424</v>
      </c>
      <c r="E22" s="4">
        <v>405</v>
      </c>
    </row>
    <row r="23" spans="1:5" ht="21.75" customHeight="1" x14ac:dyDescent="0.25">
      <c r="A23" s="4">
        <v>9</v>
      </c>
      <c r="B23" s="4" t="s">
        <v>494</v>
      </c>
      <c r="C23" s="4">
        <v>706</v>
      </c>
      <c r="D23" s="4">
        <v>355</v>
      </c>
      <c r="E23" s="4">
        <v>351</v>
      </c>
    </row>
    <row r="24" spans="1:5" ht="21.75" customHeight="1" x14ac:dyDescent="0.25">
      <c r="A24" s="4">
        <v>10</v>
      </c>
      <c r="B24" s="4" t="s">
        <v>495</v>
      </c>
      <c r="C24" s="4">
        <v>809</v>
      </c>
      <c r="D24" s="4">
        <v>414</v>
      </c>
      <c r="E24" s="4">
        <v>395</v>
      </c>
    </row>
    <row r="25" spans="1:5" ht="21.75" customHeight="1" x14ac:dyDescent="0.25">
      <c r="A25" s="4">
        <v>11</v>
      </c>
      <c r="B25" s="4" t="s">
        <v>496</v>
      </c>
      <c r="C25" s="4">
        <v>896</v>
      </c>
      <c r="D25" s="4">
        <v>438</v>
      </c>
      <c r="E25" s="4">
        <v>458</v>
      </c>
    </row>
    <row r="26" spans="1:5" ht="21.75" customHeight="1" x14ac:dyDescent="0.25">
      <c r="A26" s="4">
        <v>12</v>
      </c>
      <c r="B26" s="4" t="s">
        <v>497</v>
      </c>
      <c r="C26" s="4">
        <v>1795</v>
      </c>
      <c r="D26" s="4">
        <v>928</v>
      </c>
      <c r="E26" s="4">
        <v>867</v>
      </c>
    </row>
    <row r="27" spans="1:5" ht="21.75" customHeight="1" x14ac:dyDescent="0.25">
      <c r="A27" s="4">
        <v>13</v>
      </c>
      <c r="B27" s="4" t="s">
        <v>498</v>
      </c>
      <c r="C27" s="4">
        <v>612</v>
      </c>
      <c r="D27" s="4">
        <v>297</v>
      </c>
      <c r="E27" s="4">
        <v>315</v>
      </c>
    </row>
    <row r="28" spans="1:5" ht="21.75" customHeight="1" x14ac:dyDescent="0.25">
      <c r="A28" s="4">
        <v>14</v>
      </c>
      <c r="B28" s="4" t="s">
        <v>499</v>
      </c>
      <c r="C28" s="4">
        <v>1207</v>
      </c>
      <c r="D28" s="4">
        <v>579</v>
      </c>
      <c r="E28" s="4">
        <v>628</v>
      </c>
    </row>
    <row r="29" spans="1:5" ht="21.75" customHeight="1" x14ac:dyDescent="0.25">
      <c r="A29" s="4">
        <v>15</v>
      </c>
      <c r="B29" s="4" t="s">
        <v>500</v>
      </c>
      <c r="C29" s="4">
        <v>1094</v>
      </c>
      <c r="D29" s="4">
        <v>548</v>
      </c>
      <c r="E29" s="4">
        <v>546</v>
      </c>
    </row>
    <row r="30" spans="1:5" ht="21.75" customHeight="1" x14ac:dyDescent="0.25">
      <c r="A30" s="4">
        <v>16</v>
      </c>
      <c r="B30" s="4" t="s">
        <v>501</v>
      </c>
      <c r="C30" s="4">
        <v>53</v>
      </c>
      <c r="D30" s="4">
        <v>27</v>
      </c>
      <c r="E30" s="4">
        <v>26</v>
      </c>
    </row>
    <row r="31" spans="1:5" ht="21.75" customHeight="1" x14ac:dyDescent="0.25">
      <c r="A31" s="4">
        <v>17</v>
      </c>
      <c r="B31" s="4" t="s">
        <v>502</v>
      </c>
      <c r="C31" s="4">
        <v>218</v>
      </c>
      <c r="D31" s="4">
        <v>107</v>
      </c>
      <c r="E31" s="4">
        <v>111</v>
      </c>
    </row>
    <row r="32" spans="1:5" ht="21.75" customHeight="1" x14ac:dyDescent="0.25">
      <c r="A32" s="4">
        <v>18</v>
      </c>
      <c r="B32" s="4" t="s">
        <v>503</v>
      </c>
      <c r="C32" s="4">
        <v>252</v>
      </c>
      <c r="D32" s="4">
        <v>131</v>
      </c>
      <c r="E32" s="4">
        <v>121</v>
      </c>
    </row>
    <row r="33" spans="1:5" ht="21.75" customHeight="1" x14ac:dyDescent="0.25">
      <c r="A33" s="4">
        <v>19</v>
      </c>
      <c r="B33" s="4" t="s">
        <v>504</v>
      </c>
      <c r="C33" s="4">
        <v>610</v>
      </c>
      <c r="D33" s="4">
        <v>313</v>
      </c>
      <c r="E33" s="4">
        <v>297</v>
      </c>
    </row>
    <row r="34" spans="1:5" ht="21.75" customHeight="1" x14ac:dyDescent="0.25">
      <c r="A34" s="4">
        <v>20</v>
      </c>
      <c r="B34" s="4" t="s">
        <v>505</v>
      </c>
      <c r="C34" s="4">
        <v>81</v>
      </c>
      <c r="D34" s="4">
        <v>41</v>
      </c>
      <c r="E34" s="4">
        <v>40</v>
      </c>
    </row>
    <row r="35" spans="1:5" ht="21.75" customHeight="1" x14ac:dyDescent="0.25">
      <c r="A35" s="4">
        <v>21</v>
      </c>
      <c r="B35" s="4" t="s">
        <v>506</v>
      </c>
      <c r="C35" s="4">
        <v>82</v>
      </c>
      <c r="D35" s="4">
        <v>37</v>
      </c>
      <c r="E35" s="4">
        <v>45</v>
      </c>
    </row>
    <row r="36" spans="1:5" ht="21.75" customHeight="1" x14ac:dyDescent="0.25">
      <c r="A36" s="4">
        <v>22</v>
      </c>
      <c r="B36" s="4" t="s">
        <v>507</v>
      </c>
      <c r="C36" s="4">
        <v>52</v>
      </c>
      <c r="D36" s="4">
        <v>28</v>
      </c>
      <c r="E36" s="4">
        <v>24</v>
      </c>
    </row>
    <row r="37" spans="1:5" ht="21.75" customHeight="1" x14ac:dyDescent="0.25">
      <c r="A37" s="4">
        <v>23</v>
      </c>
      <c r="B37" s="4" t="s">
        <v>508</v>
      </c>
      <c r="C37" s="4">
        <v>50</v>
      </c>
      <c r="D37" s="4">
        <v>27</v>
      </c>
      <c r="E37" s="4">
        <v>23</v>
      </c>
    </row>
    <row r="38" spans="1:5" ht="21.75" customHeight="1" x14ac:dyDescent="0.25">
      <c r="A38" s="4">
        <v>24</v>
      </c>
      <c r="B38" s="4" t="s">
        <v>509</v>
      </c>
      <c r="C38" s="4">
        <v>275</v>
      </c>
      <c r="D38" s="4">
        <v>129</v>
      </c>
      <c r="E38" s="4">
        <v>146</v>
      </c>
    </row>
    <row r="39" spans="1:5" ht="21.75" customHeight="1" x14ac:dyDescent="0.25">
      <c r="A39" s="5"/>
      <c r="B39" s="5"/>
      <c r="C39" s="5"/>
      <c r="D39" s="5"/>
      <c r="E39" s="5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Putao District,  Khaunglanphoo  Township"/>
  </hyperlinks>
  <pageMargins left="0.75" right="0.5" top="0.5" bottom="0.2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sqref="A1:E1"/>
    </sheetView>
  </sheetViews>
  <sheetFormatPr defaultRowHeight="15" x14ac:dyDescent="0.25"/>
  <cols>
    <col min="1" max="1" width="9.140625" style="17"/>
    <col min="2" max="2" width="26.140625" style="17" bestFit="1" customWidth="1"/>
    <col min="3" max="5" width="15.7109375" style="17" customWidth="1"/>
    <col min="6" max="16384" width="9.140625" style="17"/>
  </cols>
  <sheetData>
    <row r="1" spans="1:6" s="1" customFormat="1" ht="25.5" customHeight="1" x14ac:dyDescent="0.35">
      <c r="A1" s="42" t="s">
        <v>552</v>
      </c>
      <c r="B1" s="42"/>
      <c r="C1" s="42"/>
      <c r="D1" s="42"/>
      <c r="E1" s="42"/>
      <c r="F1" s="22"/>
    </row>
    <row r="2" spans="1:6" s="1" customFormat="1" ht="30" customHeight="1" x14ac:dyDescent="0.35">
      <c r="A2" s="22"/>
      <c r="B2" s="22"/>
      <c r="E2" s="18" t="s">
        <v>526</v>
      </c>
      <c r="F2" s="22"/>
    </row>
    <row r="3" spans="1:6" s="1" customFormat="1" ht="25.5" customHeight="1" x14ac:dyDescent="0.35">
      <c r="A3" s="23"/>
      <c r="B3" s="22"/>
      <c r="E3" s="22"/>
      <c r="F3" s="22"/>
    </row>
    <row r="4" spans="1:6" s="1" customFormat="1" ht="21" x14ac:dyDescent="0.35">
      <c r="A4" s="38" t="s">
        <v>527</v>
      </c>
      <c r="B4" s="38" t="s">
        <v>560</v>
      </c>
      <c r="C4" s="38" t="s">
        <v>523</v>
      </c>
      <c r="D4" s="38"/>
      <c r="E4" s="38"/>
    </row>
    <row r="5" spans="1:6" s="1" customFormat="1" ht="21" x14ac:dyDescent="0.35">
      <c r="A5" s="38"/>
      <c r="B5" s="38"/>
      <c r="C5" s="30" t="s">
        <v>0</v>
      </c>
      <c r="D5" s="30" t="s">
        <v>1</v>
      </c>
      <c r="E5" s="30" t="s">
        <v>2</v>
      </c>
    </row>
    <row r="6" spans="1:6" s="1" customFormat="1" ht="21.75" customHeight="1" x14ac:dyDescent="0.35">
      <c r="A6" s="14"/>
      <c r="B6" s="6" t="s">
        <v>558</v>
      </c>
      <c r="C6" s="15">
        <f>C8+C15</f>
        <v>5365</v>
      </c>
      <c r="D6" s="15">
        <f t="shared" ref="D6:E6" si="0">D8+D15</f>
        <v>2689</v>
      </c>
      <c r="E6" s="15">
        <f t="shared" si="0"/>
        <v>2676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SUM(C9:C13)</f>
        <v>2111</v>
      </c>
      <c r="D8" s="6">
        <f t="shared" ref="D8:E8" si="1">SUM(D9:D13)</f>
        <v>1039</v>
      </c>
      <c r="E8" s="6">
        <f t="shared" si="1"/>
        <v>1072</v>
      </c>
    </row>
    <row r="9" spans="1:6" ht="21.75" customHeight="1" x14ac:dyDescent="0.25">
      <c r="A9" s="4">
        <v>1</v>
      </c>
      <c r="B9" s="4" t="s">
        <v>48</v>
      </c>
      <c r="C9" s="4">
        <v>503</v>
      </c>
      <c r="D9" s="4">
        <v>233</v>
      </c>
      <c r="E9" s="4">
        <v>270</v>
      </c>
    </row>
    <row r="10" spans="1:6" ht="21.75" customHeight="1" x14ac:dyDescent="0.25">
      <c r="A10" s="4">
        <v>2</v>
      </c>
      <c r="B10" s="4" t="s">
        <v>49</v>
      </c>
      <c r="C10" s="4">
        <v>254</v>
      </c>
      <c r="D10" s="4">
        <v>127</v>
      </c>
      <c r="E10" s="4">
        <v>127</v>
      </c>
    </row>
    <row r="11" spans="1:6" ht="21.75" customHeight="1" x14ac:dyDescent="0.25">
      <c r="A11" s="4">
        <v>3</v>
      </c>
      <c r="B11" s="4" t="s">
        <v>50</v>
      </c>
      <c r="C11" s="4">
        <v>293</v>
      </c>
      <c r="D11" s="4">
        <v>143</v>
      </c>
      <c r="E11" s="4">
        <v>150</v>
      </c>
    </row>
    <row r="12" spans="1:6" ht="21.75" customHeight="1" x14ac:dyDescent="0.25">
      <c r="A12" s="4">
        <v>4</v>
      </c>
      <c r="B12" s="4" t="s">
        <v>51</v>
      </c>
      <c r="C12" s="4">
        <v>232</v>
      </c>
      <c r="D12" s="4">
        <v>104</v>
      </c>
      <c r="E12" s="4">
        <v>128</v>
      </c>
    </row>
    <row r="13" spans="1:6" ht="21.75" customHeight="1" x14ac:dyDescent="0.25">
      <c r="A13" s="4">
        <v>5</v>
      </c>
      <c r="B13" s="4" t="s">
        <v>52</v>
      </c>
      <c r="C13" s="4">
        <v>829</v>
      </c>
      <c r="D13" s="4">
        <v>432</v>
      </c>
      <c r="E13" s="4">
        <v>397</v>
      </c>
    </row>
    <row r="14" spans="1:6" ht="21.75" customHeight="1" x14ac:dyDescent="0.25">
      <c r="A14" s="4"/>
      <c r="B14" s="4"/>
      <c r="C14" s="4"/>
      <c r="D14" s="4"/>
      <c r="E14" s="4"/>
    </row>
    <row r="15" spans="1:6" ht="21.75" customHeight="1" x14ac:dyDescent="0.25">
      <c r="A15" s="4"/>
      <c r="B15" s="20" t="s">
        <v>559</v>
      </c>
      <c r="C15" s="6">
        <f>SUM(C16:C23)</f>
        <v>3254</v>
      </c>
      <c r="D15" s="6">
        <f t="shared" ref="D15:E15" si="2">SUM(D16:D23)</f>
        <v>1650</v>
      </c>
      <c r="E15" s="6">
        <f t="shared" si="2"/>
        <v>1604</v>
      </c>
    </row>
    <row r="16" spans="1:6" ht="21.75" customHeight="1" x14ac:dyDescent="0.25">
      <c r="A16" s="4">
        <v>1</v>
      </c>
      <c r="B16" s="4" t="s">
        <v>510</v>
      </c>
      <c r="C16" s="4">
        <v>861</v>
      </c>
      <c r="D16" s="4">
        <v>432</v>
      </c>
      <c r="E16" s="4">
        <v>429</v>
      </c>
    </row>
    <row r="17" spans="1:5" ht="21.75" customHeight="1" x14ac:dyDescent="0.25">
      <c r="A17" s="4">
        <v>2</v>
      </c>
      <c r="B17" s="4" t="s">
        <v>511</v>
      </c>
      <c r="C17" s="4">
        <v>382</v>
      </c>
      <c r="D17" s="4">
        <v>197</v>
      </c>
      <c r="E17" s="4">
        <v>185</v>
      </c>
    </row>
    <row r="18" spans="1:5" ht="21.75" customHeight="1" x14ac:dyDescent="0.25">
      <c r="A18" s="4">
        <v>3</v>
      </c>
      <c r="B18" s="4" t="s">
        <v>512</v>
      </c>
      <c r="C18" s="4">
        <v>222</v>
      </c>
      <c r="D18" s="4">
        <v>115</v>
      </c>
      <c r="E18" s="4">
        <v>107</v>
      </c>
    </row>
    <row r="19" spans="1:5" ht="21.75" customHeight="1" x14ac:dyDescent="0.25">
      <c r="A19" s="4">
        <v>4</v>
      </c>
      <c r="B19" s="4" t="s">
        <v>513</v>
      </c>
      <c r="C19" s="4">
        <v>873</v>
      </c>
      <c r="D19" s="4">
        <v>463</v>
      </c>
      <c r="E19" s="4">
        <v>410</v>
      </c>
    </row>
    <row r="20" spans="1:5" ht="21.75" customHeight="1" x14ac:dyDescent="0.25">
      <c r="A20" s="4">
        <v>5</v>
      </c>
      <c r="B20" s="4" t="s">
        <v>514</v>
      </c>
      <c r="C20" s="4">
        <v>369</v>
      </c>
      <c r="D20" s="4">
        <v>167</v>
      </c>
      <c r="E20" s="4">
        <v>202</v>
      </c>
    </row>
    <row r="21" spans="1:5" ht="21.75" customHeight="1" x14ac:dyDescent="0.25">
      <c r="A21" s="4">
        <v>6</v>
      </c>
      <c r="B21" s="4" t="s">
        <v>515</v>
      </c>
      <c r="C21" s="4">
        <v>348</v>
      </c>
      <c r="D21" s="4">
        <v>185</v>
      </c>
      <c r="E21" s="4">
        <v>163</v>
      </c>
    </row>
    <row r="22" spans="1:5" ht="21.75" customHeight="1" x14ac:dyDescent="0.25">
      <c r="A22" s="4">
        <v>7</v>
      </c>
      <c r="B22" s="4" t="s">
        <v>516</v>
      </c>
      <c r="C22" s="4">
        <v>106</v>
      </c>
      <c r="D22" s="4">
        <v>51</v>
      </c>
      <c r="E22" s="4">
        <v>55</v>
      </c>
    </row>
    <row r="23" spans="1:5" ht="21.75" customHeight="1" x14ac:dyDescent="0.25">
      <c r="A23" s="4">
        <v>8</v>
      </c>
      <c r="B23" s="4" t="s">
        <v>517</v>
      </c>
      <c r="C23" s="4">
        <v>93</v>
      </c>
      <c r="D23" s="4">
        <v>40</v>
      </c>
      <c r="E23" s="4">
        <v>53</v>
      </c>
    </row>
    <row r="24" spans="1:5" ht="21.75" customHeight="1" x14ac:dyDescent="0.25">
      <c r="A24" s="5"/>
      <c r="B24" s="5"/>
      <c r="C24" s="5"/>
      <c r="D24" s="5"/>
      <c r="E24" s="5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Putao District, Naungmoon Township"/>
  </hyperlinks>
  <pageMargins left="0.75" right="0.5" top="0.5" bottom="0.2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E1"/>
    </sheetView>
  </sheetViews>
  <sheetFormatPr defaultRowHeight="15" x14ac:dyDescent="0.25"/>
  <cols>
    <col min="1" max="1" width="9.140625" style="17"/>
    <col min="2" max="2" width="24.5703125" style="17" customWidth="1"/>
    <col min="3" max="5" width="15.7109375" style="17" customWidth="1"/>
    <col min="6" max="16384" width="9.140625" style="17"/>
  </cols>
  <sheetData>
    <row r="1" spans="1:6" s="1" customFormat="1" ht="25.5" customHeight="1" x14ac:dyDescent="0.35">
      <c r="A1" s="42" t="s">
        <v>553</v>
      </c>
      <c r="B1" s="42"/>
      <c r="C1" s="42"/>
      <c r="D1" s="42"/>
      <c r="E1" s="42"/>
      <c r="F1" s="22"/>
    </row>
    <row r="2" spans="1:6" s="1" customFormat="1" ht="30" customHeight="1" x14ac:dyDescent="0.35">
      <c r="A2" s="22"/>
      <c r="B2" s="22"/>
      <c r="E2" s="18" t="s">
        <v>526</v>
      </c>
      <c r="F2" s="22"/>
    </row>
    <row r="3" spans="1:6" s="1" customFormat="1" ht="25.5" customHeight="1" x14ac:dyDescent="0.35">
      <c r="A3" s="23"/>
      <c r="B3" s="22"/>
      <c r="E3" s="22"/>
      <c r="F3" s="22"/>
    </row>
    <row r="4" spans="1:6" s="1" customFormat="1" ht="21" x14ac:dyDescent="0.35">
      <c r="A4" s="38" t="s">
        <v>527</v>
      </c>
      <c r="B4" s="38" t="s">
        <v>560</v>
      </c>
      <c r="C4" s="38" t="s">
        <v>523</v>
      </c>
      <c r="D4" s="38"/>
      <c r="E4" s="38"/>
    </row>
    <row r="5" spans="1:6" s="1" customFormat="1" ht="21" x14ac:dyDescent="0.35">
      <c r="A5" s="38"/>
      <c r="B5" s="38"/>
      <c r="C5" s="30" t="s">
        <v>0</v>
      </c>
      <c r="D5" s="30" t="s">
        <v>1</v>
      </c>
      <c r="E5" s="30" t="s">
        <v>2</v>
      </c>
    </row>
    <row r="6" spans="1:6" s="1" customFormat="1" ht="21.75" customHeight="1" x14ac:dyDescent="0.35">
      <c r="A6" s="12"/>
      <c r="B6" s="20" t="s">
        <v>558</v>
      </c>
      <c r="C6" s="13">
        <f>C8+C11</f>
        <v>1758</v>
      </c>
      <c r="D6" s="13">
        <f t="shared" ref="D6:E6" si="0">D8+D11</f>
        <v>914</v>
      </c>
      <c r="E6" s="13">
        <f t="shared" si="0"/>
        <v>844</v>
      </c>
    </row>
    <row r="7" spans="1:6" ht="21.75" customHeight="1" x14ac:dyDescent="0.25">
      <c r="A7" s="4"/>
      <c r="B7" s="4"/>
      <c r="C7" s="4"/>
      <c r="D7" s="4"/>
      <c r="E7" s="4"/>
    </row>
    <row r="8" spans="1:6" ht="21.75" customHeight="1" x14ac:dyDescent="0.25">
      <c r="A8" s="4"/>
      <c r="B8" s="20" t="s">
        <v>524</v>
      </c>
      <c r="C8" s="6">
        <f>C9</f>
        <v>125</v>
      </c>
      <c r="D8" s="6">
        <f t="shared" ref="D8:E8" si="1">D9</f>
        <v>67</v>
      </c>
      <c r="E8" s="6">
        <f t="shared" si="1"/>
        <v>58</v>
      </c>
    </row>
    <row r="9" spans="1:6" ht="21.75" customHeight="1" x14ac:dyDescent="0.25">
      <c r="A9" s="4">
        <v>1</v>
      </c>
      <c r="B9" s="4" t="s">
        <v>7</v>
      </c>
      <c r="C9" s="4">
        <v>125</v>
      </c>
      <c r="D9" s="4">
        <v>67</v>
      </c>
      <c r="E9" s="4">
        <v>58</v>
      </c>
    </row>
    <row r="10" spans="1:6" ht="21.75" customHeight="1" x14ac:dyDescent="0.25">
      <c r="A10" s="4"/>
      <c r="B10" s="4"/>
      <c r="C10" s="4"/>
      <c r="D10" s="4"/>
      <c r="E10" s="4"/>
    </row>
    <row r="11" spans="1:6" ht="21.75" customHeight="1" x14ac:dyDescent="0.25">
      <c r="A11" s="4"/>
      <c r="B11" s="20" t="s">
        <v>559</v>
      </c>
      <c r="C11" s="6">
        <f>SUM(C12:C16)</f>
        <v>1633</v>
      </c>
      <c r="D11" s="6">
        <f t="shared" ref="D11:E11" si="2">SUM(D12:D16)</f>
        <v>847</v>
      </c>
      <c r="E11" s="6">
        <f t="shared" si="2"/>
        <v>786</v>
      </c>
    </row>
    <row r="12" spans="1:6" ht="21.75" customHeight="1" x14ac:dyDescent="0.25">
      <c r="A12" s="4">
        <v>1</v>
      </c>
      <c r="B12" s="4" t="s">
        <v>518</v>
      </c>
      <c r="C12" s="4">
        <v>100</v>
      </c>
      <c r="D12" s="4">
        <v>54</v>
      </c>
      <c r="E12" s="4">
        <v>46</v>
      </c>
    </row>
    <row r="13" spans="1:6" ht="21.75" customHeight="1" x14ac:dyDescent="0.25">
      <c r="A13" s="4">
        <v>2</v>
      </c>
      <c r="B13" s="4" t="s">
        <v>519</v>
      </c>
      <c r="C13" s="4">
        <v>305</v>
      </c>
      <c r="D13" s="4">
        <v>168</v>
      </c>
      <c r="E13" s="4">
        <v>137</v>
      </c>
    </row>
    <row r="14" spans="1:6" ht="21.75" customHeight="1" x14ac:dyDescent="0.25">
      <c r="A14" s="4">
        <v>3</v>
      </c>
      <c r="B14" s="4" t="s">
        <v>520</v>
      </c>
      <c r="C14" s="4">
        <v>632</v>
      </c>
      <c r="D14" s="4">
        <v>321</v>
      </c>
      <c r="E14" s="4">
        <v>311</v>
      </c>
    </row>
    <row r="15" spans="1:6" ht="21.75" customHeight="1" x14ac:dyDescent="0.25">
      <c r="A15" s="4">
        <v>4</v>
      </c>
      <c r="B15" s="4" t="s">
        <v>521</v>
      </c>
      <c r="C15" s="4">
        <v>156</v>
      </c>
      <c r="D15" s="4">
        <v>83</v>
      </c>
      <c r="E15" s="4">
        <v>73</v>
      </c>
    </row>
    <row r="16" spans="1:6" ht="21.75" customHeight="1" x14ac:dyDescent="0.25">
      <c r="A16" s="7">
        <v>5</v>
      </c>
      <c r="B16" s="7" t="s">
        <v>522</v>
      </c>
      <c r="C16" s="7">
        <v>440</v>
      </c>
      <c r="D16" s="7">
        <v>221</v>
      </c>
      <c r="E16" s="7">
        <v>219</v>
      </c>
    </row>
    <row r="17" spans="1:5" ht="15.75" x14ac:dyDescent="0.25">
      <c r="A17" s="10"/>
      <c r="B17" s="10"/>
      <c r="C17" s="10"/>
      <c r="D17" s="10"/>
      <c r="E17" s="10"/>
    </row>
  </sheetData>
  <mergeCells count="4">
    <mergeCell ref="A1:E1"/>
    <mergeCell ref="A4:A5"/>
    <mergeCell ref="B4:B5"/>
    <mergeCell ref="C4:E4"/>
  </mergeCells>
  <hyperlinks>
    <hyperlink ref="A1:E1" location="'list of township'!A1" display="Kachin State, Putao District,  Pannandin (Sub- Township)"/>
  </hyperlinks>
  <pageMargins left="0.75" right="0.5" top="0.5" bottom="0.2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9</vt:i4>
      </vt:variant>
    </vt:vector>
  </HeadingPairs>
  <TitlesOfParts>
    <vt:vector size="41" baseType="lpstr">
      <vt:lpstr>list of township</vt:lpstr>
      <vt:lpstr>Myitkyinar</vt:lpstr>
      <vt:lpstr>Waingmaw</vt:lpstr>
      <vt:lpstr>Ingyanyan</vt:lpstr>
      <vt:lpstr>Tanaing</vt:lpstr>
      <vt:lpstr>Chiphwe</vt:lpstr>
      <vt:lpstr>Hsotlaw</vt:lpstr>
      <vt:lpstr>Hsinbo(Sub-Tsp)</vt:lpstr>
      <vt:lpstr>Hsadone(Sub-Tsp)</vt:lpstr>
      <vt:lpstr>Kanpaikti(Sub-Tsp)</vt:lpstr>
      <vt:lpstr>Shinbwanyyan(Sub-Tsp)</vt:lpstr>
      <vt:lpstr>Panwa(Sub-Tsp)</vt:lpstr>
      <vt:lpstr>Mohnyin</vt:lpstr>
      <vt:lpstr>Mogaung</vt:lpstr>
      <vt:lpstr>Phakant</vt:lpstr>
      <vt:lpstr>Hopin(Sub-Tsp)</vt:lpstr>
      <vt:lpstr>Kamine(Sub-Tsp)</vt:lpstr>
      <vt:lpstr>Bhamo</vt:lpstr>
      <vt:lpstr>Shwegu</vt:lpstr>
      <vt:lpstr>Momauk</vt:lpstr>
      <vt:lpstr>Mansi</vt:lpstr>
      <vt:lpstr>Myohla(Sub-Tsp)</vt:lpstr>
      <vt:lpstr> Lwe`ge`(Sub-Tsp)</vt:lpstr>
      <vt:lpstr> Dotphoneyan(Sub-Tsp)</vt:lpstr>
      <vt:lpstr>Putao</vt:lpstr>
      <vt:lpstr>Sumprabum</vt:lpstr>
      <vt:lpstr>Machanbaw</vt:lpstr>
      <vt:lpstr>Khaunglanphoo</vt:lpstr>
      <vt:lpstr>Naungmoon</vt:lpstr>
      <vt:lpstr>Pannandin(Sub-Tsp)</vt:lpstr>
      <vt:lpstr>Sheet2</vt:lpstr>
      <vt:lpstr>Sheet3</vt:lpstr>
      <vt:lpstr>Bhamo!Print_Titles</vt:lpstr>
      <vt:lpstr>Chiphwe!Print_Titles</vt:lpstr>
      <vt:lpstr>Hsotlaw!Print_Titles</vt:lpstr>
      <vt:lpstr>Khaunglanphoo!Print_Titles</vt:lpstr>
      <vt:lpstr>Mogaung!Print_Titles</vt:lpstr>
      <vt:lpstr>Mohnyin!Print_Titles</vt:lpstr>
      <vt:lpstr>Myitkyinar!Print_Titles</vt:lpstr>
      <vt:lpstr>Shwegu!Print_Titles</vt:lpstr>
      <vt:lpstr>Waingmaw!Print_Titles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2015-08-28T09:34:26Z</cp:lastPrinted>
  <dcterms:created xsi:type="dcterms:W3CDTF">2015-06-01T07:24:05Z</dcterms:created>
  <dcterms:modified xsi:type="dcterms:W3CDTF">2015-09-02T04:44:21Z</dcterms:modified>
</cp:coreProperties>
</file>