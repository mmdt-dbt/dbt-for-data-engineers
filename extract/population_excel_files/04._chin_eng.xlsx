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1075" windowHeight="9450"/>
  </bookViews>
  <sheets>
    <sheet name="List of Township" sheetId="16" r:id="rId1"/>
    <sheet name="Haka" sheetId="4" r:id="rId2"/>
    <sheet name="Thantlang" sheetId="2" r:id="rId3"/>
    <sheet name="Falam" sheetId="3" r:id="rId4"/>
    <sheet name="Tedim" sheetId="5" r:id="rId5"/>
    <sheet name="Tonzaung" sheetId="6" r:id="rId6"/>
    <sheet name="Rihkhuadal(S)" sheetId="7" r:id="rId7"/>
    <sheet name="Cikha(S)" sheetId="8" r:id="rId8"/>
    <sheet name="Mindat" sheetId="9" r:id="rId9"/>
    <sheet name="Matupi" sheetId="10" r:id="rId10"/>
    <sheet name="Kanpalet" sheetId="11" r:id="rId11"/>
    <sheet name="Paletwa" sheetId="12" r:id="rId12"/>
    <sheet name="Reazu(S)" sheetId="13" r:id="rId13"/>
    <sheet name="Sami(S)" sheetId="14" r:id="rId14"/>
    <sheet name="Sheet2" sheetId="15" r:id="rId15"/>
  </sheets>
  <calcPr calcId="145621"/>
</workbook>
</file>

<file path=xl/calcChain.xml><?xml version="1.0" encoding="utf-8"?>
<calcChain xmlns="http://schemas.openxmlformats.org/spreadsheetml/2006/main">
  <c r="B8" i="16" l="1"/>
  <c r="B14" i="16" l="1"/>
  <c r="B13" i="16"/>
  <c r="B12" i="16"/>
  <c r="B11" i="16"/>
  <c r="B10" i="16"/>
  <c r="B9" i="16"/>
  <c r="B7" i="16"/>
  <c r="B6" i="16"/>
  <c r="B5" i="16"/>
  <c r="B4" i="16"/>
  <c r="B3" i="16"/>
  <c r="B2" i="16"/>
  <c r="D8" i="14" l="1"/>
  <c r="D6" i="14" s="1"/>
  <c r="E8" i="14"/>
  <c r="C8" i="14"/>
  <c r="D12" i="14"/>
  <c r="E12" i="14"/>
  <c r="C12" i="14"/>
  <c r="E7" i="13"/>
  <c r="D9" i="13"/>
  <c r="E9" i="13"/>
  <c r="C9" i="13"/>
  <c r="C7" i="13" s="1"/>
  <c r="D11" i="13"/>
  <c r="E11" i="13"/>
  <c r="C11" i="13"/>
  <c r="D9" i="12"/>
  <c r="E9" i="12"/>
  <c r="C9" i="12"/>
  <c r="D13" i="12"/>
  <c r="E13" i="12"/>
  <c r="C13" i="12"/>
  <c r="D12" i="11"/>
  <c r="E12" i="11"/>
  <c r="C12" i="11"/>
  <c r="D9" i="11"/>
  <c r="E9" i="11"/>
  <c r="C9" i="11"/>
  <c r="D14" i="10"/>
  <c r="E14" i="10"/>
  <c r="C14" i="10"/>
  <c r="D9" i="10"/>
  <c r="E9" i="10"/>
  <c r="C9" i="10"/>
  <c r="D7" i="11" l="1"/>
  <c r="D7" i="13"/>
  <c r="C6" i="14"/>
  <c r="E6" i="14"/>
  <c r="C7" i="12"/>
  <c r="D7" i="10"/>
  <c r="C7" i="11"/>
  <c r="E7" i="12"/>
  <c r="D7" i="12"/>
  <c r="E7" i="11"/>
  <c r="C7" i="10"/>
  <c r="E7" i="10"/>
  <c r="E14" i="9"/>
  <c r="F14" i="9"/>
  <c r="D14" i="9"/>
  <c r="E9" i="9"/>
  <c r="F9" i="9"/>
  <c r="D9" i="9"/>
  <c r="E12" i="8"/>
  <c r="F12" i="8"/>
  <c r="D12" i="8"/>
  <c r="E9" i="8"/>
  <c r="F9" i="8"/>
  <c r="D9" i="8"/>
  <c r="D7" i="9" l="1"/>
  <c r="E7" i="8"/>
  <c r="E7" i="9"/>
  <c r="F7" i="9"/>
  <c r="D7" i="8"/>
  <c r="F7" i="8"/>
  <c r="D12" i="7"/>
  <c r="E12" i="7"/>
  <c r="C12" i="7"/>
  <c r="D9" i="7"/>
  <c r="E9" i="7"/>
  <c r="C9" i="7"/>
  <c r="D12" i="6"/>
  <c r="E12" i="6"/>
  <c r="C12" i="6"/>
  <c r="D9" i="6"/>
  <c r="E9" i="6"/>
  <c r="C9" i="6"/>
  <c r="D14" i="5"/>
  <c r="E14" i="5"/>
  <c r="C14" i="5"/>
  <c r="D9" i="5"/>
  <c r="E9" i="5"/>
  <c r="C9" i="5"/>
  <c r="C7" i="7" l="1"/>
  <c r="D7" i="7"/>
  <c r="C7" i="6"/>
  <c r="D7" i="6"/>
  <c r="E7" i="7"/>
  <c r="E7" i="6"/>
  <c r="D7" i="5"/>
  <c r="C7" i="5"/>
  <c r="E7" i="5"/>
  <c r="D9" i="3" l="1"/>
  <c r="E9" i="3"/>
  <c r="E7" i="3" s="1"/>
  <c r="C9" i="3"/>
  <c r="D14" i="3"/>
  <c r="E14" i="3"/>
  <c r="C14" i="3"/>
  <c r="D7" i="3" l="1"/>
  <c r="C7" i="3"/>
  <c r="D13" i="2"/>
  <c r="D7" i="2" s="1"/>
  <c r="E13" i="2"/>
  <c r="C13" i="2"/>
  <c r="D9" i="2"/>
  <c r="E9" i="2"/>
  <c r="E7" i="2" s="1"/>
  <c r="C9" i="2"/>
  <c r="D16" i="4"/>
  <c r="E16" i="4"/>
  <c r="C16" i="4"/>
  <c r="D9" i="4"/>
  <c r="E9" i="4"/>
  <c r="C9" i="4"/>
  <c r="E7" i="4" l="1"/>
  <c r="D7" i="4"/>
  <c r="C7" i="2"/>
  <c r="C7" i="4"/>
</calcChain>
</file>

<file path=xl/sharedStrings.xml><?xml version="1.0" encoding="utf-8"?>
<sst xmlns="http://schemas.openxmlformats.org/spreadsheetml/2006/main" count="655" uniqueCount="521">
  <si>
    <t>Total</t>
  </si>
  <si>
    <t>Male</t>
  </si>
  <si>
    <t>Female</t>
  </si>
  <si>
    <t xml:space="preserve">            Zay Haung(W)</t>
  </si>
  <si>
    <t xml:space="preserve">            Zay Thit(W)</t>
  </si>
  <si>
    <t xml:space="preserve">            Pyi Taw Thar(W)</t>
  </si>
  <si>
    <t xml:space="preserve">            Kyaw Boke(W)</t>
  </si>
  <si>
    <t xml:space="preserve">            Myo Haung(W)</t>
  </si>
  <si>
    <t xml:space="preserve">            Myo Thit(W)</t>
  </si>
  <si>
    <t xml:space="preserve">            Khuabe(VT)</t>
  </si>
  <si>
    <t xml:space="preserve">            Hniarlawn(VT)</t>
  </si>
  <si>
    <t xml:space="preserve">            Loklung(VT)</t>
  </si>
  <si>
    <t xml:space="preserve">            Tiphul(VT)</t>
  </si>
  <si>
    <t xml:space="preserve">            Chuncung(VT)</t>
  </si>
  <si>
    <t xml:space="preserve">            Hranhring(VT)</t>
  </si>
  <si>
    <t xml:space="preserve">            Zokhua(VT)</t>
  </si>
  <si>
    <t xml:space="preserve">            Bualtak(VT)</t>
  </si>
  <si>
    <t xml:space="preserve">            Malsawm(VT)</t>
  </si>
  <si>
    <t xml:space="preserve">            Tinam(VT)</t>
  </si>
  <si>
    <t xml:space="preserve">            Rinpi(VT)</t>
  </si>
  <si>
    <t xml:space="preserve">            Haiphai(VT)</t>
  </si>
  <si>
    <t xml:space="preserve">            Farrawn(VT)</t>
  </si>
  <si>
    <t xml:space="preserve">            Dauchim(VT)</t>
  </si>
  <si>
    <t xml:space="preserve">            Vanhar(VT)</t>
  </si>
  <si>
    <t xml:space="preserve">            Ruan(VT)</t>
  </si>
  <si>
    <t xml:space="preserve">            Surkhua(VT)</t>
  </si>
  <si>
    <t xml:space="preserve">            Lungtar(VT)</t>
  </si>
  <si>
    <t xml:space="preserve">            Cangva(VT)</t>
  </si>
  <si>
    <t xml:space="preserve">            Sumsi(VT)</t>
  </si>
  <si>
    <t xml:space="preserve">            Lungrang(VT)</t>
  </si>
  <si>
    <t xml:space="preserve">            Phaipha (A)(VT)</t>
  </si>
  <si>
    <t xml:space="preserve">            Dumva(VT)</t>
  </si>
  <si>
    <t xml:space="preserve">            Sakta(VT)</t>
  </si>
  <si>
    <t xml:space="preserve">            Bungtuah(VT)</t>
  </si>
  <si>
    <t xml:space="preserve">            Khuapi(VT)</t>
  </si>
  <si>
    <t xml:space="preserve">            Buanlung(VT)</t>
  </si>
  <si>
    <t xml:space="preserve">            Dongva(VT)</t>
  </si>
  <si>
    <t xml:space="preserve">            Lungkhin(VT)</t>
  </si>
  <si>
    <t xml:space="preserve">            Leipi(VT)</t>
  </si>
  <si>
    <t xml:space="preserve">            No(1)(W)</t>
  </si>
  <si>
    <t xml:space="preserve">            No(2)(W)</t>
  </si>
  <si>
    <t xml:space="preserve">            No(3)(W)</t>
  </si>
  <si>
    <t xml:space="preserve">            Tlangkhua(VT)</t>
  </si>
  <si>
    <t xml:space="preserve">            Tikhuangtum(VT)</t>
  </si>
  <si>
    <t xml:space="preserve">            Lungzarh(VT)</t>
  </si>
  <si>
    <t xml:space="preserve">            Tlangte(VT)</t>
  </si>
  <si>
    <t xml:space="preserve">            Tlangpi(VT)</t>
  </si>
  <si>
    <t xml:space="preserve">            Lungding(VT)</t>
  </si>
  <si>
    <t xml:space="preserve">            Vanzang(VT)</t>
  </si>
  <si>
    <t xml:space="preserve">            Dawn(VT)</t>
  </si>
  <si>
    <t xml:space="preserve">            Zaangtlang(VT)</t>
  </si>
  <si>
    <t xml:space="preserve">            Lungler(VT)</t>
  </si>
  <si>
    <t xml:space="preserve">            Thangzang(VT)</t>
  </si>
  <si>
    <t xml:space="preserve">            Saikah(VT)</t>
  </si>
  <si>
    <t xml:space="preserve">            Bungtlang(VT)</t>
  </si>
  <si>
    <t xml:space="preserve">            Thau(VT)</t>
  </si>
  <si>
    <t xml:space="preserve">            Hriangkhan(VT)</t>
  </si>
  <si>
    <t xml:space="preserve">            Thlualam(VT)</t>
  </si>
  <si>
    <t xml:space="preserve">            Tlang(VT)</t>
  </si>
  <si>
    <t xml:space="preserve">            Salen(VT)</t>
  </si>
  <si>
    <t xml:space="preserve">            Tikir(VT)</t>
  </si>
  <si>
    <t xml:space="preserve">            Sialam(VT)</t>
  </si>
  <si>
    <t xml:space="preserve">            Lulpilung(VT)</t>
  </si>
  <si>
    <t xml:space="preserve">            Hmawngtlang(VT)</t>
  </si>
  <si>
    <t xml:space="preserve">            Congthia(VT)</t>
  </si>
  <si>
    <t xml:space="preserve">            Surngen(VT)</t>
  </si>
  <si>
    <t xml:space="preserve">            Aibur(VT)</t>
  </si>
  <si>
    <t xml:space="preserve">            Fanthen(VT)</t>
  </si>
  <si>
    <t xml:space="preserve">            Hnaring (A)(VT)</t>
  </si>
  <si>
    <t xml:space="preserve">            Khuahrang(VT)</t>
  </si>
  <si>
    <t xml:space="preserve">            Thangaw(VT)</t>
  </si>
  <si>
    <t xml:space="preserve">            Ngaphaite(VT)</t>
  </si>
  <si>
    <t xml:space="preserve">            Lailen(VT)</t>
  </si>
  <si>
    <t xml:space="preserve">            Ngaphaipi(VT)</t>
  </si>
  <si>
    <t xml:space="preserve">            Khuabung(VT)</t>
  </si>
  <si>
    <t xml:space="preserve">            Lawngtlang(VT)</t>
  </si>
  <si>
    <t xml:space="preserve">            Zephai(Ka)(VT)</t>
  </si>
  <si>
    <t xml:space="preserve">            Belhar(VT)</t>
  </si>
  <si>
    <t xml:space="preserve">            Hriphi(VT)</t>
  </si>
  <si>
    <t xml:space="preserve">            Cinmual(W)</t>
  </si>
  <si>
    <t xml:space="preserve">            Balai(W)</t>
  </si>
  <si>
    <t xml:space="preserve">            Phathauk(W)</t>
  </si>
  <si>
    <t xml:space="preserve">            Tlanlau(W)</t>
  </si>
  <si>
    <t xml:space="preserve">            K.Haimual(VT)</t>
  </si>
  <si>
    <t xml:space="preserve">            Rallawn(VT)</t>
  </si>
  <si>
    <t xml:space="preserve">            MangKheng(VT)</t>
  </si>
  <si>
    <t xml:space="preserve">            Lenhai(VT)</t>
  </si>
  <si>
    <t xml:space="preserve">            Lente(VT)</t>
  </si>
  <si>
    <t xml:space="preserve">            Thungthul(VT)</t>
  </si>
  <si>
    <t xml:space="preserve">            Laizo(VT)</t>
  </si>
  <si>
    <t xml:space="preserve">            L. Hmunpi(VT)</t>
  </si>
  <si>
    <t xml:space="preserve">            Congthe(VT)</t>
  </si>
  <si>
    <t xml:space="preserve">            Taisum(VT)</t>
  </si>
  <si>
    <t xml:space="preserve">            C. Zamual(VT)</t>
  </si>
  <si>
    <t xml:space="preserve">            Taal(VT)</t>
  </si>
  <si>
    <t xml:space="preserve">            Thili(VT)</t>
  </si>
  <si>
    <t xml:space="preserve">            Ramthlo(VT)</t>
  </si>
  <si>
    <t xml:space="preserve">            Rulbu(VT)</t>
  </si>
  <si>
    <t xml:space="preserve">            L. Zamual(VT)</t>
  </si>
  <si>
    <t xml:space="preserve">            Tiahdai(VT)</t>
  </si>
  <si>
    <t xml:space="preserve">            Hrianghgnang(VT)</t>
  </si>
  <si>
    <t xml:space="preserve">            Cerhmun(VT)</t>
  </si>
  <si>
    <t xml:space="preserve">            Zathlir(VT)</t>
  </si>
  <si>
    <t xml:space="preserve">            Tlauhmun(VT)</t>
  </si>
  <si>
    <t xml:space="preserve">            Rallang(VT)</t>
  </si>
  <si>
    <t xml:space="preserve">            Sunthla (Old)(VT)</t>
  </si>
  <si>
    <t xml:space="preserve">            Relsing(VT)</t>
  </si>
  <si>
    <t xml:space="preserve">            Hlawnmual(VT)</t>
  </si>
  <si>
    <t xml:space="preserve">            Khuangli(VT)</t>
  </si>
  <si>
    <t xml:space="preserve">            Zawlnu(VT)</t>
  </si>
  <si>
    <t xml:space="preserve">            Ngamual(VT)</t>
  </si>
  <si>
    <t xml:space="preserve">            Bualkhua(VT)</t>
  </si>
  <si>
    <t xml:space="preserve">            Phaizawl(VT)</t>
  </si>
  <si>
    <t xml:space="preserve">            Farkhawm(VT)</t>
  </si>
  <si>
    <t xml:space="preserve">            Tisen(VT)</t>
  </si>
  <si>
    <t xml:space="preserve">            Duhmang(VT)</t>
  </si>
  <si>
    <t xml:space="preserve">            Lumbang(VT)</t>
  </si>
  <si>
    <t xml:space="preserve">            Lunghawh(VT)</t>
  </si>
  <si>
    <t xml:space="preserve">            Khualei(VT)</t>
  </si>
  <si>
    <t xml:space="preserve">            Lati(VT)</t>
  </si>
  <si>
    <t xml:space="preserve">            Simzawl(VT)</t>
  </si>
  <si>
    <t xml:space="preserve">            Hmunli(VT)</t>
  </si>
  <si>
    <t xml:space="preserve">            Locom(VT)</t>
  </si>
  <si>
    <t xml:space="preserve">            Zultu(VT)</t>
  </si>
  <si>
    <t xml:space="preserve">            Khumzing(VT)</t>
  </si>
  <si>
    <t xml:space="preserve">            Zalang(VT)</t>
  </si>
  <si>
    <t xml:space="preserve">            Webula(VT)</t>
  </si>
  <si>
    <t xml:space="preserve">            Zatual(VT)</t>
  </si>
  <si>
    <t xml:space="preserve">            Khitam(VT)</t>
  </si>
  <si>
    <t xml:space="preserve">            Lumte(VT)</t>
  </si>
  <si>
    <t xml:space="preserve">            Tlortang(VT)</t>
  </si>
  <si>
    <t xml:space="preserve">            Congkua(VT)</t>
  </si>
  <si>
    <t xml:space="preserve">            Lianrih(VT)</t>
  </si>
  <si>
    <t xml:space="preserve">            Murang(VT)</t>
  </si>
  <si>
    <t xml:space="preserve">            Khupleng(VT)</t>
  </si>
  <si>
    <t xml:space="preserve">            Thorzan(VT)</t>
  </si>
  <si>
    <t xml:space="preserve">            Khuangdon(VT)</t>
  </si>
  <si>
    <t xml:space="preserve">            Seipi(VT)</t>
  </si>
  <si>
    <t xml:space="preserve">            Thlancing(VT)</t>
  </si>
  <si>
    <t xml:space="preserve">            Losau(VT)</t>
  </si>
  <si>
    <t xml:space="preserve">            Bualmin(VT)</t>
  </si>
  <si>
    <t xml:space="preserve">            Lunkhua(VT)</t>
  </si>
  <si>
    <t xml:space="preserve">            Khuasum(VT)</t>
  </si>
  <si>
    <t xml:space="preserve">            Sim/Dihai(VT)</t>
  </si>
  <si>
    <t xml:space="preserve">            Tilum(VT)</t>
  </si>
  <si>
    <t xml:space="preserve">            Tlangzawl(VT)</t>
  </si>
  <si>
    <t xml:space="preserve">            Khualung(VT)</t>
  </si>
  <si>
    <t xml:space="preserve">            Zo/Dihai(VT)</t>
  </si>
  <si>
    <t xml:space="preserve">            Darteti(VT)</t>
  </si>
  <si>
    <t xml:space="preserve">            Ngalti(VT)</t>
  </si>
  <si>
    <t xml:space="preserve">            Airebual(VT)</t>
  </si>
  <si>
    <t xml:space="preserve">            Zongte(VT)</t>
  </si>
  <si>
    <t xml:space="preserve">            Selawn(VT)</t>
  </si>
  <si>
    <t xml:space="preserve">            Singai(VT)</t>
  </si>
  <si>
    <t xml:space="preserve">            Hmawngkawn(VT)</t>
  </si>
  <si>
    <t xml:space="preserve">            Tibual(VT)</t>
  </si>
  <si>
    <t xml:space="preserve">            Satawm(VT)</t>
  </si>
  <si>
    <t xml:space="preserve">            Vangva(VT)</t>
  </si>
  <si>
    <t xml:space="preserve">            Laizawl(VT)</t>
  </si>
  <si>
    <t xml:space="preserve">            Khuapual(VT)</t>
  </si>
  <si>
    <t xml:space="preserve">            Bocung(VT)</t>
  </si>
  <si>
    <t xml:space="preserve">            Khuadar(VT)</t>
  </si>
  <si>
    <t xml:space="preserve">            Saihmun(VT)</t>
  </si>
  <si>
    <t xml:space="preserve">            Sakollam(W)</t>
  </si>
  <si>
    <t xml:space="preserve">            Myo Ma(W)</t>
  </si>
  <si>
    <t xml:space="preserve">            Lawibual(W)</t>
  </si>
  <si>
    <t xml:space="preserve">            Lay Lwam(W)</t>
  </si>
  <si>
    <t xml:space="preserve">            Saizang(VT)</t>
  </si>
  <si>
    <t xml:space="preserve">            Vongmual(VT)</t>
  </si>
  <si>
    <t xml:space="preserve">            Khiangzang(VT)</t>
  </si>
  <si>
    <t xml:space="preserve">            Suangpi(VT)</t>
  </si>
  <si>
    <t xml:space="preserve">            Dimpi(VT)</t>
  </si>
  <si>
    <t xml:space="preserve">            Bumzang(VT)</t>
  </si>
  <si>
    <t xml:space="preserve">            Kahngen(VT)</t>
  </si>
  <si>
    <t xml:space="preserve">            Tualmu(VT)</t>
  </si>
  <si>
    <t xml:space="preserve">            Gamngai(VT)</t>
  </si>
  <si>
    <t xml:space="preserve">            Lailui(VT)</t>
  </si>
  <si>
    <t xml:space="preserve">            Teeklui(VT)</t>
  </si>
  <si>
    <t xml:space="preserve">            Haupi(VT)</t>
  </si>
  <si>
    <t xml:space="preserve">            Sezang(VT)</t>
  </si>
  <si>
    <t xml:space="preserve">            Lamzang(VT)</t>
  </si>
  <si>
    <t xml:space="preserve">            Lailo(VT)</t>
  </si>
  <si>
    <t xml:space="preserve">            Valvum(VT)</t>
  </si>
  <si>
    <t xml:space="preserve">            Kaptel(VT)</t>
  </si>
  <si>
    <t xml:space="preserve">            Tuipi(VT)</t>
  </si>
  <si>
    <t xml:space="preserve">            Laitui(VT)</t>
  </si>
  <si>
    <t xml:space="preserve">            Tuitawh(VT)</t>
  </si>
  <si>
    <t xml:space="preserve">            Muizawl(VT)</t>
  </si>
  <si>
    <t xml:space="preserve">            Muallum(VT)</t>
  </si>
  <si>
    <t xml:space="preserve">            Cingpikot(VT)</t>
  </si>
  <si>
    <t xml:space="preserve">            Tuithang(VT)</t>
  </si>
  <si>
    <t xml:space="preserve">            Tungzang(VT)</t>
  </si>
  <si>
    <t xml:space="preserve">            Anlangh(VT)</t>
  </si>
  <si>
    <t xml:space="preserve">            Gamlai(VT)</t>
  </si>
  <si>
    <t xml:space="preserve">            Suangsang(VT)</t>
  </si>
  <si>
    <t xml:space="preserve">            Thalmual(VT)</t>
  </si>
  <si>
    <t xml:space="preserve">            Phaiza(VT)</t>
  </si>
  <si>
    <t xml:space="preserve">            Buanli(VT)</t>
  </si>
  <si>
    <t xml:space="preserve">            Bukphil(VT)</t>
  </si>
  <si>
    <t xml:space="preserve">            Dampi(VT)</t>
  </si>
  <si>
    <t xml:space="preserve">            Tuidil(VT)</t>
  </si>
  <si>
    <t xml:space="preserve">            Zimpi(VT)</t>
  </si>
  <si>
    <t xml:space="preserve">            Kawilam(VT)</t>
  </si>
  <si>
    <t xml:space="preserve">            Suangphei(VT)</t>
  </si>
  <si>
    <t xml:space="preserve">            Heilei(VT)</t>
  </si>
  <si>
    <t xml:space="preserve">            Suangzang(VT)</t>
  </si>
  <si>
    <t xml:space="preserve">            Pangsak(VT)</t>
  </si>
  <si>
    <t xml:space="preserve">            Pakzang(VT)</t>
  </si>
  <si>
    <t xml:space="preserve">            Thuklai(VT)</t>
  </si>
  <si>
    <t xml:space="preserve">            Khuasak(VT)</t>
  </si>
  <si>
    <t xml:space="preserve">            Buanman(VT)</t>
  </si>
  <si>
    <t xml:space="preserve">            Limkhai(VT)</t>
  </si>
  <si>
    <t xml:space="preserve">            Dolluang(VT)</t>
  </si>
  <si>
    <t xml:space="preserve">            Vangteh(VT)</t>
  </si>
  <si>
    <t xml:space="preserve">            Phunom(VT)</t>
  </si>
  <si>
    <t xml:space="preserve">            Mualbeen(VT)</t>
  </si>
  <si>
    <t xml:space="preserve">            Buan(VT)</t>
  </si>
  <si>
    <t xml:space="preserve">            Pimpih(VT)</t>
  </si>
  <si>
    <t xml:space="preserve">            Laibung(VT)</t>
  </si>
  <si>
    <t xml:space="preserve">            Theizang(VT)</t>
  </si>
  <si>
    <t xml:space="preserve">            Ngalzang(VT)</t>
  </si>
  <si>
    <t xml:space="preserve">            Khuavung(W)</t>
  </si>
  <si>
    <t xml:space="preserve">            Khualai(W)</t>
  </si>
  <si>
    <t xml:space="preserve">            Salzang(VT)</t>
  </si>
  <si>
    <t xml:space="preserve">            Tungtuang(VT)</t>
  </si>
  <si>
    <t xml:space="preserve">            Phaitu(VT)</t>
  </si>
  <si>
    <t xml:space="preserve">            Lungtak(VT)</t>
  </si>
  <si>
    <t xml:space="preserve">            Gelmual(VT)</t>
  </si>
  <si>
    <t xml:space="preserve">            Mualpi(VT)</t>
  </si>
  <si>
    <t xml:space="preserve">            Anlun(VT)</t>
  </si>
  <si>
    <t xml:space="preserve">            Senam(VT)</t>
  </si>
  <si>
    <t xml:space="preserve">            Lennakot(VT)</t>
  </si>
  <si>
    <t xml:space="preserve">            Sihpek(VT)</t>
  </si>
  <si>
    <t xml:space="preserve">            Singpial(VT)</t>
  </si>
  <si>
    <t xml:space="preserve">            Balbil(VT)</t>
  </si>
  <si>
    <t xml:space="preserve">            Hangken(VT)</t>
  </si>
  <si>
    <t xml:space="preserve">            Suangpek(VT)</t>
  </si>
  <si>
    <t xml:space="preserve">            Siabok(VT)</t>
  </si>
  <si>
    <t xml:space="preserve">            Lamthang(VT)</t>
  </si>
  <si>
    <t xml:space="preserve">            Gampum(VT)</t>
  </si>
  <si>
    <t xml:space="preserve">            Tuitum(VT)</t>
  </si>
  <si>
    <t xml:space="preserve">            Zampi(VT)</t>
  </si>
  <si>
    <t xml:space="preserve">            Darkhai (A)(VT)</t>
  </si>
  <si>
    <t xml:space="preserve">            Bapi(VT)</t>
  </si>
  <si>
    <t xml:space="preserve">            Saipimual(VT)</t>
  </si>
  <si>
    <t xml:space="preserve">            Kyaung Hoih(VT)</t>
  </si>
  <si>
    <t xml:space="preserve">            Thee Kyi(VT)</t>
  </si>
  <si>
    <t xml:space="preserve">            Ting Cang(VT)</t>
  </si>
  <si>
    <t xml:space="preserve">            Saek(VT)</t>
  </si>
  <si>
    <t xml:space="preserve">            Khuathlir(VT)</t>
  </si>
  <si>
    <t xml:space="preserve">            Cawhte(VT)</t>
  </si>
  <si>
    <t xml:space="preserve">            Kansau(VT)</t>
  </si>
  <si>
    <t xml:space="preserve">            Haipi(VT)</t>
  </si>
  <si>
    <t xml:space="preserve">            Khuabem(VT)</t>
  </si>
  <si>
    <t xml:space="preserve">            Tuimui(VT)</t>
  </si>
  <si>
    <t xml:space="preserve">            Tuimang(VT)</t>
  </si>
  <si>
    <t xml:space="preserve">            Haicin(VT)</t>
  </si>
  <si>
    <t xml:space="preserve">            Pangmual(VT)</t>
  </si>
  <si>
    <t xml:space="preserve">            Tongciin(VT)</t>
  </si>
  <si>
    <t xml:space="preserve">            Ah Shey Pyin(W)</t>
  </si>
  <si>
    <t xml:space="preserve">            Ba Wa Thit(W)</t>
  </si>
  <si>
    <t xml:space="preserve">            San Pya(W)</t>
  </si>
  <si>
    <t xml:space="preserve">            (West)(W)</t>
  </si>
  <si>
    <t xml:space="preserve">            Forest EA</t>
  </si>
  <si>
    <t xml:space="preserve">            Baw(VT)</t>
  </si>
  <si>
    <t xml:space="preserve">            Htuipan(VT)</t>
  </si>
  <si>
    <t xml:space="preserve">            Sawntaung(VT)</t>
  </si>
  <si>
    <t xml:space="preserve">            M'maitai(VT)</t>
  </si>
  <si>
    <t xml:space="preserve">            Hleicham(VT)</t>
  </si>
  <si>
    <t xml:space="preserve">            Anigai(VT)</t>
  </si>
  <si>
    <t xml:space="preserve">            M'ghinghlaw(VT)</t>
  </si>
  <si>
    <t xml:space="preserve">            M'htu(VT)</t>
  </si>
  <si>
    <t xml:space="preserve">            Vawmm'tu(VT)</t>
  </si>
  <si>
    <t xml:space="preserve">            Ghunghta(VT)</t>
  </si>
  <si>
    <t xml:space="preserve">            Vakauk(VT)</t>
  </si>
  <si>
    <t xml:space="preserve">            Khawilung(VT)</t>
  </si>
  <si>
    <t xml:space="preserve">            Muitui(VT)</t>
  </si>
  <si>
    <t xml:space="preserve">            Lailawngthui(VT)</t>
  </si>
  <si>
    <t xml:space="preserve">            Kihta(VT)</t>
  </si>
  <si>
    <t xml:space="preserve">            M'kui(VT)</t>
  </si>
  <si>
    <t xml:space="preserve">            Doim(VT)</t>
  </si>
  <si>
    <t xml:space="preserve">            Hleikawng(VT)</t>
  </si>
  <si>
    <t xml:space="preserve">            Phwi(VT)</t>
  </si>
  <si>
    <t xml:space="preserve">            Hpwi(VT)</t>
  </si>
  <si>
    <t xml:space="preserve">            Hilaung(VT)</t>
  </si>
  <si>
    <t xml:space="preserve">            Kyangleihlen(VT)</t>
  </si>
  <si>
    <t xml:space="preserve">            M'dat(VT)</t>
  </si>
  <si>
    <t xml:space="preserve">            M'sizaw(VT)</t>
  </si>
  <si>
    <t xml:space="preserve">            M'kuiimnu(VT)</t>
  </si>
  <si>
    <t xml:space="preserve">            M'darimnu(VT)</t>
  </si>
  <si>
    <t xml:space="preserve">            Kinhlih(VT)</t>
  </si>
  <si>
    <t xml:space="preserve">            Ung(VT)</t>
  </si>
  <si>
    <t xml:space="preserve">            Shiit(VT)</t>
  </si>
  <si>
    <t xml:space="preserve">            Duk(VT)</t>
  </si>
  <si>
    <t xml:space="preserve">            Banhtwei(VT)</t>
  </si>
  <si>
    <t xml:space="preserve">            HleiM'hlang(VT)</t>
  </si>
  <si>
    <t xml:space="preserve">            Pyung(VT)</t>
  </si>
  <si>
    <t xml:space="preserve">            Ro(VT)</t>
  </si>
  <si>
    <t xml:space="preserve">            M'chum(VT)</t>
  </si>
  <si>
    <t xml:space="preserve">            Tuidim(VT)</t>
  </si>
  <si>
    <t xml:space="preserve">            Kainn(VT)</t>
  </si>
  <si>
    <t xml:space="preserve">            Khinphawng(VT)</t>
  </si>
  <si>
    <t xml:space="preserve">            Yatduk(VT)</t>
  </si>
  <si>
    <t xml:space="preserve">            Auk Chaing(VT)</t>
  </si>
  <si>
    <t xml:space="preserve">            Yoe Hpaung(VT)</t>
  </si>
  <si>
    <t xml:space="preserve">            Kyuk(VT)</t>
  </si>
  <si>
    <t xml:space="preserve">            Kyun Nan(VT)</t>
  </si>
  <si>
    <t xml:space="preserve">            Bawisih(VT)</t>
  </si>
  <si>
    <t xml:space="preserve">            Vawilaung(VT)</t>
  </si>
  <si>
    <t xml:space="preserve">            Gawnglaung(VT)</t>
  </si>
  <si>
    <t xml:space="preserve">            Cangbong(W)</t>
  </si>
  <si>
    <t xml:space="preserve">            Khoboi(W)</t>
  </si>
  <si>
    <t xml:space="preserve">            Lungvan(W)</t>
  </si>
  <si>
    <t xml:space="preserve">            Ngalar(W)</t>
  </si>
  <si>
    <t xml:space="preserve">            Luivang(VT)</t>
  </si>
  <si>
    <t xml:space="preserve">            Tangku(VT)</t>
  </si>
  <si>
    <t xml:space="preserve">            Radui(VT)</t>
  </si>
  <si>
    <t xml:space="preserve">            Ngaleng(VT)</t>
  </si>
  <si>
    <t xml:space="preserve">            Kace(VT)</t>
  </si>
  <si>
    <t xml:space="preserve">            Angthaw(VT)</t>
  </si>
  <si>
    <t xml:space="preserve">            Lalui(VT)</t>
  </si>
  <si>
    <t xml:space="preserve">            Dai Hnan(VT)</t>
  </si>
  <si>
    <t xml:space="preserve">            Leising(VT)</t>
  </si>
  <si>
    <t xml:space="preserve">            Leiring(VT)</t>
  </si>
  <si>
    <t xml:space="preserve">            Awkla(VT)</t>
  </si>
  <si>
    <t xml:space="preserve">            Nhawte(VT)</t>
  </si>
  <si>
    <t xml:space="preserve">            Phaneng(VT)</t>
  </si>
  <si>
    <t xml:space="preserve">            Vuitu(VT)</t>
  </si>
  <si>
    <t xml:space="preserve">            Ramting(VT)</t>
  </si>
  <si>
    <t xml:space="preserve">            Haltu(VT)</t>
  </si>
  <si>
    <t xml:space="preserve">            Thlangpang(VT)</t>
  </si>
  <si>
    <t xml:space="preserve">            Amsoi(VT)</t>
  </si>
  <si>
    <t xml:space="preserve">            Valangpi(VT)</t>
  </si>
  <si>
    <t xml:space="preserve">            Valangte(VT)</t>
  </si>
  <si>
    <t xml:space="preserve">            Cangtak(VT)</t>
  </si>
  <si>
    <t xml:space="preserve">            Lungpang(VT)</t>
  </si>
  <si>
    <t xml:space="preserve">            Lingtui(VT)</t>
  </si>
  <si>
    <t xml:space="preserve">            Raukthang(VT)</t>
  </si>
  <si>
    <t xml:space="preserve">            Rung(VT)</t>
  </si>
  <si>
    <t xml:space="preserve">            Pangthui(VT)</t>
  </si>
  <si>
    <t xml:space="preserve">            Madu(VT)</t>
  </si>
  <si>
    <t xml:space="preserve">            Vuilu(VT)</t>
  </si>
  <si>
    <t xml:space="preserve">            Sabaungte(VT)</t>
  </si>
  <si>
    <t xml:space="preserve">            Darling(VT)</t>
  </si>
  <si>
    <t xml:space="preserve">            Sabongpi(VT)</t>
  </si>
  <si>
    <t xml:space="preserve">            Sapaw(VT)</t>
  </si>
  <si>
    <t xml:space="preserve">            Tisi(VT)</t>
  </si>
  <si>
    <t xml:space="preserve">            Lalengpi(VT)</t>
  </si>
  <si>
    <t xml:space="preserve">            Sungseng(VT)</t>
  </si>
  <si>
    <t xml:space="preserve">            Lailengte(VT)</t>
  </si>
  <si>
    <t xml:space="preserve">            Sakhai(VT)</t>
  </si>
  <si>
    <t xml:space="preserve">            Satu(VT)</t>
  </si>
  <si>
    <t xml:space="preserve">            Lotaw(VT)</t>
  </si>
  <si>
    <t xml:space="preserve">            Tingsi(VT)</t>
  </si>
  <si>
    <t xml:space="preserve">            Vawti(VT)</t>
  </si>
  <si>
    <t xml:space="preserve">            Balei(VT)</t>
  </si>
  <si>
    <t xml:space="preserve">            Lungngo(VT)</t>
  </si>
  <si>
    <t xml:space="preserve">            Resaw(VT)</t>
  </si>
  <si>
    <t xml:space="preserve">            Lungdua(VT)</t>
  </si>
  <si>
    <t xml:space="preserve">            Nabung(VT)</t>
  </si>
  <si>
    <t xml:space="preserve">            Cangceh(VT)</t>
  </si>
  <si>
    <t xml:space="preserve">            Daidin(VT)</t>
  </si>
  <si>
    <t xml:space="preserve">            Ma Kyar(VT)</t>
  </si>
  <si>
    <t xml:space="preserve">            Ton Nge(VT)</t>
  </si>
  <si>
    <t xml:space="preserve">            Khi Taw(VT)</t>
  </si>
  <si>
    <t xml:space="preserve">            Ngon Laung(VT)</t>
  </si>
  <si>
    <t xml:space="preserve">            Kant Thar Yon(VT)</t>
  </si>
  <si>
    <t xml:space="preserve">            Kyet Chan(VT)</t>
  </si>
  <si>
    <t xml:space="preserve">            Lun Don(VT)</t>
  </si>
  <si>
    <t xml:space="preserve">            Baung Bin(VT)</t>
  </si>
  <si>
    <t xml:space="preserve">            Say Kay(VT)</t>
  </si>
  <si>
    <t xml:space="preserve">            Hman Taung(VT)</t>
  </si>
  <si>
    <t xml:space="preserve">            Le Pon(VT)</t>
  </si>
  <si>
    <t xml:space="preserve">            Ngun Zaing(VT)</t>
  </si>
  <si>
    <t xml:space="preserve">            Lauk Mawt(VT)</t>
  </si>
  <si>
    <t xml:space="preserve">            Auk Kant(VT)</t>
  </si>
  <si>
    <t xml:space="preserve">            Kyin Dway(VT)</t>
  </si>
  <si>
    <t xml:space="preserve">            Pu Saw(VT)</t>
  </si>
  <si>
    <t xml:space="preserve">            Hmu Chein Dein(VT)</t>
  </si>
  <si>
    <t xml:space="preserve">            Kar Nan(VT)</t>
  </si>
  <si>
    <t xml:space="preserve">            Mu Laung(VT)</t>
  </si>
  <si>
    <t xml:space="preserve">            Ma Kyar Ein Nu(VT)</t>
  </si>
  <si>
    <t xml:space="preserve">            Khar Nan(VT)</t>
  </si>
  <si>
    <t xml:space="preserve">            Lon Ein Nu(VT)</t>
  </si>
  <si>
    <t xml:space="preserve">            Khar Yaing(VT)</t>
  </si>
  <si>
    <t xml:space="preserve">            Sat Chauk(VT)</t>
  </si>
  <si>
    <t xml:space="preserve">            Pin Laung(VT)</t>
  </si>
  <si>
    <t xml:space="preserve">            Mar Kyar(VT)</t>
  </si>
  <si>
    <t xml:space="preserve">            Ywar Ma(W)</t>
  </si>
  <si>
    <t xml:space="preserve">            Yeik Khar(W)</t>
  </si>
  <si>
    <t xml:space="preserve">            Kin Wa(VT)</t>
  </si>
  <si>
    <t xml:space="preserve">            Mun Daunt(VT)</t>
  </si>
  <si>
    <t xml:space="preserve">            Seint Sin Wa(VT)</t>
  </si>
  <si>
    <t xml:space="preserve">            Lel Hla(VT)</t>
  </si>
  <si>
    <t xml:space="preserve">            Hta Man Thar(VT)</t>
  </si>
  <si>
    <t xml:space="preserve">            Auk Thea Ma Wa(VT)</t>
  </si>
  <si>
    <t xml:space="preserve">            Hna Ma Dar(VT)</t>
  </si>
  <si>
    <t xml:space="preserve">            Yoke Wa(VT)</t>
  </si>
  <si>
    <t xml:space="preserve">            Ah Baung Thar(VT)</t>
  </si>
  <si>
    <t xml:space="preserve">            Twee Kin Wa(VT)</t>
  </si>
  <si>
    <t xml:space="preserve">            Kan Lar Wa(VT)</t>
  </si>
  <si>
    <t xml:space="preserve">            Baung Pee(VT)</t>
  </si>
  <si>
    <t xml:space="preserve">            Pein Hne Ta Pin(VT)</t>
  </si>
  <si>
    <t xml:space="preserve">            Nga Shar(VT)</t>
  </si>
  <si>
    <t xml:space="preserve">            Nga Det(VT)</t>
  </si>
  <si>
    <t xml:space="preserve">            Kyee Lay(VT)</t>
  </si>
  <si>
    <t xml:space="preserve">            Kyway Thaung(VT)</t>
  </si>
  <si>
    <t xml:space="preserve">            Kun Chaung Wa(VT)</t>
  </si>
  <si>
    <t xml:space="preserve">            Pyin Ngu(VT)</t>
  </si>
  <si>
    <t xml:space="preserve">            Twi See Wa(VT)</t>
  </si>
  <si>
    <t xml:space="preserve">            Kha Wea(VT)</t>
  </si>
  <si>
    <t xml:space="preserve">            Yat Chaung Wa(VT)</t>
  </si>
  <si>
    <t xml:space="preserve">            Myaung Chaung(VT)</t>
  </si>
  <si>
    <t xml:space="preserve">            Be Don(VT)</t>
  </si>
  <si>
    <t xml:space="preserve">            Hpat Chaung Wa(VT)</t>
  </si>
  <si>
    <t xml:space="preserve">            Nga Tein(VT)</t>
  </si>
  <si>
    <t xml:space="preserve">            Da Let May(VT)</t>
  </si>
  <si>
    <t xml:space="preserve">            Auk Ba Lai(VT)</t>
  </si>
  <si>
    <t xml:space="preserve">            Toke Kyay Wa(VT)</t>
  </si>
  <si>
    <t xml:space="preserve">            Yay Lar Wa(VT)</t>
  </si>
  <si>
    <t xml:space="preserve">            Kone Taw(VT)</t>
  </si>
  <si>
    <t xml:space="preserve">            Hta Run Aing(VT)</t>
  </si>
  <si>
    <t xml:space="preserve">            Zin Baung Pyin(VT)</t>
  </si>
  <si>
    <t xml:space="preserve">            Shin Ma Dein Wa(VT)</t>
  </si>
  <si>
    <t xml:space="preserve">            Thar Yar Kone(VT)</t>
  </si>
  <si>
    <t xml:space="preserve">            Yin Khan Wa(VT)</t>
  </si>
  <si>
    <t xml:space="preserve">            Mee Zar(VT)</t>
  </si>
  <si>
    <t xml:space="preserve">            Set Pyit Pyin(VT)</t>
  </si>
  <si>
    <t xml:space="preserve">            Ah Htet Thea Ma Wa(VT)</t>
  </si>
  <si>
    <t xml:space="preserve">            Ah Htet Ba Laing(VT)</t>
  </si>
  <si>
    <t xml:space="preserve">            Kun Taung(VT)</t>
  </si>
  <si>
    <t xml:space="preserve">            Sat Chaing(VT)</t>
  </si>
  <si>
    <t xml:space="preserve">            Shin Let Wa(VT)</t>
  </si>
  <si>
    <t xml:space="preserve">            Shwe Laik Wa(VT)</t>
  </si>
  <si>
    <t xml:space="preserve">            Sin Oe Wa(VT)</t>
  </si>
  <si>
    <t xml:space="preserve">            Shar Oh(VT)</t>
  </si>
  <si>
    <t xml:space="preserve">            Par Rar(VT)</t>
  </si>
  <si>
    <t xml:space="preserve">            Pa Tein Ta Lan(VT)</t>
  </si>
  <si>
    <t xml:space="preserve">            War Yon(VT)</t>
  </si>
  <si>
    <t xml:space="preserve">            Ma Au(VT)</t>
  </si>
  <si>
    <t xml:space="preserve">            Myeik Wa(VT)</t>
  </si>
  <si>
    <t xml:space="preserve">            Pa Kar Wa(VT)</t>
  </si>
  <si>
    <t xml:space="preserve">            Maw Ta Lar(VT)</t>
  </si>
  <si>
    <t xml:space="preserve">            Shwe Laik Pwi(VT)</t>
  </si>
  <si>
    <t xml:space="preserve">            Ohn Thee Wa(VT)</t>
  </si>
  <si>
    <t xml:space="preserve">            Du Ri Taung(VT)</t>
  </si>
  <si>
    <t xml:space="preserve">            Kon Pyin(VT)</t>
  </si>
  <si>
    <t xml:space="preserve">            Hriangpi(VT)</t>
  </si>
  <si>
    <t xml:space="preserve">            Sate(VT)</t>
  </si>
  <si>
    <t xml:space="preserve">            Leikan(VT)</t>
  </si>
  <si>
    <t xml:space="preserve">            Ruava(VT)</t>
  </si>
  <si>
    <t xml:space="preserve">            Calthawng(VT)</t>
  </si>
  <si>
    <t xml:space="preserve">            Shar Shi(VT)</t>
  </si>
  <si>
    <t xml:space="preserve">            Shar Ta Lai(VT)</t>
  </si>
  <si>
    <t xml:space="preserve">            Aiktar(VT)</t>
  </si>
  <si>
    <t xml:space="preserve">            Sawtui(VT)</t>
  </si>
  <si>
    <t xml:space="preserve">            Hinthang(VT)</t>
  </si>
  <si>
    <t xml:space="preserve">            E-tang(VT)</t>
  </si>
  <si>
    <t xml:space="preserve">            Tibing(VT)</t>
  </si>
  <si>
    <t xml:space="preserve">            Hunglei(VT)</t>
  </si>
  <si>
    <t xml:space="preserve">            Thawang(VT)</t>
  </si>
  <si>
    <t xml:space="preserve">            Par Maung(VT)</t>
  </si>
  <si>
    <t xml:space="preserve">            Kyet Ma Aing(VT)</t>
  </si>
  <si>
    <t xml:space="preserve">            Leik Chaung Wa(VT)</t>
  </si>
  <si>
    <t xml:space="preserve">            Tin Bone(VT)</t>
  </si>
  <si>
    <t xml:space="preserve">            War Tein(VT)</t>
  </si>
  <si>
    <t xml:space="preserve">            Wet Ma(VT)</t>
  </si>
  <si>
    <t xml:space="preserve">            Sar Wa(VT)</t>
  </si>
  <si>
    <t xml:space="preserve">            Pyin Wa(VT)</t>
  </si>
  <si>
    <t xml:space="preserve">            Ka Naung(VT)</t>
  </si>
  <si>
    <t xml:space="preserve">            Baung Kone(VT)</t>
  </si>
  <si>
    <t xml:space="preserve">            Sin Ki Taung(VT)</t>
  </si>
  <si>
    <t xml:space="preserve">            Ka Yet(VT)</t>
  </si>
  <si>
    <t xml:space="preserve">            Ahr Ki Kone(VT)</t>
  </si>
  <si>
    <t xml:space="preserve">            Di Laung Kone(VT)</t>
  </si>
  <si>
    <t xml:space="preserve">            Taing Wa(VT)</t>
  </si>
  <si>
    <t xml:space="preserve">            Mee Chaung Bar Wa(VT)</t>
  </si>
  <si>
    <t xml:space="preserve">            Twi Sawt Kone(VT)</t>
  </si>
  <si>
    <t xml:space="preserve">            War Daing Kone(VT)</t>
  </si>
  <si>
    <t xml:space="preserve">            Laung Yaw Kone(VT)</t>
  </si>
  <si>
    <t xml:space="preserve">            Sin Li(VT)</t>
  </si>
  <si>
    <t xml:space="preserve">            Than Taung(VT)</t>
  </si>
  <si>
    <t xml:space="preserve">            Ko Hpay Shey(VT)</t>
  </si>
  <si>
    <t xml:space="preserve">            Ah Lel Dein Kin(VT)</t>
  </si>
  <si>
    <t xml:space="preserve">            Khaik Khar(VT)</t>
  </si>
  <si>
    <t xml:space="preserve">            Aht Sa(VT)</t>
  </si>
  <si>
    <t xml:space="preserve">            Htein Khaung(VT)</t>
  </si>
  <si>
    <t xml:space="preserve">            Chaing Sa Nu(VT)</t>
  </si>
  <si>
    <t xml:space="preserve">            Hmon Tone Nu(VT)</t>
  </si>
  <si>
    <t xml:space="preserve">            Htoe Nu(VT)</t>
  </si>
  <si>
    <t xml:space="preserve">            Khan To(VT)</t>
  </si>
  <si>
    <t xml:space="preserve">            Gar Rar Pyin(VT)</t>
  </si>
  <si>
    <t xml:space="preserve">            Lan Dan(VT)</t>
  </si>
  <si>
    <t xml:space="preserve">            Khway Gaung(VT)</t>
  </si>
  <si>
    <t xml:space="preserve">            Khar Ein(VT)</t>
  </si>
  <si>
    <t xml:space="preserve">            Tat Chaung(VT)</t>
  </si>
  <si>
    <t xml:space="preserve">            War Chaung Wa(VT)</t>
  </si>
  <si>
    <t xml:space="preserve">            Mauk Chaung Wa(VT)</t>
  </si>
  <si>
    <t xml:space="preserve">            Kauk Sin(VT)</t>
  </si>
  <si>
    <t xml:space="preserve">            Maw Sone Gyi(VT)</t>
  </si>
  <si>
    <t>Population</t>
  </si>
  <si>
    <t>29-3-2014</t>
  </si>
  <si>
    <t>Sr</t>
  </si>
  <si>
    <t>Ward</t>
  </si>
  <si>
    <t>Chin State, Haka District,Haka Township</t>
  </si>
  <si>
    <t>Chin State,Haka  District, Thantlang Township</t>
  </si>
  <si>
    <t>Chin State, Falam District, Falam Township</t>
  </si>
  <si>
    <t>Chin State, Falam District, Tedim Township</t>
  </si>
  <si>
    <t>Chin State,Falam  District, Tonzaung Township</t>
  </si>
  <si>
    <t>Chin State,Falam  District, Rihkhuadal  Sub-Township</t>
  </si>
  <si>
    <t>Chin State,Falam  District, Cikha Sub-Township</t>
  </si>
  <si>
    <t>Chin State, Mindat  District,  Mindat Township</t>
  </si>
  <si>
    <t>Chin State, Mindat  District,   Matupi Township</t>
  </si>
  <si>
    <t>Chin State, Mindat  District,   Kanpalet Township</t>
  </si>
  <si>
    <t>Chin State, Mindat  District,  Paletwa Township</t>
  </si>
  <si>
    <t>Chin State, Mindat  District,  Reazu Sub- Township</t>
  </si>
  <si>
    <t>Chin State, Mindat  District,  Sami  Sub- Township</t>
  </si>
  <si>
    <t xml:space="preserve">        Total</t>
  </si>
  <si>
    <t>Village Tract</t>
  </si>
  <si>
    <t>Ward/Village Tract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</si>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</sst>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6"/>
      <color theme="1"/>
      <name val="Myanmar2ex"/>
      <family val="2"/>
    </font>
    <font>
      <sz val="16"/>
      <color theme="1"/>
      <name val="Myanmar2ex"/>
      <family val="2"/>
    </font>
    <font>
      <b/>
      <sz val="16"/>
      <color theme="1"/>
      <name val="Myanmar2"/>
      <family val="2"/>
    </font>
    <font>
      <sz val="10"/>
      <color indexed="8"/>
      <name val="Arial"/>
      <family val="2"/>
    </font>
    <font>
      <sz val="12"/>
      <color theme="1"/>
      <name val="Myanmar2ex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1" fillId="0" borderId="0" xfId="0" applyFont="1" applyAlignment="1"/>
    <xf numFmtId="0" fontId="3" fillId="0" borderId="0" xfId="0" applyFont="1" applyBorder="1" applyAlignment="1">
      <alignment horizontal="center" vertical="center"/>
    </xf>
    <xf numFmtId="0" fontId="5" fillId="0" borderId="0" xfId="0" applyFont="1"/>
    <xf numFmtId="0" fontId="6" fillId="0" borderId="3" xfId="0" applyFont="1" applyBorder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6" fillId="0" borderId="2" xfId="0" applyFont="1" applyBorder="1" applyAlignment="1">
      <alignment horizontal="center"/>
    </xf>
    <xf numFmtId="0" fontId="5" fillId="0" borderId="4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Border="1"/>
    <xf numFmtId="0" fontId="7" fillId="0" borderId="0" xfId="0" applyFont="1" applyBorder="1"/>
    <xf numFmtId="0" fontId="6" fillId="0" borderId="0" xfId="0" applyFont="1" applyBorder="1"/>
    <xf numFmtId="0" fontId="6" fillId="0" borderId="4" xfId="0" applyFont="1" applyFill="1" applyBorder="1"/>
    <xf numFmtId="0" fontId="7" fillId="0" borderId="4" xfId="0" applyFont="1" applyFill="1" applyBorder="1"/>
    <xf numFmtId="0" fontId="6" fillId="0" borderId="3" xfId="0" applyFont="1" applyFill="1" applyBorder="1"/>
    <xf numFmtId="0" fontId="5" fillId="0" borderId="4" xfId="0" applyFont="1" applyFill="1" applyBorder="1"/>
    <xf numFmtId="0" fontId="7" fillId="0" borderId="5" xfId="0" applyFont="1" applyFill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9" xfId="0" applyFont="1" applyBorder="1" applyAlignment="1"/>
    <xf numFmtId="0" fontId="2" fillId="0" borderId="9" xfId="0" applyFont="1" applyBorder="1"/>
    <xf numFmtId="0" fontId="1" fillId="0" borderId="9" xfId="0" applyFont="1" applyBorder="1"/>
    <xf numFmtId="0" fontId="8" fillId="0" borderId="0" xfId="0" applyFont="1"/>
    <xf numFmtId="0" fontId="7" fillId="0" borderId="10" xfId="0" applyFont="1" applyBorder="1"/>
    <xf numFmtId="0" fontId="5" fillId="0" borderId="3" xfId="0" applyFont="1" applyBorder="1"/>
    <xf numFmtId="0" fontId="6" fillId="0" borderId="0" xfId="0" applyFont="1" applyBorder="1" applyAlignment="1">
      <alignment horizontal="center" vertical="center"/>
    </xf>
    <xf numFmtId="0" fontId="7" fillId="2" borderId="4" xfId="0" applyFont="1" applyFill="1" applyBorder="1"/>
    <xf numFmtId="0" fontId="2" fillId="2" borderId="0" xfId="0" applyFont="1" applyFill="1"/>
    <xf numFmtId="0" fontId="10" fillId="0" borderId="0" xfId="2" applyFont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2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0" xfId="2"/>
  </cellXfs>
  <cellStyles count="3">
    <cellStyle name="Hyperlink" xfId="2" builtinId="8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J9" sqref="J9"/>
    </sheetView>
  </sheetViews>
  <sheetFormatPr defaultRowHeight="15" x14ac:dyDescent="0.25"/>
  <cols>
    <col min="1" max="1" width="4.7109375" customWidth="1"/>
    <col min="2" max="2" width="45.28515625" customWidth="1"/>
  </cols>
  <sheetData>
    <row r="1" spans="1:2" ht="18.75" x14ac:dyDescent="0.3">
      <c r="A1" s="38" t="s">
        <v>520</v>
      </c>
      <c r="B1" s="38"/>
    </row>
    <row r="2" spans="1:2" ht="15.75" x14ac:dyDescent="0.25">
      <c r="A2">
        <v>1</v>
      </c>
      <c r="B2" s="31" t="str">
        <f>Haka!A1</f>
        <v>Chin State, Haka District,Haka Township</v>
      </c>
    </row>
    <row r="3" spans="1:2" ht="15.75" x14ac:dyDescent="0.25">
      <c r="A3">
        <v>2</v>
      </c>
      <c r="B3" s="31" t="str">
        <f>Thantlang!A1</f>
        <v>Chin State,Haka  District, Thantlang Township</v>
      </c>
    </row>
    <row r="4" spans="1:2" ht="15.75" x14ac:dyDescent="0.25">
      <c r="A4">
        <v>3</v>
      </c>
      <c r="B4" s="31" t="str">
        <f>Falam!A1</f>
        <v>Chin State, Falam District, Falam Township</v>
      </c>
    </row>
    <row r="5" spans="1:2" ht="15.75" x14ac:dyDescent="0.25">
      <c r="A5">
        <v>4</v>
      </c>
      <c r="B5" s="31" t="str">
        <f>Tedim!A1</f>
        <v>Chin State, Falam District, Tedim Township</v>
      </c>
    </row>
    <row r="6" spans="1:2" ht="15.75" x14ac:dyDescent="0.25">
      <c r="A6">
        <v>5</v>
      </c>
      <c r="B6" s="31" t="str">
        <f>Tonzaung!A1</f>
        <v>Chin State,Falam  District, Tonzaung Township</v>
      </c>
    </row>
    <row r="7" spans="1:2" ht="15.75" x14ac:dyDescent="0.25">
      <c r="A7">
        <v>6</v>
      </c>
      <c r="B7" s="31" t="str">
        <f>'Rihkhuadal(S)'!A1</f>
        <v>Chin State,Falam  District, Rihkhuadal  Sub-Township</v>
      </c>
    </row>
    <row r="8" spans="1:2" x14ac:dyDescent="0.25">
      <c r="A8">
        <v>7</v>
      </c>
      <c r="B8" s="42" t="str">
        <f>'Cikha(S)'!A1</f>
        <v>Chin State,Falam  District, Cikha Sub-Township</v>
      </c>
    </row>
    <row r="9" spans="1:2" ht="15.75" x14ac:dyDescent="0.25">
      <c r="A9">
        <v>8</v>
      </c>
      <c r="B9" s="31" t="str">
        <f>Mindat!A1</f>
        <v>Chin State, Mindat  District,  Mindat Township</v>
      </c>
    </row>
    <row r="10" spans="1:2" ht="15.75" x14ac:dyDescent="0.25">
      <c r="A10">
        <v>9</v>
      </c>
      <c r="B10" s="31" t="str">
        <f>Matupi!A1</f>
        <v>Chin State, Mindat  District,   Matupi Township</v>
      </c>
    </row>
    <row r="11" spans="1:2" ht="15.75" x14ac:dyDescent="0.25">
      <c r="A11">
        <v>10</v>
      </c>
      <c r="B11" s="31" t="str">
        <f>Kanpalet!A1</f>
        <v>Chin State, Mindat  District,   Kanpalet Township</v>
      </c>
    </row>
    <row r="12" spans="1:2" ht="15.75" x14ac:dyDescent="0.25">
      <c r="A12">
        <v>11</v>
      </c>
      <c r="B12" s="31" t="str">
        <f>Paletwa!A1</f>
        <v>Chin State, Mindat  District,  Paletwa Township</v>
      </c>
    </row>
    <row r="13" spans="1:2" ht="15.75" x14ac:dyDescent="0.25">
      <c r="A13">
        <v>12</v>
      </c>
      <c r="B13" s="31" t="str">
        <f>'Reazu(S)'!A1</f>
        <v>Chin State, Mindat  District,  Reazu Sub- Township</v>
      </c>
    </row>
    <row r="14" spans="1:2" ht="15.75" x14ac:dyDescent="0.25">
      <c r="A14">
        <v>13</v>
      </c>
      <c r="B14" s="31" t="str">
        <f>'Sami(S)'!A1</f>
        <v>Chin State, Mindat  District,  Sami  Sub- Township</v>
      </c>
    </row>
  </sheetData>
  <mergeCells count="1">
    <mergeCell ref="A1:B1"/>
  </mergeCells>
  <hyperlinks>
    <hyperlink ref="B2" location="Haka!A1" display="Haka!A1"/>
    <hyperlink ref="B3" location="Thantlang!A1" display="Thantlang!A1"/>
    <hyperlink ref="B4" location="Falam!A1" display="Falam!A1"/>
    <hyperlink ref="B5" location="Tedim!A1" display="Tedim!A1"/>
    <hyperlink ref="B6" location="Tonzaung!A1" display="Tonzaung!A1"/>
    <hyperlink ref="B7" location="'Rihkhuadal(S)'!A1" display="'Rihkhuadal(S)'!A1"/>
    <hyperlink ref="B9" location="Mindat!A1" display="Mindat!A1"/>
    <hyperlink ref="B10" location="Matupi!A1" display="Matupi!A1"/>
    <hyperlink ref="B11" location="Kanpalet!A1" display="Kanpalet!A1"/>
    <hyperlink ref="B12" location="Paletwa!A1" display="Paletwa!A1"/>
    <hyperlink ref="B13" location="'Reazu(S)'!A1" display="'Reazu(S)'!A1"/>
    <hyperlink ref="B14" location="'Sami(S)'!A1" display="'Sami(S)'!A1"/>
    <hyperlink ref="B8" location="'Cikha(S)'!A1" display="'Cikha(S)'!A1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46"/>
  <sheetViews>
    <sheetView workbookViewId="0">
      <selection sqref="A1:E1"/>
    </sheetView>
  </sheetViews>
  <sheetFormatPr defaultRowHeight="21.75" x14ac:dyDescent="0.4"/>
  <cols>
    <col min="1" max="1" width="5.85546875" style="1" customWidth="1"/>
    <col min="2" max="2" width="23.85546875" style="1" customWidth="1"/>
    <col min="3" max="5" width="15.7109375" style="1" customWidth="1"/>
    <col min="6" max="6" width="6.85546875" style="1" customWidth="1"/>
    <col min="7" max="16384" width="9.140625" style="1"/>
  </cols>
  <sheetData>
    <row r="1" spans="1:5" ht="24.75" customHeight="1" x14ac:dyDescent="0.4">
      <c r="A1" s="40" t="s">
        <v>504</v>
      </c>
      <c r="B1" s="40"/>
      <c r="C1" s="40"/>
      <c r="D1" s="40"/>
      <c r="E1" s="40"/>
    </row>
    <row r="2" spans="1:5" ht="24.75" customHeight="1" x14ac:dyDescent="0.4">
      <c r="B2" s="4"/>
      <c r="C2" s="4"/>
      <c r="D2" s="4"/>
      <c r="E2" s="37" t="s">
        <v>501</v>
      </c>
    </row>
    <row r="3" spans="1:5" ht="24.75" customHeight="1" x14ac:dyDescent="0.4">
      <c r="B3" s="4"/>
      <c r="C3" s="4"/>
      <c r="D3" s="4"/>
      <c r="E3" s="37"/>
    </row>
    <row r="4" spans="1:5" ht="9" customHeight="1" x14ac:dyDescent="0.4">
      <c r="B4" s="4"/>
      <c r="C4" s="4"/>
      <c r="D4" s="4"/>
      <c r="E4" s="4"/>
    </row>
    <row r="5" spans="1:5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5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5" ht="24.75" customHeight="1" x14ac:dyDescent="0.4">
      <c r="A7" s="5"/>
      <c r="B7" s="5" t="s">
        <v>517</v>
      </c>
      <c r="C7" s="5">
        <f>C9+C16</f>
        <v>48352</v>
      </c>
      <c r="D7" s="5">
        <f t="shared" ref="D7:E7" si="0">D9+D16</f>
        <v>23022</v>
      </c>
      <c r="E7" s="5">
        <f t="shared" si="0"/>
        <v>25330</v>
      </c>
    </row>
    <row r="8" spans="1:5" ht="9" customHeight="1" x14ac:dyDescent="0.4">
      <c r="A8" s="7"/>
      <c r="B8" s="7"/>
      <c r="C8" s="7"/>
      <c r="D8" s="7"/>
      <c r="E8" s="7"/>
    </row>
    <row r="9" spans="1:5" x14ac:dyDescent="0.4">
      <c r="A9" s="7"/>
      <c r="B9" s="7" t="s">
        <v>503</v>
      </c>
      <c r="C9" s="7">
        <f>C10+C11+C12+C13+C14+C15</f>
        <v>24926</v>
      </c>
      <c r="D9" s="7">
        <f t="shared" ref="D9:E9" si="1">D10+D11+D12+D13+D14+D15</f>
        <v>11759</v>
      </c>
      <c r="E9" s="7">
        <f t="shared" si="1"/>
        <v>13167</v>
      </c>
    </row>
    <row r="10" spans="1:5" x14ac:dyDescent="0.4">
      <c r="A10" s="6">
        <v>1</v>
      </c>
      <c r="B10" s="6" t="s">
        <v>3</v>
      </c>
      <c r="C10" s="6">
        <v>2118</v>
      </c>
      <c r="D10" s="6">
        <v>994</v>
      </c>
      <c r="E10" s="6">
        <v>1124</v>
      </c>
    </row>
    <row r="11" spans="1:5" x14ac:dyDescent="0.4">
      <c r="A11" s="6">
        <v>2</v>
      </c>
      <c r="B11" s="6" t="s">
        <v>4</v>
      </c>
      <c r="C11" s="6">
        <v>10119</v>
      </c>
      <c r="D11" s="6">
        <v>4663</v>
      </c>
      <c r="E11" s="6">
        <v>5456</v>
      </c>
    </row>
    <row r="12" spans="1:5" x14ac:dyDescent="0.4">
      <c r="A12" s="6">
        <v>3</v>
      </c>
      <c r="B12" s="6" t="s">
        <v>5</v>
      </c>
      <c r="C12" s="6">
        <v>5255</v>
      </c>
      <c r="D12" s="6">
        <v>2584</v>
      </c>
      <c r="E12" s="6">
        <v>2671</v>
      </c>
    </row>
    <row r="13" spans="1:5" x14ac:dyDescent="0.4">
      <c r="A13" s="6">
        <v>4</v>
      </c>
      <c r="B13" s="6" t="s">
        <v>6</v>
      </c>
      <c r="C13" s="6">
        <v>1609</v>
      </c>
      <c r="D13" s="6">
        <v>754</v>
      </c>
      <c r="E13" s="6">
        <v>855</v>
      </c>
    </row>
    <row r="14" spans="1:5" x14ac:dyDescent="0.4">
      <c r="A14" s="6">
        <v>5</v>
      </c>
      <c r="B14" s="6" t="s">
        <v>7</v>
      </c>
      <c r="C14" s="6">
        <v>1938</v>
      </c>
      <c r="D14" s="6">
        <v>881</v>
      </c>
      <c r="E14" s="6">
        <v>1057</v>
      </c>
    </row>
    <row r="15" spans="1:5" x14ac:dyDescent="0.4">
      <c r="A15" s="6">
        <v>6</v>
      </c>
      <c r="B15" s="6" t="s">
        <v>8</v>
      </c>
      <c r="C15" s="6">
        <v>3887</v>
      </c>
      <c r="D15" s="6">
        <v>1883</v>
      </c>
      <c r="E15" s="6">
        <v>2004</v>
      </c>
    </row>
    <row r="16" spans="1:5" x14ac:dyDescent="0.4">
      <c r="A16" s="6"/>
      <c r="B16" s="7" t="s">
        <v>518</v>
      </c>
      <c r="C16" s="7">
        <f>C17+C18+C19+C20+C21+C22+C23+C24+C25+C26+C27+C28+C29+C30+C31+C32+C33+C34+C35+C36+C37+C38+C39+C40+C41+C42+C43+C44+C45+C46</f>
        <v>23426</v>
      </c>
      <c r="D16" s="7">
        <f t="shared" ref="D16:E16" si="2">D17+D18+D19+D20+D21+D22+D23+D24+D25+D26+D27+D28+D29+D30+D31+D32+D33+D34+D35+D36+D37+D38+D39+D40+D41+D42+D43+D44+D45+D46</f>
        <v>11263</v>
      </c>
      <c r="E16" s="7">
        <f t="shared" si="2"/>
        <v>12163</v>
      </c>
    </row>
    <row r="17" spans="1:5" x14ac:dyDescent="0.4">
      <c r="A17" s="6">
        <v>1</v>
      </c>
      <c r="B17" s="6" t="s">
        <v>9</v>
      </c>
      <c r="C17" s="6">
        <v>353</v>
      </c>
      <c r="D17" s="6">
        <v>169</v>
      </c>
      <c r="E17" s="6">
        <v>184</v>
      </c>
    </row>
    <row r="18" spans="1:5" x14ac:dyDescent="0.4">
      <c r="A18" s="6">
        <v>2</v>
      </c>
      <c r="B18" s="6" t="s">
        <v>10</v>
      </c>
      <c r="C18" s="6">
        <v>694</v>
      </c>
      <c r="D18" s="6">
        <v>313</v>
      </c>
      <c r="E18" s="6">
        <v>381</v>
      </c>
    </row>
    <row r="19" spans="1:5" x14ac:dyDescent="0.4">
      <c r="A19" s="6">
        <v>3</v>
      </c>
      <c r="B19" s="6" t="s">
        <v>11</v>
      </c>
      <c r="C19" s="6">
        <v>952</v>
      </c>
      <c r="D19" s="6">
        <v>476</v>
      </c>
      <c r="E19" s="6">
        <v>476</v>
      </c>
    </row>
    <row r="20" spans="1:5" x14ac:dyDescent="0.4">
      <c r="A20" s="6">
        <v>4</v>
      </c>
      <c r="B20" s="6" t="s">
        <v>12</v>
      </c>
      <c r="C20" s="6">
        <v>809</v>
      </c>
      <c r="D20" s="6">
        <v>394</v>
      </c>
      <c r="E20" s="6">
        <v>415</v>
      </c>
    </row>
    <row r="21" spans="1:5" x14ac:dyDescent="0.4">
      <c r="A21" s="6">
        <v>5</v>
      </c>
      <c r="B21" s="6" t="s">
        <v>13</v>
      </c>
      <c r="C21" s="6">
        <v>1600</v>
      </c>
      <c r="D21" s="6">
        <v>705</v>
      </c>
      <c r="E21" s="6">
        <v>895</v>
      </c>
    </row>
    <row r="22" spans="1:5" x14ac:dyDescent="0.4">
      <c r="A22" s="6">
        <v>6</v>
      </c>
      <c r="B22" s="6" t="s">
        <v>14</v>
      </c>
      <c r="C22" s="6">
        <v>351</v>
      </c>
      <c r="D22" s="6">
        <v>163</v>
      </c>
      <c r="E22" s="6">
        <v>188</v>
      </c>
    </row>
    <row r="23" spans="1:5" x14ac:dyDescent="0.4">
      <c r="A23" s="6">
        <v>7</v>
      </c>
      <c r="B23" s="6" t="s">
        <v>15</v>
      </c>
      <c r="C23" s="6">
        <v>879</v>
      </c>
      <c r="D23" s="6">
        <v>437</v>
      </c>
      <c r="E23" s="6">
        <v>442</v>
      </c>
    </row>
    <row r="24" spans="1:5" x14ac:dyDescent="0.4">
      <c r="A24" s="6">
        <v>8</v>
      </c>
      <c r="B24" s="6" t="s">
        <v>16</v>
      </c>
      <c r="C24" s="6">
        <v>487</v>
      </c>
      <c r="D24" s="6">
        <v>216</v>
      </c>
      <c r="E24" s="6">
        <v>271</v>
      </c>
    </row>
    <row r="25" spans="1:5" x14ac:dyDescent="0.4">
      <c r="A25" s="6">
        <v>9</v>
      </c>
      <c r="B25" s="6" t="s">
        <v>17</v>
      </c>
      <c r="C25" s="6">
        <v>592</v>
      </c>
      <c r="D25" s="6">
        <v>273</v>
      </c>
      <c r="E25" s="6">
        <v>319</v>
      </c>
    </row>
    <row r="26" spans="1:5" x14ac:dyDescent="0.4">
      <c r="A26" s="6">
        <v>10</v>
      </c>
      <c r="B26" s="6" t="s">
        <v>18</v>
      </c>
      <c r="C26" s="6">
        <v>1463</v>
      </c>
      <c r="D26" s="6">
        <v>727</v>
      </c>
      <c r="E26" s="6">
        <v>736</v>
      </c>
    </row>
    <row r="27" spans="1:5" x14ac:dyDescent="0.4">
      <c r="A27" s="6">
        <v>11</v>
      </c>
      <c r="B27" s="6" t="s">
        <v>19</v>
      </c>
      <c r="C27" s="6">
        <v>422</v>
      </c>
      <c r="D27" s="6">
        <v>204</v>
      </c>
      <c r="E27" s="6">
        <v>218</v>
      </c>
    </row>
    <row r="28" spans="1:5" x14ac:dyDescent="0.4">
      <c r="A28" s="6">
        <v>12</v>
      </c>
      <c r="B28" s="6" t="s">
        <v>20</v>
      </c>
      <c r="C28" s="6">
        <v>457</v>
      </c>
      <c r="D28" s="6">
        <v>209</v>
      </c>
      <c r="E28" s="6">
        <v>248</v>
      </c>
    </row>
    <row r="29" spans="1:5" x14ac:dyDescent="0.4">
      <c r="A29" s="6">
        <v>13</v>
      </c>
      <c r="B29" s="6" t="s">
        <v>21</v>
      </c>
      <c r="C29" s="6">
        <v>691</v>
      </c>
      <c r="D29" s="6">
        <v>341</v>
      </c>
      <c r="E29" s="6">
        <v>350</v>
      </c>
    </row>
    <row r="30" spans="1:5" x14ac:dyDescent="0.4">
      <c r="A30" s="6">
        <v>14</v>
      </c>
      <c r="B30" s="6" t="s">
        <v>22</v>
      </c>
      <c r="C30" s="6">
        <v>712</v>
      </c>
      <c r="D30" s="6">
        <v>338</v>
      </c>
      <c r="E30" s="6">
        <v>374</v>
      </c>
    </row>
    <row r="31" spans="1:5" x14ac:dyDescent="0.4">
      <c r="A31" s="6">
        <v>15</v>
      </c>
      <c r="B31" s="6" t="s">
        <v>23</v>
      </c>
      <c r="C31" s="6">
        <v>605</v>
      </c>
      <c r="D31" s="6">
        <v>298</v>
      </c>
      <c r="E31" s="6">
        <v>307</v>
      </c>
    </row>
    <row r="32" spans="1:5" x14ac:dyDescent="0.4">
      <c r="A32" s="6">
        <v>16</v>
      </c>
      <c r="B32" s="6" t="s">
        <v>24</v>
      </c>
      <c r="C32" s="6">
        <v>403</v>
      </c>
      <c r="D32" s="6">
        <v>218</v>
      </c>
      <c r="E32" s="6">
        <v>185</v>
      </c>
    </row>
    <row r="33" spans="1:5" x14ac:dyDescent="0.4">
      <c r="A33" s="6">
        <v>17</v>
      </c>
      <c r="B33" s="6" t="s">
        <v>25</v>
      </c>
      <c r="C33" s="6">
        <v>1070</v>
      </c>
      <c r="D33" s="6">
        <v>472</v>
      </c>
      <c r="E33" s="6">
        <v>598</v>
      </c>
    </row>
    <row r="34" spans="1:5" x14ac:dyDescent="0.4">
      <c r="A34" s="6">
        <v>18</v>
      </c>
      <c r="B34" s="6" t="s">
        <v>26</v>
      </c>
      <c r="C34" s="6">
        <v>742</v>
      </c>
      <c r="D34" s="6">
        <v>329</v>
      </c>
      <c r="E34" s="6">
        <v>413</v>
      </c>
    </row>
    <row r="35" spans="1:5" x14ac:dyDescent="0.4">
      <c r="A35" s="6">
        <v>19</v>
      </c>
      <c r="B35" s="6" t="s">
        <v>27</v>
      </c>
      <c r="C35" s="6">
        <v>2380</v>
      </c>
      <c r="D35" s="6">
        <v>1248</v>
      </c>
      <c r="E35" s="6">
        <v>1132</v>
      </c>
    </row>
    <row r="36" spans="1:5" x14ac:dyDescent="0.4">
      <c r="A36" s="6">
        <v>20</v>
      </c>
      <c r="B36" s="6" t="s">
        <v>28</v>
      </c>
      <c r="C36" s="6">
        <v>494</v>
      </c>
      <c r="D36" s="6">
        <v>240</v>
      </c>
      <c r="E36" s="6">
        <v>254</v>
      </c>
    </row>
    <row r="37" spans="1:5" x14ac:dyDescent="0.4">
      <c r="A37" s="6">
        <v>21</v>
      </c>
      <c r="B37" s="6" t="s">
        <v>29</v>
      </c>
      <c r="C37" s="6">
        <v>1500</v>
      </c>
      <c r="D37" s="6">
        <v>733</v>
      </c>
      <c r="E37" s="6">
        <v>767</v>
      </c>
    </row>
    <row r="38" spans="1:5" x14ac:dyDescent="0.4">
      <c r="A38" s="6">
        <v>22</v>
      </c>
      <c r="B38" s="6" t="s">
        <v>30</v>
      </c>
      <c r="C38" s="6">
        <v>481</v>
      </c>
      <c r="D38" s="6">
        <v>231</v>
      </c>
      <c r="E38" s="6">
        <v>250</v>
      </c>
    </row>
    <row r="39" spans="1:5" x14ac:dyDescent="0.4">
      <c r="A39" s="6">
        <v>23</v>
      </c>
      <c r="B39" s="6" t="s">
        <v>31</v>
      </c>
      <c r="C39" s="6">
        <v>506</v>
      </c>
      <c r="D39" s="6">
        <v>233</v>
      </c>
      <c r="E39" s="6">
        <v>273</v>
      </c>
    </row>
    <row r="40" spans="1:5" x14ac:dyDescent="0.4">
      <c r="A40" s="6">
        <v>24</v>
      </c>
      <c r="B40" s="6" t="s">
        <v>32</v>
      </c>
      <c r="C40" s="6">
        <v>1210</v>
      </c>
      <c r="D40" s="6">
        <v>565</v>
      </c>
      <c r="E40" s="6">
        <v>645</v>
      </c>
    </row>
    <row r="41" spans="1:5" x14ac:dyDescent="0.4">
      <c r="A41" s="6">
        <v>25</v>
      </c>
      <c r="B41" s="6" t="s">
        <v>33</v>
      </c>
      <c r="C41" s="6">
        <v>359</v>
      </c>
      <c r="D41" s="6">
        <v>186</v>
      </c>
      <c r="E41" s="6">
        <v>173</v>
      </c>
    </row>
    <row r="42" spans="1:5" x14ac:dyDescent="0.4">
      <c r="A42" s="6">
        <v>26</v>
      </c>
      <c r="B42" s="6" t="s">
        <v>34</v>
      </c>
      <c r="C42" s="6">
        <v>943</v>
      </c>
      <c r="D42" s="6">
        <v>466</v>
      </c>
      <c r="E42" s="6">
        <v>477</v>
      </c>
    </row>
    <row r="43" spans="1:5" x14ac:dyDescent="0.4">
      <c r="A43" s="6">
        <v>27</v>
      </c>
      <c r="B43" s="6" t="s">
        <v>35</v>
      </c>
      <c r="C43" s="6">
        <v>879</v>
      </c>
      <c r="D43" s="6">
        <v>421</v>
      </c>
      <c r="E43" s="6">
        <v>458</v>
      </c>
    </row>
    <row r="44" spans="1:5" x14ac:dyDescent="0.4">
      <c r="A44" s="6">
        <v>28</v>
      </c>
      <c r="B44" s="6" t="s">
        <v>36</v>
      </c>
      <c r="C44" s="6">
        <v>388</v>
      </c>
      <c r="D44" s="6">
        <v>195</v>
      </c>
      <c r="E44" s="6">
        <v>193</v>
      </c>
    </row>
    <row r="45" spans="1:5" x14ac:dyDescent="0.4">
      <c r="A45" s="6">
        <v>29</v>
      </c>
      <c r="B45" s="6" t="s">
        <v>37</v>
      </c>
      <c r="C45" s="6">
        <v>583</v>
      </c>
      <c r="D45" s="6">
        <v>278</v>
      </c>
      <c r="E45" s="6">
        <v>305</v>
      </c>
    </row>
    <row r="46" spans="1:5" x14ac:dyDescent="0.4">
      <c r="A46" s="8">
        <v>30</v>
      </c>
      <c r="B46" s="8" t="s">
        <v>38</v>
      </c>
      <c r="C46" s="8">
        <v>421</v>
      </c>
      <c r="D46" s="8">
        <v>185</v>
      </c>
      <c r="E46" s="8">
        <v>236</v>
      </c>
    </row>
  </sheetData>
  <mergeCells count="5">
    <mergeCell ref="C5:E5"/>
    <mergeCell ref="B5:B6"/>
    <mergeCell ref="A1:E1"/>
    <mergeCell ref="A5:A6"/>
    <mergeCell ref="E2:E3"/>
  </mergeCells>
  <hyperlinks>
    <hyperlink ref="A1:E1" location="'List of Township'!A1" display="Chin State, Haka District,Haka Township"/>
  </hyperlinks>
  <pageMargins left="0.75" right="0.5" top="0.5" bottom="0.2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sqref="A1:E1"/>
    </sheetView>
  </sheetViews>
  <sheetFormatPr defaultRowHeight="24.75" customHeight="1" x14ac:dyDescent="0.4"/>
  <cols>
    <col min="1" max="1" width="6.28515625" style="1" customWidth="1"/>
    <col min="2" max="2" width="29" style="1" customWidth="1"/>
    <col min="3" max="5" width="15.7109375" style="1" customWidth="1"/>
    <col min="6" max="6" width="7.42578125" style="1" customWidth="1"/>
    <col min="7" max="7" width="25.28515625" style="1" customWidth="1"/>
    <col min="8" max="10" width="17.42578125" style="1" customWidth="1"/>
    <col min="11" max="16384" width="9.140625" style="1"/>
  </cols>
  <sheetData>
    <row r="1" spans="1:5" ht="21.75" x14ac:dyDescent="0.4">
      <c r="A1" s="40" t="s">
        <v>505</v>
      </c>
      <c r="B1" s="40"/>
      <c r="C1" s="40"/>
      <c r="D1" s="40"/>
      <c r="E1" s="40"/>
    </row>
    <row r="2" spans="1:5" ht="21.75" x14ac:dyDescent="0.4">
      <c r="B2" s="4"/>
      <c r="C2" s="4"/>
      <c r="D2" s="4"/>
      <c r="E2" s="37" t="s">
        <v>501</v>
      </c>
    </row>
    <row r="3" spans="1:5" ht="21.75" x14ac:dyDescent="0.4">
      <c r="B3" s="4"/>
      <c r="C3" s="4"/>
      <c r="D3" s="4"/>
      <c r="E3" s="37"/>
    </row>
    <row r="4" spans="1:5" ht="10.5" customHeight="1" x14ac:dyDescent="0.4">
      <c r="B4" s="4"/>
      <c r="C4" s="4"/>
      <c r="D4" s="4"/>
      <c r="E4" s="4"/>
    </row>
    <row r="5" spans="1:5" ht="21.75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5" ht="21.75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5" ht="24.75" customHeight="1" x14ac:dyDescent="0.4">
      <c r="A7" s="5"/>
      <c r="B7" s="5" t="s">
        <v>517</v>
      </c>
      <c r="C7" s="5">
        <f>C9+C13</f>
        <v>50374</v>
      </c>
      <c r="D7" s="5">
        <f t="shared" ref="D7:E7" si="0">D9+D13</f>
        <v>24379</v>
      </c>
      <c r="E7" s="5">
        <f t="shared" si="0"/>
        <v>25995</v>
      </c>
    </row>
    <row r="8" spans="1:5" ht="10.5" customHeight="1" x14ac:dyDescent="0.4">
      <c r="A8" s="7"/>
      <c r="B8" s="10"/>
      <c r="C8" s="10"/>
      <c r="D8" s="10"/>
      <c r="E8" s="10"/>
    </row>
    <row r="9" spans="1:5" ht="21.75" x14ac:dyDescent="0.4">
      <c r="A9" s="7"/>
      <c r="B9" s="7" t="s">
        <v>503</v>
      </c>
      <c r="C9" s="7">
        <f>C10+C11+C12</f>
        <v>7587</v>
      </c>
      <c r="D9" s="7">
        <f t="shared" ref="D9:E9" si="1">D10+D11+D12</f>
        <v>3583</v>
      </c>
      <c r="E9" s="7">
        <f t="shared" si="1"/>
        <v>4004</v>
      </c>
    </row>
    <row r="10" spans="1:5" ht="21.75" x14ac:dyDescent="0.4">
      <c r="A10" s="6">
        <v>1</v>
      </c>
      <c r="B10" s="6" t="s">
        <v>39</v>
      </c>
      <c r="C10" s="6">
        <v>2238</v>
      </c>
      <c r="D10" s="6">
        <v>1039</v>
      </c>
      <c r="E10" s="6">
        <v>1199</v>
      </c>
    </row>
    <row r="11" spans="1:5" ht="21.75" x14ac:dyDescent="0.4">
      <c r="A11" s="6">
        <v>2</v>
      </c>
      <c r="B11" s="6" t="s">
        <v>40</v>
      </c>
      <c r="C11" s="6">
        <v>3528</v>
      </c>
      <c r="D11" s="6">
        <v>1662</v>
      </c>
      <c r="E11" s="6">
        <v>1866</v>
      </c>
    </row>
    <row r="12" spans="1:5" ht="21.75" x14ac:dyDescent="0.4">
      <c r="A12" s="6">
        <v>3</v>
      </c>
      <c r="B12" s="6" t="s">
        <v>41</v>
      </c>
      <c r="C12" s="6">
        <v>1821</v>
      </c>
      <c r="D12" s="6">
        <v>882</v>
      </c>
      <c r="E12" s="6">
        <v>939</v>
      </c>
    </row>
    <row r="13" spans="1:5" ht="21.75" x14ac:dyDescent="0.4">
      <c r="A13" s="6"/>
      <c r="B13" s="7" t="s">
        <v>518</v>
      </c>
      <c r="C13" s="7">
        <f>C14+C15+C16+C17+C18+C19+C20+C21+C22+C23+C24+C25+C26+C27+C28+C29+C30+C31+C32+C33+C34+C35+C36+C37+C38+C39+C40+C41+C42+C43+C44+C45+C46+C47+C48+C49+C50</f>
        <v>42787</v>
      </c>
      <c r="D13" s="7">
        <f t="shared" ref="D13:E13" si="2">D14+D15+D16+D17+D18+D19+D20+D21+D22+D23+D24+D25+D26+D27+D28+D29+D30+D31+D32+D33+D34+D35+D36+D37+D38+D39+D40+D41+D42+D43+D44+D45+D46+D47+D48+D49+D50</f>
        <v>20796</v>
      </c>
      <c r="E13" s="7">
        <f t="shared" si="2"/>
        <v>21991</v>
      </c>
    </row>
    <row r="14" spans="1:5" ht="21.75" x14ac:dyDescent="0.4">
      <c r="A14" s="6">
        <v>1</v>
      </c>
      <c r="B14" s="6" t="s">
        <v>42</v>
      </c>
      <c r="C14" s="6">
        <v>798</v>
      </c>
      <c r="D14" s="6">
        <v>388</v>
      </c>
      <c r="E14" s="6">
        <v>410</v>
      </c>
    </row>
    <row r="15" spans="1:5" ht="21.75" x14ac:dyDescent="0.4">
      <c r="A15" s="6">
        <v>2</v>
      </c>
      <c r="B15" s="6" t="s">
        <v>43</v>
      </c>
      <c r="C15" s="6">
        <v>1195</v>
      </c>
      <c r="D15" s="6">
        <v>598</v>
      </c>
      <c r="E15" s="6">
        <v>597</v>
      </c>
    </row>
    <row r="16" spans="1:5" ht="21.75" x14ac:dyDescent="0.4">
      <c r="A16" s="6">
        <v>3</v>
      </c>
      <c r="B16" s="6" t="s">
        <v>44</v>
      </c>
      <c r="C16" s="6">
        <v>1023</v>
      </c>
      <c r="D16" s="6">
        <v>522</v>
      </c>
      <c r="E16" s="6">
        <v>501</v>
      </c>
    </row>
    <row r="17" spans="1:5" ht="21.75" x14ac:dyDescent="0.4">
      <c r="A17" s="6">
        <v>4</v>
      </c>
      <c r="B17" s="6" t="s">
        <v>45</v>
      </c>
      <c r="C17" s="6">
        <v>1025</v>
      </c>
      <c r="D17" s="6">
        <v>526</v>
      </c>
      <c r="E17" s="6">
        <v>499</v>
      </c>
    </row>
    <row r="18" spans="1:5" ht="21.75" x14ac:dyDescent="0.4">
      <c r="A18" s="6">
        <v>5</v>
      </c>
      <c r="B18" s="6" t="s">
        <v>46</v>
      </c>
      <c r="C18" s="6">
        <v>1648</v>
      </c>
      <c r="D18" s="6">
        <v>825</v>
      </c>
      <c r="E18" s="6">
        <v>823</v>
      </c>
    </row>
    <row r="19" spans="1:5" ht="21.75" x14ac:dyDescent="0.4">
      <c r="A19" s="6">
        <v>6</v>
      </c>
      <c r="B19" s="6" t="s">
        <v>47</v>
      </c>
      <c r="C19" s="6">
        <v>499</v>
      </c>
      <c r="D19" s="6">
        <v>254</v>
      </c>
      <c r="E19" s="6">
        <v>245</v>
      </c>
    </row>
    <row r="20" spans="1:5" ht="21.75" x14ac:dyDescent="0.4">
      <c r="A20" s="6">
        <v>7</v>
      </c>
      <c r="B20" s="6" t="s">
        <v>48</v>
      </c>
      <c r="C20" s="6">
        <v>1856</v>
      </c>
      <c r="D20" s="6">
        <v>920</v>
      </c>
      <c r="E20" s="6">
        <v>936</v>
      </c>
    </row>
    <row r="21" spans="1:5" ht="21.75" x14ac:dyDescent="0.4">
      <c r="A21" s="6">
        <v>8</v>
      </c>
      <c r="B21" s="6" t="s">
        <v>49</v>
      </c>
      <c r="C21" s="6">
        <v>1549</v>
      </c>
      <c r="D21" s="6">
        <v>779</v>
      </c>
      <c r="E21" s="6">
        <v>770</v>
      </c>
    </row>
    <row r="22" spans="1:5" ht="21.75" x14ac:dyDescent="0.4">
      <c r="A22" s="6">
        <v>9</v>
      </c>
      <c r="B22" s="6" t="s">
        <v>50</v>
      </c>
      <c r="C22" s="6">
        <v>767</v>
      </c>
      <c r="D22" s="6">
        <v>392</v>
      </c>
      <c r="E22" s="6">
        <v>375</v>
      </c>
    </row>
    <row r="23" spans="1:5" ht="21.75" x14ac:dyDescent="0.4">
      <c r="A23" s="6">
        <v>10</v>
      </c>
      <c r="B23" s="6" t="s">
        <v>51</v>
      </c>
      <c r="C23" s="6">
        <v>1503</v>
      </c>
      <c r="D23" s="6">
        <v>773</v>
      </c>
      <c r="E23" s="6">
        <v>730</v>
      </c>
    </row>
    <row r="24" spans="1:5" ht="21.75" x14ac:dyDescent="0.4">
      <c r="A24" s="6">
        <v>11</v>
      </c>
      <c r="B24" s="6" t="s">
        <v>52</v>
      </c>
      <c r="C24" s="6">
        <v>1422</v>
      </c>
      <c r="D24" s="6">
        <v>692</v>
      </c>
      <c r="E24" s="6">
        <v>730</v>
      </c>
    </row>
    <row r="25" spans="1:5" ht="21.75" x14ac:dyDescent="0.4">
      <c r="A25" s="6">
        <v>12</v>
      </c>
      <c r="B25" s="6" t="s">
        <v>53</v>
      </c>
      <c r="C25" s="6">
        <v>1121</v>
      </c>
      <c r="D25" s="6">
        <v>541</v>
      </c>
      <c r="E25" s="6">
        <v>580</v>
      </c>
    </row>
    <row r="26" spans="1:5" ht="21.75" x14ac:dyDescent="0.4">
      <c r="A26" s="6">
        <v>13</v>
      </c>
      <c r="B26" s="6" t="s">
        <v>54</v>
      </c>
      <c r="C26" s="6">
        <v>458</v>
      </c>
      <c r="D26" s="6">
        <v>226</v>
      </c>
      <c r="E26" s="6">
        <v>232</v>
      </c>
    </row>
    <row r="27" spans="1:5" s="30" customFormat="1" ht="21.75" x14ac:dyDescent="0.4">
      <c r="A27" s="29">
        <v>14</v>
      </c>
      <c r="B27" s="29" t="s">
        <v>55</v>
      </c>
      <c r="C27" s="29">
        <v>802</v>
      </c>
      <c r="D27" s="29">
        <v>395</v>
      </c>
      <c r="E27" s="29">
        <v>407</v>
      </c>
    </row>
    <row r="28" spans="1:5" ht="21.75" x14ac:dyDescent="0.4">
      <c r="A28" s="6">
        <v>15</v>
      </c>
      <c r="B28" s="6" t="s">
        <v>56</v>
      </c>
      <c r="C28" s="6">
        <v>1197</v>
      </c>
      <c r="D28" s="6">
        <v>575</v>
      </c>
      <c r="E28" s="6">
        <v>622</v>
      </c>
    </row>
    <row r="29" spans="1:5" ht="21.75" x14ac:dyDescent="0.4">
      <c r="A29" s="6">
        <v>16</v>
      </c>
      <c r="B29" s="6" t="s">
        <v>57</v>
      </c>
      <c r="C29" s="6">
        <v>761</v>
      </c>
      <c r="D29" s="6">
        <v>392</v>
      </c>
      <c r="E29" s="6">
        <v>369</v>
      </c>
    </row>
    <row r="30" spans="1:5" ht="21.75" x14ac:dyDescent="0.4">
      <c r="A30" s="6">
        <v>17</v>
      </c>
      <c r="B30" s="6" t="s">
        <v>58</v>
      </c>
      <c r="C30" s="6">
        <v>811</v>
      </c>
      <c r="D30" s="6">
        <v>382</v>
      </c>
      <c r="E30" s="6">
        <v>429</v>
      </c>
    </row>
    <row r="31" spans="1:5" ht="21.75" x14ac:dyDescent="0.4">
      <c r="A31" s="6">
        <v>18</v>
      </c>
      <c r="B31" s="6" t="s">
        <v>59</v>
      </c>
      <c r="C31" s="6">
        <v>739</v>
      </c>
      <c r="D31" s="6">
        <v>339</v>
      </c>
      <c r="E31" s="6">
        <v>400</v>
      </c>
    </row>
    <row r="32" spans="1:5" ht="21.75" x14ac:dyDescent="0.4">
      <c r="A32" s="6">
        <v>19</v>
      </c>
      <c r="B32" s="6" t="s">
        <v>60</v>
      </c>
      <c r="C32" s="6">
        <v>528</v>
      </c>
      <c r="D32" s="6">
        <v>276</v>
      </c>
      <c r="E32" s="6">
        <v>252</v>
      </c>
    </row>
    <row r="33" spans="1:5" ht="21.75" x14ac:dyDescent="0.4">
      <c r="A33" s="6">
        <v>20</v>
      </c>
      <c r="B33" s="6" t="s">
        <v>61</v>
      </c>
      <c r="C33" s="6">
        <v>903</v>
      </c>
      <c r="D33" s="6">
        <v>471</v>
      </c>
      <c r="E33" s="6">
        <v>432</v>
      </c>
    </row>
    <row r="34" spans="1:5" ht="21.75" x14ac:dyDescent="0.4">
      <c r="A34" s="6">
        <v>21</v>
      </c>
      <c r="B34" s="6" t="s">
        <v>62</v>
      </c>
      <c r="C34" s="6">
        <v>504</v>
      </c>
      <c r="D34" s="6">
        <v>244</v>
      </c>
      <c r="E34" s="6">
        <v>260</v>
      </c>
    </row>
    <row r="35" spans="1:5" ht="21.75" x14ac:dyDescent="0.4">
      <c r="A35" s="6">
        <v>22</v>
      </c>
      <c r="B35" s="6" t="s">
        <v>63</v>
      </c>
      <c r="C35" s="6">
        <v>1479</v>
      </c>
      <c r="D35" s="6">
        <v>717</v>
      </c>
      <c r="E35" s="6">
        <v>762</v>
      </c>
    </row>
    <row r="36" spans="1:5" ht="21.75" x14ac:dyDescent="0.4">
      <c r="A36" s="6">
        <v>23</v>
      </c>
      <c r="B36" s="6" t="s">
        <v>64</v>
      </c>
      <c r="C36" s="6">
        <v>1650</v>
      </c>
      <c r="D36" s="6">
        <v>798</v>
      </c>
      <c r="E36" s="6">
        <v>852</v>
      </c>
    </row>
    <row r="37" spans="1:5" ht="21.75" x14ac:dyDescent="0.4">
      <c r="A37" s="6">
        <v>24</v>
      </c>
      <c r="B37" s="6" t="s">
        <v>65</v>
      </c>
      <c r="C37" s="6">
        <v>1766</v>
      </c>
      <c r="D37" s="6">
        <v>843</v>
      </c>
      <c r="E37" s="6">
        <v>923</v>
      </c>
    </row>
    <row r="38" spans="1:5" ht="21.75" x14ac:dyDescent="0.4">
      <c r="A38" s="6">
        <v>25</v>
      </c>
      <c r="B38" s="6" t="s">
        <v>66</v>
      </c>
      <c r="C38" s="6">
        <v>942</v>
      </c>
      <c r="D38" s="6">
        <v>461</v>
      </c>
      <c r="E38" s="6">
        <v>481</v>
      </c>
    </row>
    <row r="39" spans="1:5" ht="21.75" x14ac:dyDescent="0.4">
      <c r="A39" s="6">
        <v>26</v>
      </c>
      <c r="B39" s="6" t="s">
        <v>67</v>
      </c>
      <c r="C39" s="6">
        <v>1188</v>
      </c>
      <c r="D39" s="6">
        <v>556</v>
      </c>
      <c r="E39" s="6">
        <v>632</v>
      </c>
    </row>
    <row r="40" spans="1:5" ht="21.75" x14ac:dyDescent="0.4">
      <c r="A40" s="6">
        <v>27</v>
      </c>
      <c r="B40" s="6" t="s">
        <v>68</v>
      </c>
      <c r="C40" s="6">
        <v>1881</v>
      </c>
      <c r="D40" s="6">
        <v>836</v>
      </c>
      <c r="E40" s="6">
        <v>1045</v>
      </c>
    </row>
    <row r="41" spans="1:5" ht="21.75" x14ac:dyDescent="0.4">
      <c r="A41" s="6">
        <v>28</v>
      </c>
      <c r="B41" s="6" t="s">
        <v>69</v>
      </c>
      <c r="C41" s="6">
        <v>1355</v>
      </c>
      <c r="D41" s="6">
        <v>624</v>
      </c>
      <c r="E41" s="6">
        <v>731</v>
      </c>
    </row>
    <row r="42" spans="1:5" ht="21.75" x14ac:dyDescent="0.4">
      <c r="A42" s="6">
        <v>29</v>
      </c>
      <c r="B42" s="6" t="s">
        <v>70</v>
      </c>
      <c r="C42" s="6">
        <v>901</v>
      </c>
      <c r="D42" s="6">
        <v>426</v>
      </c>
      <c r="E42" s="6">
        <v>475</v>
      </c>
    </row>
    <row r="43" spans="1:5" ht="21.75" x14ac:dyDescent="0.4">
      <c r="A43" s="6">
        <v>30</v>
      </c>
      <c r="B43" s="6" t="s">
        <v>71</v>
      </c>
      <c r="C43" s="6">
        <v>1469</v>
      </c>
      <c r="D43" s="6">
        <v>686</v>
      </c>
      <c r="E43" s="6">
        <v>783</v>
      </c>
    </row>
    <row r="44" spans="1:5" ht="21.75" x14ac:dyDescent="0.4">
      <c r="A44" s="6">
        <v>31</v>
      </c>
      <c r="B44" s="6" t="s">
        <v>72</v>
      </c>
      <c r="C44" s="6">
        <v>1066</v>
      </c>
      <c r="D44" s="6">
        <v>506</v>
      </c>
      <c r="E44" s="6">
        <v>560</v>
      </c>
    </row>
    <row r="45" spans="1:5" ht="21.75" x14ac:dyDescent="0.4">
      <c r="A45" s="6">
        <v>32</v>
      </c>
      <c r="B45" s="6" t="s">
        <v>73</v>
      </c>
      <c r="C45" s="6">
        <v>1978</v>
      </c>
      <c r="D45" s="6">
        <v>954</v>
      </c>
      <c r="E45" s="6">
        <v>1024</v>
      </c>
    </row>
    <row r="46" spans="1:5" ht="21.75" x14ac:dyDescent="0.4">
      <c r="A46" s="6">
        <v>33</v>
      </c>
      <c r="B46" s="6" t="s">
        <v>74</v>
      </c>
      <c r="C46" s="6">
        <v>821</v>
      </c>
      <c r="D46" s="6">
        <v>393</v>
      </c>
      <c r="E46" s="6">
        <v>428</v>
      </c>
    </row>
    <row r="47" spans="1:5" ht="21.75" x14ac:dyDescent="0.4">
      <c r="A47" s="6">
        <v>34</v>
      </c>
      <c r="B47" s="6" t="s">
        <v>75</v>
      </c>
      <c r="C47" s="6">
        <v>758</v>
      </c>
      <c r="D47" s="6">
        <v>370</v>
      </c>
      <c r="E47" s="6">
        <v>388</v>
      </c>
    </row>
    <row r="48" spans="1:5" ht="21.75" x14ac:dyDescent="0.4">
      <c r="A48" s="6">
        <v>35</v>
      </c>
      <c r="B48" s="6" t="s">
        <v>76</v>
      </c>
      <c r="C48" s="6">
        <v>2029</v>
      </c>
      <c r="D48" s="6">
        <v>968</v>
      </c>
      <c r="E48" s="6">
        <v>1061</v>
      </c>
    </row>
    <row r="49" spans="1:5" ht="21.75" x14ac:dyDescent="0.4">
      <c r="A49" s="6">
        <v>36</v>
      </c>
      <c r="B49" s="6" t="s">
        <v>77</v>
      </c>
      <c r="C49" s="6">
        <v>1033</v>
      </c>
      <c r="D49" s="6">
        <v>496</v>
      </c>
      <c r="E49" s="6">
        <v>537</v>
      </c>
    </row>
    <row r="50" spans="1:5" ht="21.75" x14ac:dyDescent="0.4">
      <c r="A50" s="8">
        <v>37</v>
      </c>
      <c r="B50" s="8" t="s">
        <v>78</v>
      </c>
      <c r="C50" s="8">
        <v>1362</v>
      </c>
      <c r="D50" s="8">
        <v>652</v>
      </c>
      <c r="E50" s="8">
        <v>710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Chin State,Haka  District, Thantlang Township"/>
  </hyperlinks>
  <pageMargins left="0.75" right="0.5" top="0.5" bottom="0.2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94"/>
  <sheetViews>
    <sheetView workbookViewId="0">
      <selection sqref="A1:E1"/>
    </sheetView>
  </sheetViews>
  <sheetFormatPr defaultRowHeight="21.75" x14ac:dyDescent="0.4"/>
  <cols>
    <col min="1" max="1" width="4.7109375" style="1" customWidth="1"/>
    <col min="2" max="2" width="25.7109375" style="1" customWidth="1"/>
    <col min="3" max="5" width="15.7109375" style="1" customWidth="1"/>
    <col min="6" max="6" width="9.140625" style="1"/>
    <col min="7" max="7" width="23.85546875" style="1" customWidth="1"/>
    <col min="8" max="10" width="14.28515625" style="1" customWidth="1"/>
    <col min="11" max="16384" width="9.140625" style="1"/>
  </cols>
  <sheetData>
    <row r="1" spans="1:9" ht="24.75" customHeight="1" x14ac:dyDescent="0.4">
      <c r="A1" s="40" t="s">
        <v>506</v>
      </c>
      <c r="B1" s="40"/>
      <c r="C1" s="40"/>
      <c r="D1" s="40"/>
      <c r="E1" s="40"/>
    </row>
    <row r="2" spans="1:9" ht="24.75" customHeight="1" x14ac:dyDescent="0.4">
      <c r="B2" s="4"/>
      <c r="C2" s="4"/>
      <c r="D2" s="4"/>
      <c r="E2" s="37" t="s">
        <v>501</v>
      </c>
    </row>
    <row r="3" spans="1:9" x14ac:dyDescent="0.4">
      <c r="B3" s="4"/>
      <c r="C3" s="4"/>
      <c r="D3" s="4"/>
      <c r="E3" s="37"/>
    </row>
    <row r="4" spans="1:9" ht="12" customHeight="1" x14ac:dyDescent="0.4">
      <c r="B4" s="4"/>
      <c r="C4" s="4"/>
      <c r="D4" s="4"/>
      <c r="E4" s="4"/>
    </row>
    <row r="5" spans="1:9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9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9" ht="24.75" customHeight="1" x14ac:dyDescent="0.4">
      <c r="A7" s="5"/>
      <c r="B7" s="5" t="s">
        <v>517</v>
      </c>
      <c r="C7" s="5">
        <f>C9+C14</f>
        <v>41457</v>
      </c>
      <c r="D7" s="5">
        <f t="shared" ref="D7:E7" si="0">D9+D14</f>
        <v>20350</v>
      </c>
      <c r="E7" s="5">
        <f t="shared" si="0"/>
        <v>21107</v>
      </c>
      <c r="G7" s="12"/>
      <c r="H7" s="12"/>
      <c r="I7" s="12"/>
    </row>
    <row r="8" spans="1:9" ht="12" customHeight="1" x14ac:dyDescent="0.4">
      <c r="A8" s="7"/>
      <c r="B8" s="10"/>
      <c r="C8" s="10"/>
      <c r="D8" s="10"/>
      <c r="E8" s="10"/>
      <c r="G8" s="12"/>
      <c r="H8" s="12"/>
      <c r="I8" s="12"/>
    </row>
    <row r="9" spans="1:9" ht="24.75" customHeight="1" x14ac:dyDescent="0.4">
      <c r="A9" s="7"/>
      <c r="B9" s="7" t="s">
        <v>503</v>
      </c>
      <c r="C9" s="7">
        <f>SUM(C10:C13)</f>
        <v>9092</v>
      </c>
      <c r="D9" s="7">
        <f t="shared" ref="D9:E9" si="1">SUM(D10:D13)</f>
        <v>4266</v>
      </c>
      <c r="E9" s="7">
        <f t="shared" si="1"/>
        <v>4826</v>
      </c>
    </row>
    <row r="10" spans="1:9" ht="24.75" customHeight="1" x14ac:dyDescent="0.4">
      <c r="A10" s="6">
        <v>1</v>
      </c>
      <c r="B10" s="6" t="s">
        <v>79</v>
      </c>
      <c r="C10" s="6">
        <v>2716</v>
      </c>
      <c r="D10" s="6">
        <v>1209</v>
      </c>
      <c r="E10" s="6">
        <v>1507</v>
      </c>
    </row>
    <row r="11" spans="1:9" ht="24.75" customHeight="1" x14ac:dyDescent="0.4">
      <c r="A11" s="6">
        <v>2</v>
      </c>
      <c r="B11" s="6" t="s">
        <v>80</v>
      </c>
      <c r="C11" s="6">
        <v>2016</v>
      </c>
      <c r="D11" s="6">
        <v>975</v>
      </c>
      <c r="E11" s="6">
        <v>1041</v>
      </c>
    </row>
    <row r="12" spans="1:9" ht="24.75" customHeight="1" x14ac:dyDescent="0.4">
      <c r="A12" s="6">
        <v>3</v>
      </c>
      <c r="B12" s="6" t="s">
        <v>81</v>
      </c>
      <c r="C12" s="6">
        <v>1425</v>
      </c>
      <c r="D12" s="6">
        <v>652</v>
      </c>
      <c r="E12" s="6">
        <v>773</v>
      </c>
      <c r="H12" s="5"/>
    </row>
    <row r="13" spans="1:9" ht="24.75" customHeight="1" x14ac:dyDescent="0.4">
      <c r="A13" s="6">
        <v>4</v>
      </c>
      <c r="B13" s="6" t="s">
        <v>82</v>
      </c>
      <c r="C13" s="6">
        <v>2935</v>
      </c>
      <c r="D13" s="6">
        <v>1430</v>
      </c>
      <c r="E13" s="6">
        <v>1505</v>
      </c>
    </row>
    <row r="14" spans="1:9" ht="24.75" customHeight="1" x14ac:dyDescent="0.4">
      <c r="A14" s="6"/>
      <c r="B14" s="7" t="s">
        <v>518</v>
      </c>
      <c r="C14" s="7">
        <f>SUM(C15:C94)</f>
        <v>32365</v>
      </c>
      <c r="D14" s="7">
        <f t="shared" ref="D14:E14" si="2">SUM(D15:D94)</f>
        <v>16084</v>
      </c>
      <c r="E14" s="7">
        <f t="shared" si="2"/>
        <v>16281</v>
      </c>
    </row>
    <row r="15" spans="1:9" ht="24.75" customHeight="1" x14ac:dyDescent="0.4">
      <c r="A15" s="6">
        <v>1</v>
      </c>
      <c r="B15" s="6" t="s">
        <v>83</v>
      </c>
      <c r="C15" s="6">
        <v>148</v>
      </c>
      <c r="D15" s="6">
        <v>82</v>
      </c>
      <c r="E15" s="6">
        <v>66</v>
      </c>
    </row>
    <row r="16" spans="1:9" ht="24.75" customHeight="1" x14ac:dyDescent="0.4">
      <c r="A16" s="6">
        <v>2</v>
      </c>
      <c r="B16" s="6" t="s">
        <v>84</v>
      </c>
      <c r="C16" s="6">
        <v>386</v>
      </c>
      <c r="D16" s="6">
        <v>193</v>
      </c>
      <c r="E16" s="6">
        <v>193</v>
      </c>
    </row>
    <row r="17" spans="1:5" ht="24.75" customHeight="1" x14ac:dyDescent="0.4">
      <c r="A17" s="6">
        <v>3</v>
      </c>
      <c r="B17" s="6" t="s">
        <v>85</v>
      </c>
      <c r="C17" s="6">
        <v>613</v>
      </c>
      <c r="D17" s="6">
        <v>287</v>
      </c>
      <c r="E17" s="6">
        <v>326</v>
      </c>
    </row>
    <row r="18" spans="1:5" ht="24.75" customHeight="1" x14ac:dyDescent="0.4">
      <c r="A18" s="6">
        <v>4</v>
      </c>
      <c r="B18" s="6" t="s">
        <v>86</v>
      </c>
      <c r="C18" s="6">
        <v>159</v>
      </c>
      <c r="D18" s="6">
        <v>74</v>
      </c>
      <c r="E18" s="6">
        <v>85</v>
      </c>
    </row>
    <row r="19" spans="1:5" ht="24.75" customHeight="1" x14ac:dyDescent="0.4">
      <c r="A19" s="6">
        <v>5</v>
      </c>
      <c r="B19" s="6" t="s">
        <v>87</v>
      </c>
      <c r="C19" s="6">
        <v>777</v>
      </c>
      <c r="D19" s="6">
        <v>393</v>
      </c>
      <c r="E19" s="6">
        <v>384</v>
      </c>
    </row>
    <row r="20" spans="1:5" ht="24.75" customHeight="1" x14ac:dyDescent="0.4">
      <c r="A20" s="6">
        <v>6</v>
      </c>
      <c r="B20" s="6" t="s">
        <v>88</v>
      </c>
      <c r="C20" s="6">
        <v>155</v>
      </c>
      <c r="D20" s="6">
        <v>80</v>
      </c>
      <c r="E20" s="6">
        <v>75</v>
      </c>
    </row>
    <row r="21" spans="1:5" ht="24.75" customHeight="1" x14ac:dyDescent="0.4">
      <c r="A21" s="6">
        <v>7</v>
      </c>
      <c r="B21" s="6" t="s">
        <v>89</v>
      </c>
      <c r="C21" s="6">
        <v>830</v>
      </c>
      <c r="D21" s="6">
        <v>374</v>
      </c>
      <c r="E21" s="6">
        <v>456</v>
      </c>
    </row>
    <row r="22" spans="1:5" ht="24.75" customHeight="1" x14ac:dyDescent="0.4">
      <c r="A22" s="6">
        <v>8</v>
      </c>
      <c r="B22" s="6" t="s">
        <v>90</v>
      </c>
      <c r="C22" s="6">
        <v>217</v>
      </c>
      <c r="D22" s="6">
        <v>112</v>
      </c>
      <c r="E22" s="6">
        <v>105</v>
      </c>
    </row>
    <row r="23" spans="1:5" ht="24.75" customHeight="1" x14ac:dyDescent="0.4">
      <c r="A23" s="6">
        <v>9</v>
      </c>
      <c r="B23" s="6" t="s">
        <v>91</v>
      </c>
      <c r="C23" s="6">
        <v>265</v>
      </c>
      <c r="D23" s="6">
        <v>127</v>
      </c>
      <c r="E23" s="6">
        <v>138</v>
      </c>
    </row>
    <row r="24" spans="1:5" ht="24.75" customHeight="1" x14ac:dyDescent="0.4">
      <c r="A24" s="6">
        <v>10</v>
      </c>
      <c r="B24" s="6" t="s">
        <v>92</v>
      </c>
      <c r="C24" s="6">
        <v>216</v>
      </c>
      <c r="D24" s="6">
        <v>104</v>
      </c>
      <c r="E24" s="6">
        <v>112</v>
      </c>
    </row>
    <row r="25" spans="1:5" ht="24.75" customHeight="1" x14ac:dyDescent="0.4">
      <c r="A25" s="6">
        <v>11</v>
      </c>
      <c r="B25" s="6" t="s">
        <v>93</v>
      </c>
      <c r="C25" s="6">
        <v>482</v>
      </c>
      <c r="D25" s="6">
        <v>226</v>
      </c>
      <c r="E25" s="6">
        <v>256</v>
      </c>
    </row>
    <row r="26" spans="1:5" ht="24.75" customHeight="1" x14ac:dyDescent="0.4">
      <c r="A26" s="6">
        <v>12</v>
      </c>
      <c r="B26" s="6" t="s">
        <v>94</v>
      </c>
      <c r="C26" s="6">
        <v>615</v>
      </c>
      <c r="D26" s="6">
        <v>312</v>
      </c>
      <c r="E26" s="6">
        <v>303</v>
      </c>
    </row>
    <row r="27" spans="1:5" ht="24.75" customHeight="1" x14ac:dyDescent="0.4">
      <c r="A27" s="6">
        <v>13</v>
      </c>
      <c r="B27" s="6" t="s">
        <v>95</v>
      </c>
      <c r="C27" s="6">
        <v>328</v>
      </c>
      <c r="D27" s="6">
        <v>170</v>
      </c>
      <c r="E27" s="6">
        <v>158</v>
      </c>
    </row>
    <row r="28" spans="1:5" ht="24.75" customHeight="1" x14ac:dyDescent="0.4">
      <c r="A28" s="6">
        <v>14</v>
      </c>
      <c r="B28" s="6" t="s">
        <v>96</v>
      </c>
      <c r="C28" s="6">
        <v>1153</v>
      </c>
      <c r="D28" s="6">
        <v>544</v>
      </c>
      <c r="E28" s="6">
        <v>609</v>
      </c>
    </row>
    <row r="29" spans="1:5" ht="24.75" customHeight="1" x14ac:dyDescent="0.4">
      <c r="A29" s="6">
        <v>15</v>
      </c>
      <c r="B29" s="6" t="s">
        <v>97</v>
      </c>
      <c r="C29" s="6">
        <v>186</v>
      </c>
      <c r="D29" s="6">
        <v>95</v>
      </c>
      <c r="E29" s="6">
        <v>91</v>
      </c>
    </row>
    <row r="30" spans="1:5" ht="24.75" customHeight="1" x14ac:dyDescent="0.4">
      <c r="A30" s="6">
        <v>16</v>
      </c>
      <c r="B30" s="6" t="s">
        <v>98</v>
      </c>
      <c r="C30" s="6">
        <v>59</v>
      </c>
      <c r="D30" s="6">
        <v>35</v>
      </c>
      <c r="E30" s="6">
        <v>24</v>
      </c>
    </row>
    <row r="31" spans="1:5" ht="24.75" customHeight="1" x14ac:dyDescent="0.4">
      <c r="A31" s="6">
        <v>17</v>
      </c>
      <c r="B31" s="6" t="s">
        <v>99</v>
      </c>
      <c r="C31" s="6">
        <v>378</v>
      </c>
      <c r="D31" s="6">
        <v>210</v>
      </c>
      <c r="E31" s="6">
        <v>168</v>
      </c>
    </row>
    <row r="32" spans="1:5" ht="24.75" customHeight="1" x14ac:dyDescent="0.4">
      <c r="A32" s="6">
        <v>18</v>
      </c>
      <c r="B32" s="6" t="s">
        <v>100</v>
      </c>
      <c r="C32" s="6">
        <v>245</v>
      </c>
      <c r="D32" s="6">
        <v>125</v>
      </c>
      <c r="E32" s="6">
        <v>120</v>
      </c>
    </row>
    <row r="33" spans="1:5" ht="24.75" customHeight="1" x14ac:dyDescent="0.4">
      <c r="A33" s="6">
        <v>19</v>
      </c>
      <c r="B33" s="6" t="s">
        <v>101</v>
      </c>
      <c r="C33" s="6">
        <v>286</v>
      </c>
      <c r="D33" s="6">
        <v>149</v>
      </c>
      <c r="E33" s="6">
        <v>137</v>
      </c>
    </row>
    <row r="34" spans="1:5" ht="24.75" customHeight="1" x14ac:dyDescent="0.4">
      <c r="A34" s="6">
        <v>20</v>
      </c>
      <c r="B34" s="6" t="s">
        <v>102</v>
      </c>
      <c r="C34" s="6">
        <v>297</v>
      </c>
      <c r="D34" s="6">
        <v>160</v>
      </c>
      <c r="E34" s="6">
        <v>137</v>
      </c>
    </row>
    <row r="35" spans="1:5" ht="24.75" customHeight="1" x14ac:dyDescent="0.4">
      <c r="A35" s="6">
        <v>21</v>
      </c>
      <c r="B35" s="6" t="s">
        <v>103</v>
      </c>
      <c r="C35" s="6">
        <v>230</v>
      </c>
      <c r="D35" s="6">
        <v>127</v>
      </c>
      <c r="E35" s="6">
        <v>103</v>
      </c>
    </row>
    <row r="36" spans="1:5" ht="24.75" customHeight="1" x14ac:dyDescent="0.4">
      <c r="A36" s="6">
        <v>22</v>
      </c>
      <c r="B36" s="6" t="s">
        <v>104</v>
      </c>
      <c r="C36" s="6">
        <v>243</v>
      </c>
      <c r="D36" s="6">
        <v>133</v>
      </c>
      <c r="E36" s="6">
        <v>110</v>
      </c>
    </row>
    <row r="37" spans="1:5" ht="24.75" customHeight="1" x14ac:dyDescent="0.4">
      <c r="A37" s="6">
        <v>23</v>
      </c>
      <c r="B37" s="6" t="s">
        <v>105</v>
      </c>
      <c r="C37" s="6">
        <v>611</v>
      </c>
      <c r="D37" s="6">
        <v>328</v>
      </c>
      <c r="E37" s="6">
        <v>283</v>
      </c>
    </row>
    <row r="38" spans="1:5" ht="24.75" customHeight="1" x14ac:dyDescent="0.4">
      <c r="A38" s="6">
        <v>24</v>
      </c>
      <c r="B38" s="6" t="s">
        <v>106</v>
      </c>
      <c r="C38" s="6">
        <v>452</v>
      </c>
      <c r="D38" s="6">
        <v>229</v>
      </c>
      <c r="E38" s="6">
        <v>223</v>
      </c>
    </row>
    <row r="39" spans="1:5" ht="24.75" customHeight="1" x14ac:dyDescent="0.4">
      <c r="A39" s="6">
        <v>25</v>
      </c>
      <c r="B39" s="6" t="s">
        <v>107</v>
      </c>
      <c r="C39" s="6">
        <v>90</v>
      </c>
      <c r="D39" s="6">
        <v>46</v>
      </c>
      <c r="E39" s="6">
        <v>44</v>
      </c>
    </row>
    <row r="40" spans="1:5" ht="24.75" customHeight="1" x14ac:dyDescent="0.4">
      <c r="A40" s="6">
        <v>26</v>
      </c>
      <c r="B40" s="6" t="s">
        <v>108</v>
      </c>
      <c r="C40" s="6">
        <v>280</v>
      </c>
      <c r="D40" s="6">
        <v>152</v>
      </c>
      <c r="E40" s="6">
        <v>128</v>
      </c>
    </row>
    <row r="41" spans="1:5" ht="24.75" customHeight="1" x14ac:dyDescent="0.4">
      <c r="A41" s="6">
        <v>27</v>
      </c>
      <c r="B41" s="6" t="s">
        <v>109</v>
      </c>
      <c r="C41" s="6">
        <v>910</v>
      </c>
      <c r="D41" s="6">
        <v>435</v>
      </c>
      <c r="E41" s="6">
        <v>475</v>
      </c>
    </row>
    <row r="42" spans="1:5" ht="24.75" customHeight="1" x14ac:dyDescent="0.4">
      <c r="A42" s="6">
        <v>28</v>
      </c>
      <c r="B42" s="6" t="s">
        <v>110</v>
      </c>
      <c r="C42" s="6">
        <v>1379</v>
      </c>
      <c r="D42" s="6">
        <v>680</v>
      </c>
      <c r="E42" s="6">
        <v>699</v>
      </c>
    </row>
    <row r="43" spans="1:5" ht="24.75" customHeight="1" x14ac:dyDescent="0.4">
      <c r="A43" s="6">
        <v>29</v>
      </c>
      <c r="B43" s="6" t="s">
        <v>111</v>
      </c>
      <c r="C43" s="6">
        <v>1089</v>
      </c>
      <c r="D43" s="6">
        <v>578</v>
      </c>
      <c r="E43" s="6">
        <v>511</v>
      </c>
    </row>
    <row r="44" spans="1:5" ht="24.75" customHeight="1" x14ac:dyDescent="0.4">
      <c r="A44" s="6">
        <v>30</v>
      </c>
      <c r="B44" s="6" t="s">
        <v>112</v>
      </c>
      <c r="C44" s="6">
        <v>293</v>
      </c>
      <c r="D44" s="6">
        <v>139</v>
      </c>
      <c r="E44" s="6">
        <v>154</v>
      </c>
    </row>
    <row r="45" spans="1:5" ht="24.75" customHeight="1" x14ac:dyDescent="0.4">
      <c r="A45" s="6">
        <v>31</v>
      </c>
      <c r="B45" s="6" t="s">
        <v>113</v>
      </c>
      <c r="C45" s="6">
        <v>482</v>
      </c>
      <c r="D45" s="6">
        <v>230</v>
      </c>
      <c r="E45" s="6">
        <v>252</v>
      </c>
    </row>
    <row r="46" spans="1:5" ht="24.75" customHeight="1" x14ac:dyDescent="0.4">
      <c r="A46" s="6">
        <v>32</v>
      </c>
      <c r="B46" s="6" t="s">
        <v>114</v>
      </c>
      <c r="C46" s="6">
        <v>881</v>
      </c>
      <c r="D46" s="6">
        <v>404</v>
      </c>
      <c r="E46" s="6">
        <v>477</v>
      </c>
    </row>
    <row r="47" spans="1:5" ht="24.75" customHeight="1" x14ac:dyDescent="0.4">
      <c r="A47" s="6">
        <v>33</v>
      </c>
      <c r="B47" s="6" t="s">
        <v>115</v>
      </c>
      <c r="C47" s="6">
        <v>586</v>
      </c>
      <c r="D47" s="6">
        <v>286</v>
      </c>
      <c r="E47" s="6">
        <v>300</v>
      </c>
    </row>
    <row r="48" spans="1:5" ht="24.75" customHeight="1" x14ac:dyDescent="0.4">
      <c r="A48" s="6">
        <v>34</v>
      </c>
      <c r="B48" s="6" t="s">
        <v>116</v>
      </c>
      <c r="C48" s="6">
        <v>842</v>
      </c>
      <c r="D48" s="6">
        <v>360</v>
      </c>
      <c r="E48" s="6">
        <v>482</v>
      </c>
    </row>
    <row r="49" spans="1:5" ht="24.75" customHeight="1" x14ac:dyDescent="0.4">
      <c r="A49" s="6">
        <v>35</v>
      </c>
      <c r="B49" s="6" t="s">
        <v>117</v>
      </c>
      <c r="C49" s="6">
        <v>1289</v>
      </c>
      <c r="D49" s="6">
        <v>605</v>
      </c>
      <c r="E49" s="6">
        <v>684</v>
      </c>
    </row>
    <row r="50" spans="1:5" ht="24.75" customHeight="1" x14ac:dyDescent="0.4">
      <c r="A50" s="6">
        <v>36</v>
      </c>
      <c r="B50" s="6" t="s">
        <v>118</v>
      </c>
      <c r="C50" s="6">
        <v>322</v>
      </c>
      <c r="D50" s="6">
        <v>154</v>
      </c>
      <c r="E50" s="6">
        <v>168</v>
      </c>
    </row>
    <row r="51" spans="1:5" ht="24.75" customHeight="1" x14ac:dyDescent="0.4">
      <c r="A51" s="6">
        <v>37</v>
      </c>
      <c r="B51" s="6" t="s">
        <v>119</v>
      </c>
      <c r="C51" s="6">
        <v>685</v>
      </c>
      <c r="D51" s="6">
        <v>337</v>
      </c>
      <c r="E51" s="6">
        <v>348</v>
      </c>
    </row>
    <row r="52" spans="1:5" ht="24.75" customHeight="1" x14ac:dyDescent="0.4">
      <c r="A52" s="6">
        <v>38</v>
      </c>
      <c r="B52" s="6" t="s">
        <v>120</v>
      </c>
      <c r="C52" s="6">
        <v>701</v>
      </c>
      <c r="D52" s="6">
        <v>347</v>
      </c>
      <c r="E52" s="6">
        <v>354</v>
      </c>
    </row>
    <row r="53" spans="1:5" ht="24.75" customHeight="1" x14ac:dyDescent="0.4">
      <c r="A53" s="6">
        <v>39</v>
      </c>
      <c r="B53" s="6" t="s">
        <v>121</v>
      </c>
      <c r="C53" s="6">
        <v>159</v>
      </c>
      <c r="D53" s="6">
        <v>83</v>
      </c>
      <c r="E53" s="6">
        <v>76</v>
      </c>
    </row>
    <row r="54" spans="1:5" ht="24.75" customHeight="1" x14ac:dyDescent="0.4">
      <c r="A54" s="6">
        <v>40</v>
      </c>
      <c r="B54" s="6" t="s">
        <v>122</v>
      </c>
      <c r="C54" s="6">
        <v>193</v>
      </c>
      <c r="D54" s="6">
        <v>86</v>
      </c>
      <c r="E54" s="6">
        <v>107</v>
      </c>
    </row>
    <row r="55" spans="1:5" ht="24.75" customHeight="1" x14ac:dyDescent="0.4">
      <c r="A55" s="6">
        <v>41</v>
      </c>
      <c r="B55" s="6" t="s">
        <v>123</v>
      </c>
      <c r="C55" s="6">
        <v>127</v>
      </c>
      <c r="D55" s="6">
        <v>67</v>
      </c>
      <c r="E55" s="6">
        <v>60</v>
      </c>
    </row>
    <row r="56" spans="1:5" ht="24.75" customHeight="1" x14ac:dyDescent="0.4">
      <c r="A56" s="6">
        <v>42</v>
      </c>
      <c r="B56" s="6" t="s">
        <v>124</v>
      </c>
      <c r="C56" s="6">
        <v>246</v>
      </c>
      <c r="D56" s="6">
        <v>128</v>
      </c>
      <c r="E56" s="6">
        <v>118</v>
      </c>
    </row>
    <row r="57" spans="1:5" ht="24.75" customHeight="1" x14ac:dyDescent="0.4">
      <c r="A57" s="6">
        <v>43</v>
      </c>
      <c r="B57" s="6" t="s">
        <v>125</v>
      </c>
      <c r="C57" s="6">
        <v>336</v>
      </c>
      <c r="D57" s="6">
        <v>170</v>
      </c>
      <c r="E57" s="6">
        <v>166</v>
      </c>
    </row>
    <row r="58" spans="1:5" ht="24.75" customHeight="1" x14ac:dyDescent="0.4">
      <c r="A58" s="6">
        <v>44</v>
      </c>
      <c r="B58" s="6" t="s">
        <v>126</v>
      </c>
      <c r="C58" s="6">
        <v>1041</v>
      </c>
      <c r="D58" s="6">
        <v>497</v>
      </c>
      <c r="E58" s="6">
        <v>544</v>
      </c>
    </row>
    <row r="59" spans="1:5" ht="24.75" customHeight="1" x14ac:dyDescent="0.4">
      <c r="A59" s="6">
        <v>45</v>
      </c>
      <c r="B59" s="6" t="s">
        <v>127</v>
      </c>
      <c r="C59" s="6">
        <v>478</v>
      </c>
      <c r="D59" s="6">
        <v>220</v>
      </c>
      <c r="E59" s="6">
        <v>258</v>
      </c>
    </row>
    <row r="60" spans="1:5" ht="24.75" customHeight="1" x14ac:dyDescent="0.4">
      <c r="A60" s="6">
        <v>46</v>
      </c>
      <c r="B60" s="6" t="s">
        <v>128</v>
      </c>
      <c r="C60" s="6">
        <v>77</v>
      </c>
      <c r="D60" s="6">
        <v>38</v>
      </c>
      <c r="E60" s="6">
        <v>39</v>
      </c>
    </row>
    <row r="61" spans="1:5" ht="24.75" customHeight="1" x14ac:dyDescent="0.4">
      <c r="A61" s="6">
        <v>47</v>
      </c>
      <c r="B61" s="6" t="s">
        <v>129</v>
      </c>
      <c r="C61" s="6">
        <v>291</v>
      </c>
      <c r="D61" s="6">
        <v>144</v>
      </c>
      <c r="E61" s="6">
        <v>147</v>
      </c>
    </row>
    <row r="62" spans="1:5" ht="24.75" customHeight="1" x14ac:dyDescent="0.4">
      <c r="A62" s="6">
        <v>48</v>
      </c>
      <c r="B62" s="6" t="s">
        <v>130</v>
      </c>
      <c r="C62" s="6">
        <v>70</v>
      </c>
      <c r="D62" s="6">
        <v>32</v>
      </c>
      <c r="E62" s="6">
        <v>38</v>
      </c>
    </row>
    <row r="63" spans="1:5" ht="24.75" customHeight="1" x14ac:dyDescent="0.4">
      <c r="A63" s="6">
        <v>49</v>
      </c>
      <c r="B63" s="6" t="s">
        <v>131</v>
      </c>
      <c r="C63" s="6">
        <v>210</v>
      </c>
      <c r="D63" s="6">
        <v>95</v>
      </c>
      <c r="E63" s="6">
        <v>115</v>
      </c>
    </row>
    <row r="64" spans="1:5" ht="24.75" customHeight="1" x14ac:dyDescent="0.4">
      <c r="A64" s="6">
        <v>50</v>
      </c>
      <c r="B64" s="6" t="s">
        <v>132</v>
      </c>
      <c r="C64" s="6">
        <v>227</v>
      </c>
      <c r="D64" s="6">
        <v>126</v>
      </c>
      <c r="E64" s="6">
        <v>101</v>
      </c>
    </row>
    <row r="65" spans="1:5" ht="24.75" customHeight="1" x14ac:dyDescent="0.4">
      <c r="A65" s="6">
        <v>51</v>
      </c>
      <c r="B65" s="6" t="s">
        <v>133</v>
      </c>
      <c r="C65" s="6">
        <v>97</v>
      </c>
      <c r="D65" s="6">
        <v>51</v>
      </c>
      <c r="E65" s="6">
        <v>46</v>
      </c>
    </row>
    <row r="66" spans="1:5" ht="24.75" customHeight="1" x14ac:dyDescent="0.4">
      <c r="A66" s="6">
        <v>52</v>
      </c>
      <c r="B66" s="6" t="s">
        <v>134</v>
      </c>
      <c r="C66" s="6">
        <v>95</v>
      </c>
      <c r="D66" s="6">
        <v>57</v>
      </c>
      <c r="E66" s="6">
        <v>38</v>
      </c>
    </row>
    <row r="67" spans="1:5" ht="24.75" customHeight="1" x14ac:dyDescent="0.4">
      <c r="A67" s="6">
        <v>53</v>
      </c>
      <c r="B67" s="6" t="s">
        <v>135</v>
      </c>
      <c r="C67" s="6">
        <v>103</v>
      </c>
      <c r="D67" s="6">
        <v>54</v>
      </c>
      <c r="E67" s="6">
        <v>49</v>
      </c>
    </row>
    <row r="68" spans="1:5" ht="24.75" customHeight="1" x14ac:dyDescent="0.4">
      <c r="A68" s="6">
        <v>54</v>
      </c>
      <c r="B68" s="6" t="s">
        <v>136</v>
      </c>
      <c r="C68" s="6">
        <v>12</v>
      </c>
      <c r="D68" s="6">
        <v>7</v>
      </c>
      <c r="E68" s="6">
        <v>5</v>
      </c>
    </row>
    <row r="69" spans="1:5" ht="24.75" customHeight="1" x14ac:dyDescent="0.4">
      <c r="A69" s="6">
        <v>55</v>
      </c>
      <c r="B69" s="6" t="s">
        <v>137</v>
      </c>
      <c r="C69" s="6">
        <v>297</v>
      </c>
      <c r="D69" s="6">
        <v>150</v>
      </c>
      <c r="E69" s="6">
        <v>147</v>
      </c>
    </row>
    <row r="70" spans="1:5" ht="24.75" customHeight="1" x14ac:dyDescent="0.4">
      <c r="A70" s="6">
        <v>56</v>
      </c>
      <c r="B70" s="6" t="s">
        <v>138</v>
      </c>
      <c r="C70" s="6">
        <v>3</v>
      </c>
      <c r="D70" s="6">
        <v>1</v>
      </c>
      <c r="E70" s="6">
        <v>2</v>
      </c>
    </row>
    <row r="71" spans="1:5" ht="24.75" customHeight="1" x14ac:dyDescent="0.4">
      <c r="A71" s="6">
        <v>57</v>
      </c>
      <c r="B71" s="6" t="s">
        <v>139</v>
      </c>
      <c r="C71" s="6">
        <v>262</v>
      </c>
      <c r="D71" s="6">
        <v>124</v>
      </c>
      <c r="E71" s="6">
        <v>138</v>
      </c>
    </row>
    <row r="72" spans="1:5" ht="24.75" customHeight="1" x14ac:dyDescent="0.4">
      <c r="A72" s="6">
        <v>58</v>
      </c>
      <c r="B72" s="6" t="s">
        <v>140</v>
      </c>
      <c r="C72" s="6">
        <v>24</v>
      </c>
      <c r="D72" s="6">
        <v>13</v>
      </c>
      <c r="E72" s="6">
        <v>11</v>
      </c>
    </row>
    <row r="73" spans="1:5" ht="24.75" customHeight="1" x14ac:dyDescent="0.4">
      <c r="A73" s="6">
        <v>59</v>
      </c>
      <c r="B73" s="6" t="s">
        <v>141</v>
      </c>
      <c r="C73" s="6">
        <v>78</v>
      </c>
      <c r="D73" s="6">
        <v>43</v>
      </c>
      <c r="E73" s="6">
        <v>35</v>
      </c>
    </row>
    <row r="74" spans="1:5" ht="24.75" customHeight="1" x14ac:dyDescent="0.4">
      <c r="A74" s="6">
        <v>60</v>
      </c>
      <c r="B74" s="6" t="s">
        <v>142</v>
      </c>
      <c r="C74" s="6">
        <v>126</v>
      </c>
      <c r="D74" s="6">
        <v>65</v>
      </c>
      <c r="E74" s="6">
        <v>61</v>
      </c>
    </row>
    <row r="75" spans="1:5" ht="24.75" customHeight="1" x14ac:dyDescent="0.4">
      <c r="A75" s="6">
        <v>61</v>
      </c>
      <c r="B75" s="6" t="s">
        <v>143</v>
      </c>
      <c r="C75" s="6">
        <v>266</v>
      </c>
      <c r="D75" s="6">
        <v>134</v>
      </c>
      <c r="E75" s="6">
        <v>132</v>
      </c>
    </row>
    <row r="76" spans="1:5" ht="24.75" customHeight="1" x14ac:dyDescent="0.4">
      <c r="A76" s="6">
        <v>62</v>
      </c>
      <c r="B76" s="6" t="s">
        <v>144</v>
      </c>
      <c r="C76" s="6">
        <v>297</v>
      </c>
      <c r="D76" s="6">
        <v>146</v>
      </c>
      <c r="E76" s="6">
        <v>151</v>
      </c>
    </row>
    <row r="77" spans="1:5" ht="24.75" customHeight="1" x14ac:dyDescent="0.4">
      <c r="A77" s="6">
        <v>63</v>
      </c>
      <c r="B77" s="6" t="s">
        <v>145</v>
      </c>
      <c r="C77" s="6">
        <v>453</v>
      </c>
      <c r="D77" s="6">
        <v>240</v>
      </c>
      <c r="E77" s="6">
        <v>213</v>
      </c>
    </row>
    <row r="78" spans="1:5" ht="24.75" customHeight="1" x14ac:dyDescent="0.4">
      <c r="A78" s="6">
        <v>64</v>
      </c>
      <c r="B78" s="6" t="s">
        <v>146</v>
      </c>
      <c r="C78" s="6">
        <v>372</v>
      </c>
      <c r="D78" s="6">
        <v>186</v>
      </c>
      <c r="E78" s="6">
        <v>186</v>
      </c>
    </row>
    <row r="79" spans="1:5" ht="24.75" customHeight="1" x14ac:dyDescent="0.4">
      <c r="A79" s="6">
        <v>65</v>
      </c>
      <c r="B79" s="6" t="s">
        <v>147</v>
      </c>
      <c r="C79" s="6">
        <v>152</v>
      </c>
      <c r="D79" s="6">
        <v>77</v>
      </c>
      <c r="E79" s="6">
        <v>75</v>
      </c>
    </row>
    <row r="80" spans="1:5" ht="24.75" customHeight="1" x14ac:dyDescent="0.4">
      <c r="A80" s="6">
        <v>66</v>
      </c>
      <c r="B80" s="6" t="s">
        <v>148</v>
      </c>
      <c r="C80" s="6">
        <v>289</v>
      </c>
      <c r="D80" s="6">
        <v>157</v>
      </c>
      <c r="E80" s="6">
        <v>132</v>
      </c>
    </row>
    <row r="81" spans="1:5" ht="24.75" customHeight="1" x14ac:dyDescent="0.4">
      <c r="A81" s="6">
        <v>67</v>
      </c>
      <c r="B81" s="6" t="s">
        <v>149</v>
      </c>
      <c r="C81" s="6">
        <v>245</v>
      </c>
      <c r="D81" s="6">
        <v>119</v>
      </c>
      <c r="E81" s="6">
        <v>126</v>
      </c>
    </row>
    <row r="82" spans="1:5" ht="24.75" customHeight="1" x14ac:dyDescent="0.4">
      <c r="A82" s="6">
        <v>68</v>
      </c>
      <c r="B82" s="6" t="s">
        <v>150</v>
      </c>
      <c r="C82" s="6">
        <v>68</v>
      </c>
      <c r="D82" s="6">
        <v>35</v>
      </c>
      <c r="E82" s="6">
        <v>33</v>
      </c>
    </row>
    <row r="83" spans="1:5" ht="24.75" customHeight="1" x14ac:dyDescent="0.4">
      <c r="A83" s="6">
        <v>69</v>
      </c>
      <c r="B83" s="6" t="s">
        <v>151</v>
      </c>
      <c r="C83" s="6">
        <v>1031</v>
      </c>
      <c r="D83" s="6">
        <v>558</v>
      </c>
      <c r="E83" s="6">
        <v>473</v>
      </c>
    </row>
    <row r="84" spans="1:5" ht="24.75" customHeight="1" x14ac:dyDescent="0.4">
      <c r="A84" s="6">
        <v>70</v>
      </c>
      <c r="B84" s="6" t="s">
        <v>152</v>
      </c>
      <c r="C84" s="6">
        <v>597</v>
      </c>
      <c r="D84" s="6">
        <v>309</v>
      </c>
      <c r="E84" s="6">
        <v>288</v>
      </c>
    </row>
    <row r="85" spans="1:5" ht="24.75" customHeight="1" x14ac:dyDescent="0.4">
      <c r="A85" s="6">
        <v>71</v>
      </c>
      <c r="B85" s="6" t="s">
        <v>153</v>
      </c>
      <c r="C85" s="6">
        <v>497</v>
      </c>
      <c r="D85" s="6">
        <v>266</v>
      </c>
      <c r="E85" s="6">
        <v>231</v>
      </c>
    </row>
    <row r="86" spans="1:5" ht="24.75" customHeight="1" x14ac:dyDescent="0.4">
      <c r="A86" s="6">
        <v>72</v>
      </c>
      <c r="B86" s="6" t="s">
        <v>154</v>
      </c>
      <c r="C86" s="6">
        <v>754</v>
      </c>
      <c r="D86" s="6">
        <v>385</v>
      </c>
      <c r="E86" s="6">
        <v>369</v>
      </c>
    </row>
    <row r="87" spans="1:5" ht="24.75" customHeight="1" x14ac:dyDescent="0.4">
      <c r="A87" s="6">
        <v>73</v>
      </c>
      <c r="B87" s="6" t="s">
        <v>155</v>
      </c>
      <c r="C87" s="6">
        <v>373</v>
      </c>
      <c r="D87" s="6">
        <v>183</v>
      </c>
      <c r="E87" s="6">
        <v>190</v>
      </c>
    </row>
    <row r="88" spans="1:5" ht="24.75" customHeight="1" x14ac:dyDescent="0.4">
      <c r="A88" s="6">
        <v>74</v>
      </c>
      <c r="B88" s="6" t="s">
        <v>156</v>
      </c>
      <c r="C88" s="6">
        <v>315</v>
      </c>
      <c r="D88" s="6">
        <v>162</v>
      </c>
      <c r="E88" s="6">
        <v>153</v>
      </c>
    </row>
    <row r="89" spans="1:5" ht="24.75" customHeight="1" x14ac:dyDescent="0.4">
      <c r="A89" s="6">
        <v>75</v>
      </c>
      <c r="B89" s="6" t="s">
        <v>157</v>
      </c>
      <c r="C89" s="6">
        <v>270</v>
      </c>
      <c r="D89" s="6">
        <v>134</v>
      </c>
      <c r="E89" s="6">
        <v>136</v>
      </c>
    </row>
    <row r="90" spans="1:5" ht="24.75" customHeight="1" x14ac:dyDescent="0.4">
      <c r="A90" s="6">
        <v>76</v>
      </c>
      <c r="B90" s="6" t="s">
        <v>158</v>
      </c>
      <c r="C90" s="6">
        <v>246</v>
      </c>
      <c r="D90" s="6">
        <v>132</v>
      </c>
      <c r="E90" s="6">
        <v>114</v>
      </c>
    </row>
    <row r="91" spans="1:5" ht="24.75" customHeight="1" x14ac:dyDescent="0.4">
      <c r="A91" s="6">
        <v>77</v>
      </c>
      <c r="B91" s="6" t="s">
        <v>159</v>
      </c>
      <c r="C91" s="6">
        <v>862</v>
      </c>
      <c r="D91" s="6">
        <v>426</v>
      </c>
      <c r="E91" s="6">
        <v>436</v>
      </c>
    </row>
    <row r="92" spans="1:5" ht="24.75" customHeight="1" x14ac:dyDescent="0.4">
      <c r="A92" s="6">
        <v>78</v>
      </c>
      <c r="B92" s="6" t="s">
        <v>160</v>
      </c>
      <c r="C92" s="6">
        <v>278</v>
      </c>
      <c r="D92" s="6">
        <v>149</v>
      </c>
      <c r="E92" s="6">
        <v>129</v>
      </c>
    </row>
    <row r="93" spans="1:5" ht="24.75" customHeight="1" x14ac:dyDescent="0.4">
      <c r="A93" s="6">
        <v>79</v>
      </c>
      <c r="B93" s="6" t="s">
        <v>161</v>
      </c>
      <c r="C93" s="6">
        <v>681</v>
      </c>
      <c r="D93" s="6">
        <v>315</v>
      </c>
      <c r="E93" s="6">
        <v>366</v>
      </c>
    </row>
    <row r="94" spans="1:5" ht="24.75" customHeight="1" x14ac:dyDescent="0.4">
      <c r="A94" s="8">
        <v>80</v>
      </c>
      <c r="B94" s="8" t="s">
        <v>162</v>
      </c>
      <c r="C94" s="8">
        <v>607</v>
      </c>
      <c r="D94" s="8">
        <v>298</v>
      </c>
      <c r="E94" s="8">
        <v>309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Chin State, Falam District, Falam Township"/>
  </hyperlinks>
  <pageMargins left="0.75" right="0.5" top="0.5" bottom="0.2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sqref="A1:E1"/>
    </sheetView>
  </sheetViews>
  <sheetFormatPr defaultRowHeight="24.75" customHeight="1" x14ac:dyDescent="0.4"/>
  <cols>
    <col min="1" max="1" width="5.7109375" style="1" customWidth="1"/>
    <col min="2" max="2" width="22.85546875" style="1" customWidth="1"/>
    <col min="3" max="5" width="15.7109375" style="1" customWidth="1"/>
    <col min="6" max="6" width="28.85546875" style="1" customWidth="1"/>
    <col min="7" max="7" width="22.28515625" style="1" customWidth="1"/>
    <col min="8" max="8" width="20.5703125" style="1" customWidth="1"/>
    <col min="9" max="9" width="18.42578125" style="1" customWidth="1"/>
    <col min="10" max="10" width="19.85546875" style="1" customWidth="1"/>
    <col min="11" max="11" width="14.85546875" style="1" customWidth="1"/>
    <col min="12" max="16384" width="9.140625" style="1"/>
  </cols>
  <sheetData>
    <row r="1" spans="1:5" ht="24.75" customHeight="1" x14ac:dyDescent="0.4">
      <c r="A1" s="40" t="s">
        <v>507</v>
      </c>
      <c r="B1" s="40"/>
      <c r="C1" s="40"/>
      <c r="D1" s="40"/>
      <c r="E1" s="40"/>
    </row>
    <row r="2" spans="1:5" ht="24.75" customHeight="1" x14ac:dyDescent="0.4">
      <c r="B2" s="4"/>
      <c r="C2" s="4"/>
      <c r="D2" s="4"/>
      <c r="E2" s="37" t="s">
        <v>501</v>
      </c>
    </row>
    <row r="3" spans="1:5" ht="24.75" customHeight="1" x14ac:dyDescent="0.4">
      <c r="B3" s="4"/>
      <c r="C3" s="4"/>
      <c r="D3" s="4"/>
      <c r="E3" s="37"/>
    </row>
    <row r="4" spans="1:5" ht="13.5" customHeight="1" x14ac:dyDescent="0.4"/>
    <row r="5" spans="1:5" ht="24.75" customHeight="1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5" ht="24.75" customHeight="1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5" ht="24.75" customHeight="1" x14ac:dyDescent="0.4">
      <c r="A7" s="5"/>
      <c r="B7" s="5" t="s">
        <v>517</v>
      </c>
      <c r="C7" s="5">
        <f>C9+C14</f>
        <v>87623</v>
      </c>
      <c r="D7" s="5">
        <f t="shared" ref="D7:E7" si="0">D9+D14</f>
        <v>41927</v>
      </c>
      <c r="E7" s="5">
        <f t="shared" si="0"/>
        <v>45696</v>
      </c>
    </row>
    <row r="8" spans="1:5" ht="13.5" customHeight="1" x14ac:dyDescent="0.4">
      <c r="A8" s="7"/>
      <c r="B8" s="10"/>
      <c r="C8" s="10"/>
      <c r="D8" s="10"/>
      <c r="E8" s="10"/>
    </row>
    <row r="9" spans="1:5" ht="24.75" customHeight="1" x14ac:dyDescent="0.4">
      <c r="A9" s="7"/>
      <c r="B9" s="7" t="s">
        <v>503</v>
      </c>
      <c r="C9" s="7">
        <f>SUM(C10:C13)</f>
        <v>13452</v>
      </c>
      <c r="D9" s="7">
        <f t="shared" ref="D9:E9" si="1">SUM(D10:D13)</f>
        <v>6289</v>
      </c>
      <c r="E9" s="7">
        <f t="shared" si="1"/>
        <v>7163</v>
      </c>
    </row>
    <row r="10" spans="1:5" ht="24.75" customHeight="1" x14ac:dyDescent="0.4">
      <c r="A10" s="6">
        <v>1</v>
      </c>
      <c r="B10" s="6" t="s">
        <v>163</v>
      </c>
      <c r="C10" s="6">
        <v>4680</v>
      </c>
      <c r="D10" s="6">
        <v>2185</v>
      </c>
      <c r="E10" s="6">
        <v>2495</v>
      </c>
    </row>
    <row r="11" spans="1:5" ht="24.75" customHeight="1" x14ac:dyDescent="0.4">
      <c r="A11" s="6">
        <v>2</v>
      </c>
      <c r="B11" s="6" t="s">
        <v>164</v>
      </c>
      <c r="C11" s="6">
        <v>3305</v>
      </c>
      <c r="D11" s="6">
        <v>1504</v>
      </c>
      <c r="E11" s="6">
        <v>1801</v>
      </c>
    </row>
    <row r="12" spans="1:5" ht="24.75" customHeight="1" x14ac:dyDescent="0.4">
      <c r="A12" s="6">
        <v>3</v>
      </c>
      <c r="B12" s="6" t="s">
        <v>165</v>
      </c>
      <c r="C12" s="6">
        <v>3854</v>
      </c>
      <c r="D12" s="6">
        <v>1851</v>
      </c>
      <c r="E12" s="6">
        <v>2003</v>
      </c>
    </row>
    <row r="13" spans="1:5" ht="24.75" customHeight="1" x14ac:dyDescent="0.4">
      <c r="A13" s="6">
        <v>4</v>
      </c>
      <c r="B13" s="6" t="s">
        <v>166</v>
      </c>
      <c r="C13" s="6">
        <v>1613</v>
      </c>
      <c r="D13" s="6">
        <v>749</v>
      </c>
      <c r="E13" s="6">
        <v>864</v>
      </c>
    </row>
    <row r="14" spans="1:5" ht="24.75" customHeight="1" x14ac:dyDescent="0.4">
      <c r="A14" s="6"/>
      <c r="B14" s="7" t="s">
        <v>518</v>
      </c>
      <c r="C14" s="7">
        <f>SUM(C15+C16+C17+C18+C19+C20+C21+C22+C23+C24+C25+C26+C27+C28+C29+C30+C31+C32+C33+C34+C35+C36+C37+C38+C39+C40+C41+C42+C43+C44+C45+C46+C47+C48+C49+C50+C51+C52+C53+C54+C55+C56+C57+C58+C59+C60+C61+C62+C63+C64+C65+C66+C67+C68+C69)</f>
        <v>74171</v>
      </c>
      <c r="D14" s="7">
        <f t="shared" ref="D14:E14" si="2">SUM(D15+D16+D17+D18+D19+D20+D21+D22+D23+D24+D25+D26+D27+D28+D29+D30+D31+D32+D33+D34+D35+D36+D37+D38+D39+D40+D41+D42+D43+D44+D45+D46+D47+D48+D49+D50+D51+D52+D53+D54+D55+D56+D57+D58+D59+D60+D61+D62+D63+D64+D65+D66+D67+D68+D69)</f>
        <v>35638</v>
      </c>
      <c r="E14" s="7">
        <f t="shared" si="2"/>
        <v>38533</v>
      </c>
    </row>
    <row r="15" spans="1:5" ht="24.75" customHeight="1" x14ac:dyDescent="0.4">
      <c r="A15" s="6">
        <v>1</v>
      </c>
      <c r="B15" s="6" t="s">
        <v>167</v>
      </c>
      <c r="C15" s="6">
        <v>2865</v>
      </c>
      <c r="D15" s="6">
        <v>1400</v>
      </c>
      <c r="E15" s="6">
        <v>1465</v>
      </c>
    </row>
    <row r="16" spans="1:5" ht="24.75" customHeight="1" x14ac:dyDescent="0.4">
      <c r="A16" s="6">
        <v>2</v>
      </c>
      <c r="B16" s="6" t="s">
        <v>168</v>
      </c>
      <c r="C16" s="6">
        <v>402</v>
      </c>
      <c r="D16" s="6">
        <v>208</v>
      </c>
      <c r="E16" s="6">
        <v>194</v>
      </c>
    </row>
    <row r="17" spans="1:5" ht="24.75" customHeight="1" x14ac:dyDescent="0.4">
      <c r="A17" s="6">
        <v>3</v>
      </c>
      <c r="B17" s="6" t="s">
        <v>169</v>
      </c>
      <c r="C17" s="6">
        <v>1896</v>
      </c>
      <c r="D17" s="6">
        <v>918</v>
      </c>
      <c r="E17" s="6">
        <v>978</v>
      </c>
    </row>
    <row r="18" spans="1:5" ht="24.75" customHeight="1" x14ac:dyDescent="0.4">
      <c r="A18" s="6">
        <v>4</v>
      </c>
      <c r="B18" s="6" t="s">
        <v>170</v>
      </c>
      <c r="C18" s="6">
        <v>1647</v>
      </c>
      <c r="D18" s="6">
        <v>746</v>
      </c>
      <c r="E18" s="6">
        <v>901</v>
      </c>
    </row>
    <row r="19" spans="1:5" ht="24.75" customHeight="1" x14ac:dyDescent="0.4">
      <c r="A19" s="6">
        <v>5</v>
      </c>
      <c r="B19" s="6" t="s">
        <v>171</v>
      </c>
      <c r="C19" s="6">
        <v>1161</v>
      </c>
      <c r="D19" s="6">
        <v>557</v>
      </c>
      <c r="E19" s="6">
        <v>604</v>
      </c>
    </row>
    <row r="20" spans="1:5" ht="24.75" customHeight="1" x14ac:dyDescent="0.4">
      <c r="A20" s="6">
        <v>6</v>
      </c>
      <c r="B20" s="6" t="s">
        <v>172</v>
      </c>
      <c r="C20" s="6">
        <v>305</v>
      </c>
      <c r="D20" s="6">
        <v>145</v>
      </c>
      <c r="E20" s="6">
        <v>160</v>
      </c>
    </row>
    <row r="21" spans="1:5" ht="24.75" customHeight="1" x14ac:dyDescent="0.4">
      <c r="A21" s="6">
        <v>7</v>
      </c>
      <c r="B21" s="6" t="s">
        <v>173</v>
      </c>
      <c r="C21" s="6">
        <v>295</v>
      </c>
      <c r="D21" s="6">
        <v>155</v>
      </c>
      <c r="E21" s="6">
        <v>140</v>
      </c>
    </row>
    <row r="22" spans="1:5" ht="24.75" customHeight="1" x14ac:dyDescent="0.4">
      <c r="A22" s="6">
        <v>8</v>
      </c>
      <c r="B22" s="6" t="s">
        <v>52</v>
      </c>
      <c r="C22" s="6">
        <v>518</v>
      </c>
      <c r="D22" s="6">
        <v>208</v>
      </c>
      <c r="E22" s="6">
        <v>310</v>
      </c>
    </row>
    <row r="23" spans="1:5" ht="24.75" customHeight="1" x14ac:dyDescent="0.4">
      <c r="A23" s="6">
        <v>9</v>
      </c>
      <c r="B23" s="6" t="s">
        <v>174</v>
      </c>
      <c r="C23" s="6">
        <v>303</v>
      </c>
      <c r="D23" s="6">
        <v>149</v>
      </c>
      <c r="E23" s="6">
        <v>154</v>
      </c>
    </row>
    <row r="24" spans="1:5" ht="24.75" customHeight="1" x14ac:dyDescent="0.4">
      <c r="A24" s="6">
        <v>10</v>
      </c>
      <c r="B24" s="6" t="s">
        <v>175</v>
      </c>
      <c r="C24" s="6">
        <v>879</v>
      </c>
      <c r="D24" s="6">
        <v>435</v>
      </c>
      <c r="E24" s="6">
        <v>444</v>
      </c>
    </row>
    <row r="25" spans="1:5" ht="24.75" customHeight="1" x14ac:dyDescent="0.4">
      <c r="A25" s="6">
        <v>11</v>
      </c>
      <c r="B25" s="6" t="s">
        <v>176</v>
      </c>
      <c r="C25" s="6">
        <v>1323</v>
      </c>
      <c r="D25" s="6">
        <v>622</v>
      </c>
      <c r="E25" s="6">
        <v>701</v>
      </c>
    </row>
    <row r="26" spans="1:5" ht="24.75" customHeight="1" x14ac:dyDescent="0.4">
      <c r="A26" s="6">
        <v>12</v>
      </c>
      <c r="B26" s="6" t="s">
        <v>177</v>
      </c>
      <c r="C26" s="6">
        <v>984</v>
      </c>
      <c r="D26" s="6">
        <v>484</v>
      </c>
      <c r="E26" s="6">
        <v>500</v>
      </c>
    </row>
    <row r="27" spans="1:5" ht="24.75" customHeight="1" x14ac:dyDescent="0.4">
      <c r="A27" s="6">
        <v>13</v>
      </c>
      <c r="B27" s="6" t="s">
        <v>178</v>
      </c>
      <c r="C27" s="6">
        <v>653</v>
      </c>
      <c r="D27" s="6">
        <v>292</v>
      </c>
      <c r="E27" s="6">
        <v>361</v>
      </c>
    </row>
    <row r="28" spans="1:5" ht="24.75" customHeight="1" x14ac:dyDescent="0.4">
      <c r="A28" s="6">
        <v>14</v>
      </c>
      <c r="B28" s="6" t="s">
        <v>179</v>
      </c>
      <c r="C28" s="6">
        <v>883</v>
      </c>
      <c r="D28" s="6">
        <v>435</v>
      </c>
      <c r="E28" s="6">
        <v>448</v>
      </c>
    </row>
    <row r="29" spans="1:5" ht="24.75" customHeight="1" x14ac:dyDescent="0.4">
      <c r="A29" s="6">
        <v>15</v>
      </c>
      <c r="B29" s="6" t="s">
        <v>180</v>
      </c>
      <c r="C29" s="6">
        <v>1543</v>
      </c>
      <c r="D29" s="6">
        <v>698</v>
      </c>
      <c r="E29" s="6">
        <v>845</v>
      </c>
    </row>
    <row r="30" spans="1:5" ht="24.75" customHeight="1" x14ac:dyDescent="0.4">
      <c r="A30" s="6">
        <v>16</v>
      </c>
      <c r="B30" s="6" t="s">
        <v>181</v>
      </c>
      <c r="C30" s="6">
        <v>2347</v>
      </c>
      <c r="D30" s="6">
        <v>1108</v>
      </c>
      <c r="E30" s="6">
        <v>1239</v>
      </c>
    </row>
    <row r="31" spans="1:5" ht="24.75" customHeight="1" x14ac:dyDescent="0.4">
      <c r="A31" s="6">
        <v>17</v>
      </c>
      <c r="B31" s="6" t="s">
        <v>182</v>
      </c>
      <c r="C31" s="6">
        <v>1907</v>
      </c>
      <c r="D31" s="6">
        <v>922</v>
      </c>
      <c r="E31" s="6">
        <v>985</v>
      </c>
    </row>
    <row r="32" spans="1:5" ht="24.75" customHeight="1" x14ac:dyDescent="0.4">
      <c r="A32" s="6">
        <v>18</v>
      </c>
      <c r="B32" s="6" t="s">
        <v>183</v>
      </c>
      <c r="C32" s="6">
        <v>3708</v>
      </c>
      <c r="D32" s="6">
        <v>1740</v>
      </c>
      <c r="E32" s="6">
        <v>1968</v>
      </c>
    </row>
    <row r="33" spans="1:5" ht="24.75" customHeight="1" x14ac:dyDescent="0.4">
      <c r="A33" s="6">
        <v>19</v>
      </c>
      <c r="B33" s="6" t="s">
        <v>184</v>
      </c>
      <c r="C33" s="6">
        <v>583</v>
      </c>
      <c r="D33" s="6">
        <v>292</v>
      </c>
      <c r="E33" s="6">
        <v>291</v>
      </c>
    </row>
    <row r="34" spans="1:5" ht="24.75" customHeight="1" x14ac:dyDescent="0.4">
      <c r="A34" s="6">
        <v>20</v>
      </c>
      <c r="B34" s="6" t="s">
        <v>185</v>
      </c>
      <c r="C34" s="6">
        <v>3750</v>
      </c>
      <c r="D34" s="6">
        <v>1678</v>
      </c>
      <c r="E34" s="6">
        <v>2072</v>
      </c>
    </row>
    <row r="35" spans="1:5" ht="24.75" customHeight="1" x14ac:dyDescent="0.4">
      <c r="A35" s="6">
        <v>21</v>
      </c>
      <c r="B35" s="6" t="s">
        <v>186</v>
      </c>
      <c r="C35" s="6">
        <v>494</v>
      </c>
      <c r="D35" s="6">
        <v>245</v>
      </c>
      <c r="E35" s="6">
        <v>249</v>
      </c>
    </row>
    <row r="36" spans="1:5" ht="24.75" customHeight="1" x14ac:dyDescent="0.4">
      <c r="A36" s="6">
        <v>22</v>
      </c>
      <c r="B36" s="6" t="s">
        <v>187</v>
      </c>
      <c r="C36" s="6">
        <v>671</v>
      </c>
      <c r="D36" s="6">
        <v>313</v>
      </c>
      <c r="E36" s="6">
        <v>358</v>
      </c>
    </row>
    <row r="37" spans="1:5" ht="24.75" customHeight="1" x14ac:dyDescent="0.4">
      <c r="A37" s="6">
        <v>23</v>
      </c>
      <c r="B37" s="6" t="s">
        <v>188</v>
      </c>
      <c r="C37" s="6">
        <v>1497</v>
      </c>
      <c r="D37" s="6">
        <v>725</v>
      </c>
      <c r="E37" s="6">
        <v>772</v>
      </c>
    </row>
    <row r="38" spans="1:5" ht="24.75" customHeight="1" x14ac:dyDescent="0.4">
      <c r="A38" s="6">
        <v>24</v>
      </c>
      <c r="B38" s="6" t="s">
        <v>189</v>
      </c>
      <c r="C38" s="6">
        <v>1685</v>
      </c>
      <c r="D38" s="6">
        <v>836</v>
      </c>
      <c r="E38" s="6">
        <v>849</v>
      </c>
    </row>
    <row r="39" spans="1:5" ht="24.75" customHeight="1" x14ac:dyDescent="0.4">
      <c r="A39" s="6">
        <v>25</v>
      </c>
      <c r="B39" s="6" t="s">
        <v>190</v>
      </c>
      <c r="C39" s="6">
        <v>2931</v>
      </c>
      <c r="D39" s="6">
        <v>1413</v>
      </c>
      <c r="E39" s="6">
        <v>1518</v>
      </c>
    </row>
    <row r="40" spans="1:5" ht="24.75" customHeight="1" x14ac:dyDescent="0.4">
      <c r="A40" s="6">
        <v>26</v>
      </c>
      <c r="B40" s="6" t="s">
        <v>191</v>
      </c>
      <c r="C40" s="6">
        <v>2283</v>
      </c>
      <c r="D40" s="6">
        <v>1141</v>
      </c>
      <c r="E40" s="6">
        <v>1142</v>
      </c>
    </row>
    <row r="41" spans="1:5" ht="24.75" customHeight="1" x14ac:dyDescent="0.4">
      <c r="A41" s="6">
        <v>27</v>
      </c>
      <c r="B41" s="6" t="s">
        <v>192</v>
      </c>
      <c r="C41" s="6">
        <v>1740</v>
      </c>
      <c r="D41" s="6">
        <v>822</v>
      </c>
      <c r="E41" s="6">
        <v>918</v>
      </c>
    </row>
    <row r="42" spans="1:5" ht="24.75" customHeight="1" x14ac:dyDescent="0.4">
      <c r="A42" s="6">
        <v>28</v>
      </c>
      <c r="B42" s="6" t="s">
        <v>193</v>
      </c>
      <c r="C42" s="6">
        <v>619</v>
      </c>
      <c r="D42" s="6">
        <v>331</v>
      </c>
      <c r="E42" s="6">
        <v>288</v>
      </c>
    </row>
    <row r="43" spans="1:5" ht="24.75" customHeight="1" x14ac:dyDescent="0.4">
      <c r="A43" s="6">
        <v>29</v>
      </c>
      <c r="B43" s="6" t="s">
        <v>194</v>
      </c>
      <c r="C43" s="6">
        <v>1528</v>
      </c>
      <c r="D43" s="6">
        <v>764</v>
      </c>
      <c r="E43" s="6">
        <v>764</v>
      </c>
    </row>
    <row r="44" spans="1:5" ht="24.75" customHeight="1" x14ac:dyDescent="0.4">
      <c r="A44" s="6">
        <v>30</v>
      </c>
      <c r="B44" s="6" t="s">
        <v>195</v>
      </c>
      <c r="C44" s="6">
        <v>1014</v>
      </c>
      <c r="D44" s="6">
        <v>509</v>
      </c>
      <c r="E44" s="6">
        <v>505</v>
      </c>
    </row>
    <row r="45" spans="1:5" ht="24.75" customHeight="1" x14ac:dyDescent="0.4">
      <c r="A45" s="6">
        <v>31</v>
      </c>
      <c r="B45" s="6" t="s">
        <v>196</v>
      </c>
      <c r="C45" s="6">
        <v>988</v>
      </c>
      <c r="D45" s="6">
        <v>490</v>
      </c>
      <c r="E45" s="6">
        <v>498</v>
      </c>
    </row>
    <row r="46" spans="1:5" ht="24.75" customHeight="1" x14ac:dyDescent="0.4">
      <c r="A46" s="6">
        <v>32</v>
      </c>
      <c r="B46" s="6" t="s">
        <v>197</v>
      </c>
      <c r="C46" s="6">
        <v>467</v>
      </c>
      <c r="D46" s="6">
        <v>236</v>
      </c>
      <c r="E46" s="6">
        <v>231</v>
      </c>
    </row>
    <row r="47" spans="1:5" ht="24.75" customHeight="1" x14ac:dyDescent="0.4">
      <c r="A47" s="6">
        <v>33</v>
      </c>
      <c r="B47" s="6" t="s">
        <v>198</v>
      </c>
      <c r="C47" s="6">
        <v>1881</v>
      </c>
      <c r="D47" s="6">
        <v>914</v>
      </c>
      <c r="E47" s="6">
        <v>967</v>
      </c>
    </row>
    <row r="48" spans="1:5" ht="24.75" customHeight="1" x14ac:dyDescent="0.4">
      <c r="A48" s="6">
        <v>34</v>
      </c>
      <c r="B48" s="6" t="s">
        <v>199</v>
      </c>
      <c r="C48" s="6">
        <v>1515</v>
      </c>
      <c r="D48" s="6">
        <v>768</v>
      </c>
      <c r="E48" s="6">
        <v>747</v>
      </c>
    </row>
    <row r="49" spans="1:5" ht="24.75" customHeight="1" x14ac:dyDescent="0.4">
      <c r="A49" s="6">
        <v>35</v>
      </c>
      <c r="B49" s="6" t="s">
        <v>200</v>
      </c>
      <c r="C49" s="6">
        <v>1514</v>
      </c>
      <c r="D49" s="6">
        <v>746</v>
      </c>
      <c r="E49" s="6">
        <v>768</v>
      </c>
    </row>
    <row r="50" spans="1:5" ht="24.75" customHeight="1" x14ac:dyDescent="0.4">
      <c r="A50" s="6">
        <v>36</v>
      </c>
      <c r="B50" s="6" t="s">
        <v>201</v>
      </c>
      <c r="C50" s="6">
        <v>342</v>
      </c>
      <c r="D50" s="6">
        <v>181</v>
      </c>
      <c r="E50" s="6">
        <v>161</v>
      </c>
    </row>
    <row r="51" spans="1:5" ht="24.75" customHeight="1" x14ac:dyDescent="0.4">
      <c r="A51" s="6">
        <v>37</v>
      </c>
      <c r="B51" s="6" t="s">
        <v>202</v>
      </c>
      <c r="C51" s="6">
        <v>344</v>
      </c>
      <c r="D51" s="6">
        <v>168</v>
      </c>
      <c r="E51" s="6">
        <v>176</v>
      </c>
    </row>
    <row r="52" spans="1:5" ht="24.75" customHeight="1" x14ac:dyDescent="0.4">
      <c r="A52" s="6">
        <v>38</v>
      </c>
      <c r="B52" s="6" t="s">
        <v>203</v>
      </c>
      <c r="C52" s="6">
        <v>646</v>
      </c>
      <c r="D52" s="6">
        <v>315</v>
      </c>
      <c r="E52" s="6">
        <v>331</v>
      </c>
    </row>
    <row r="53" spans="1:5" ht="24.75" customHeight="1" x14ac:dyDescent="0.4">
      <c r="A53" s="6">
        <v>39</v>
      </c>
      <c r="B53" s="6" t="s">
        <v>204</v>
      </c>
      <c r="C53" s="6">
        <v>1288</v>
      </c>
      <c r="D53" s="6">
        <v>649</v>
      </c>
      <c r="E53" s="6">
        <v>639</v>
      </c>
    </row>
    <row r="54" spans="1:5" ht="24.75" customHeight="1" x14ac:dyDescent="0.4">
      <c r="A54" s="6">
        <v>40</v>
      </c>
      <c r="B54" s="6" t="s">
        <v>205</v>
      </c>
      <c r="C54" s="6">
        <v>1383</v>
      </c>
      <c r="D54" s="6">
        <v>627</v>
      </c>
      <c r="E54" s="6">
        <v>756</v>
      </c>
    </row>
    <row r="55" spans="1:5" ht="24.75" customHeight="1" x14ac:dyDescent="0.4">
      <c r="A55" s="6">
        <v>41</v>
      </c>
      <c r="B55" s="6" t="s">
        <v>206</v>
      </c>
      <c r="C55" s="6">
        <v>1957</v>
      </c>
      <c r="D55" s="6">
        <v>1004</v>
      </c>
      <c r="E55" s="6">
        <v>953</v>
      </c>
    </row>
    <row r="56" spans="1:5" ht="24.75" customHeight="1" x14ac:dyDescent="0.4">
      <c r="A56" s="6">
        <v>42</v>
      </c>
      <c r="B56" s="6" t="s">
        <v>207</v>
      </c>
      <c r="C56" s="6">
        <v>986</v>
      </c>
      <c r="D56" s="6">
        <v>498</v>
      </c>
      <c r="E56" s="6">
        <v>488</v>
      </c>
    </row>
    <row r="57" spans="1:5" ht="24.75" customHeight="1" x14ac:dyDescent="0.4">
      <c r="A57" s="6">
        <v>43</v>
      </c>
      <c r="B57" s="6" t="s">
        <v>208</v>
      </c>
      <c r="C57" s="6">
        <v>460</v>
      </c>
      <c r="D57" s="6">
        <v>208</v>
      </c>
      <c r="E57" s="6">
        <v>252</v>
      </c>
    </row>
    <row r="58" spans="1:5" ht="24.75" customHeight="1" x14ac:dyDescent="0.4">
      <c r="A58" s="6">
        <v>44</v>
      </c>
      <c r="B58" s="6" t="s">
        <v>209</v>
      </c>
      <c r="C58" s="6">
        <v>753</v>
      </c>
      <c r="D58" s="6">
        <v>366</v>
      </c>
      <c r="E58" s="6">
        <v>387</v>
      </c>
    </row>
    <row r="59" spans="1:5" ht="24.75" customHeight="1" x14ac:dyDescent="0.4">
      <c r="A59" s="6">
        <v>45</v>
      </c>
      <c r="B59" s="6" t="s">
        <v>210</v>
      </c>
      <c r="C59" s="6">
        <v>604</v>
      </c>
      <c r="D59" s="6">
        <v>270</v>
      </c>
      <c r="E59" s="6">
        <v>334</v>
      </c>
    </row>
    <row r="60" spans="1:5" ht="24.75" customHeight="1" x14ac:dyDescent="0.4">
      <c r="A60" s="6">
        <v>46</v>
      </c>
      <c r="B60" s="6" t="s">
        <v>211</v>
      </c>
      <c r="C60" s="6">
        <v>523</v>
      </c>
      <c r="D60" s="6">
        <v>225</v>
      </c>
      <c r="E60" s="6">
        <v>298</v>
      </c>
    </row>
    <row r="61" spans="1:5" ht="24.75" customHeight="1" x14ac:dyDescent="0.4">
      <c r="A61" s="6">
        <v>47</v>
      </c>
      <c r="B61" s="6" t="s">
        <v>212</v>
      </c>
      <c r="C61" s="6">
        <v>4204</v>
      </c>
      <c r="D61" s="6">
        <v>2015</v>
      </c>
      <c r="E61" s="6">
        <v>2189</v>
      </c>
    </row>
    <row r="62" spans="1:5" ht="24.75" customHeight="1" x14ac:dyDescent="0.4">
      <c r="A62" s="6">
        <v>48</v>
      </c>
      <c r="B62" s="6" t="s">
        <v>213</v>
      </c>
      <c r="C62" s="6">
        <v>2095</v>
      </c>
      <c r="D62" s="6">
        <v>963</v>
      </c>
      <c r="E62" s="6">
        <v>1132</v>
      </c>
    </row>
    <row r="63" spans="1:5" ht="24.75" customHeight="1" x14ac:dyDescent="0.4">
      <c r="A63" s="6">
        <v>49</v>
      </c>
      <c r="B63" s="6" t="s">
        <v>214</v>
      </c>
      <c r="C63" s="6">
        <v>2149</v>
      </c>
      <c r="D63" s="6">
        <v>991</v>
      </c>
      <c r="E63" s="6">
        <v>1158</v>
      </c>
    </row>
    <row r="64" spans="1:5" ht="24.75" customHeight="1" x14ac:dyDescent="0.4">
      <c r="A64" s="6">
        <v>50</v>
      </c>
      <c r="B64" s="6" t="s">
        <v>215</v>
      </c>
      <c r="C64" s="6">
        <v>1577</v>
      </c>
      <c r="D64" s="6">
        <v>774</v>
      </c>
      <c r="E64" s="6">
        <v>803</v>
      </c>
    </row>
    <row r="65" spans="1:5" ht="24.75" customHeight="1" x14ac:dyDescent="0.4">
      <c r="A65" s="6">
        <v>51</v>
      </c>
      <c r="B65" s="6" t="s">
        <v>216</v>
      </c>
      <c r="C65" s="6">
        <v>1157</v>
      </c>
      <c r="D65" s="6">
        <v>574</v>
      </c>
      <c r="E65" s="6">
        <v>583</v>
      </c>
    </row>
    <row r="66" spans="1:5" ht="24.75" customHeight="1" x14ac:dyDescent="0.4">
      <c r="A66" s="6">
        <v>52</v>
      </c>
      <c r="B66" s="6" t="s">
        <v>217</v>
      </c>
      <c r="C66" s="6">
        <v>772</v>
      </c>
      <c r="D66" s="6">
        <v>378</v>
      </c>
      <c r="E66" s="6">
        <v>394</v>
      </c>
    </row>
    <row r="67" spans="1:5" ht="24.75" customHeight="1" x14ac:dyDescent="0.4">
      <c r="A67" s="6">
        <v>53</v>
      </c>
      <c r="B67" s="6" t="s">
        <v>218</v>
      </c>
      <c r="C67" s="6">
        <v>1129</v>
      </c>
      <c r="D67" s="6">
        <v>536</v>
      </c>
      <c r="E67" s="6">
        <v>593</v>
      </c>
    </row>
    <row r="68" spans="1:5" ht="24.75" customHeight="1" x14ac:dyDescent="0.4">
      <c r="A68" s="6">
        <v>54</v>
      </c>
      <c r="B68" s="6" t="s">
        <v>219</v>
      </c>
      <c r="C68" s="6">
        <v>2266</v>
      </c>
      <c r="D68" s="6">
        <v>1101</v>
      </c>
      <c r="E68" s="6">
        <v>1165</v>
      </c>
    </row>
    <row r="69" spans="1:5" ht="24.75" customHeight="1" x14ac:dyDescent="0.4">
      <c r="A69" s="8">
        <v>55</v>
      </c>
      <c r="B69" s="8" t="s">
        <v>220</v>
      </c>
      <c r="C69" s="8">
        <v>757</v>
      </c>
      <c r="D69" s="8">
        <v>350</v>
      </c>
      <c r="E69" s="8">
        <v>407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Chin State, Falam District, Tedim Township"/>
  </hyperlinks>
  <pageMargins left="0.75" right="0.5" top="0.5" bottom="0.2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workbookViewId="0">
      <selection sqref="A1:E1"/>
    </sheetView>
  </sheetViews>
  <sheetFormatPr defaultRowHeight="21.75" x14ac:dyDescent="0.4"/>
  <cols>
    <col min="1" max="1" width="6.7109375" style="1" customWidth="1"/>
    <col min="2" max="2" width="21.5703125" style="1" customWidth="1"/>
    <col min="3" max="5" width="15.7109375" style="1" customWidth="1"/>
    <col min="6" max="6" width="29.28515625" style="1" customWidth="1"/>
    <col min="7" max="7" width="24.7109375" style="1" customWidth="1"/>
    <col min="8" max="8" width="15" style="1" customWidth="1"/>
    <col min="9" max="16384" width="9.140625" style="1"/>
  </cols>
  <sheetData>
    <row r="1" spans="1:11" ht="24.75" customHeight="1" x14ac:dyDescent="0.4">
      <c r="A1" s="40" t="s">
        <v>508</v>
      </c>
      <c r="B1" s="40"/>
      <c r="C1" s="40"/>
      <c r="D1" s="40"/>
      <c r="E1" s="40"/>
    </row>
    <row r="2" spans="1:11" ht="24.75" customHeight="1" x14ac:dyDescent="0.4">
      <c r="B2" s="4"/>
      <c r="C2" s="4"/>
      <c r="D2" s="4"/>
      <c r="E2" s="37" t="s">
        <v>501</v>
      </c>
    </row>
    <row r="3" spans="1:11" ht="24.75" customHeight="1" x14ac:dyDescent="0.4">
      <c r="B3" s="4"/>
      <c r="C3" s="4"/>
      <c r="D3" s="4"/>
      <c r="E3" s="37"/>
    </row>
    <row r="4" spans="1:11" ht="11.25" customHeight="1" x14ac:dyDescent="0.4"/>
    <row r="5" spans="1:11" ht="24.75" customHeight="1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11" ht="24.75" customHeight="1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11" ht="24.75" customHeight="1" x14ac:dyDescent="0.4">
      <c r="A7" s="5"/>
      <c r="B7" s="5" t="s">
        <v>517</v>
      </c>
      <c r="C7" s="7">
        <f>C9+C12</f>
        <v>20722</v>
      </c>
      <c r="D7" s="7">
        <f t="shared" ref="D7:E7" si="0">D9+D12</f>
        <v>10107</v>
      </c>
      <c r="E7" s="7">
        <f t="shared" si="0"/>
        <v>10615</v>
      </c>
      <c r="H7" s="14"/>
      <c r="I7" s="14"/>
      <c r="J7" s="14"/>
      <c r="K7" s="14"/>
    </row>
    <row r="8" spans="1:11" ht="10.5" customHeight="1" x14ac:dyDescent="0.4">
      <c r="A8" s="7"/>
      <c r="B8" s="10"/>
      <c r="C8" s="10"/>
      <c r="D8" s="10"/>
      <c r="E8" s="10"/>
      <c r="I8" s="14"/>
      <c r="J8" s="14"/>
      <c r="K8" s="14"/>
    </row>
    <row r="9" spans="1:11" ht="24.75" customHeight="1" x14ac:dyDescent="0.4">
      <c r="A9" s="7"/>
      <c r="B9" s="7" t="s">
        <v>503</v>
      </c>
      <c r="C9" s="7">
        <f>SUM(C10:C11)</f>
        <v>3777</v>
      </c>
      <c r="D9" s="7">
        <f t="shared" ref="D9:E9" si="1">SUM(D10:D11)</f>
        <v>1786</v>
      </c>
      <c r="E9" s="7">
        <f t="shared" si="1"/>
        <v>1991</v>
      </c>
      <c r="I9" s="14"/>
      <c r="J9" s="14"/>
      <c r="K9" s="14"/>
    </row>
    <row r="10" spans="1:11" ht="24.75" customHeight="1" x14ac:dyDescent="0.4">
      <c r="A10" s="6">
        <v>1</v>
      </c>
      <c r="B10" s="6" t="s">
        <v>221</v>
      </c>
      <c r="C10" s="6">
        <v>2796</v>
      </c>
      <c r="D10" s="6">
        <v>1324</v>
      </c>
      <c r="E10" s="6">
        <v>1472</v>
      </c>
      <c r="F10" s="14"/>
      <c r="G10" s="14"/>
      <c r="H10" s="14"/>
    </row>
    <row r="11" spans="1:11" ht="24.75" customHeight="1" x14ac:dyDescent="0.4">
      <c r="A11" s="6">
        <v>2</v>
      </c>
      <c r="B11" s="6" t="s">
        <v>222</v>
      </c>
      <c r="C11" s="6">
        <v>981</v>
      </c>
      <c r="D11" s="6">
        <v>462</v>
      </c>
      <c r="E11" s="6">
        <v>519</v>
      </c>
      <c r="F11" s="14"/>
      <c r="G11" s="14"/>
      <c r="H11" s="14"/>
    </row>
    <row r="12" spans="1:11" ht="24.75" customHeight="1" x14ac:dyDescent="0.4">
      <c r="A12" s="6"/>
      <c r="B12" s="7" t="s">
        <v>518</v>
      </c>
      <c r="C12" s="7">
        <f>SUM(C13:C34)</f>
        <v>16945</v>
      </c>
      <c r="D12" s="7">
        <f t="shared" ref="D12:E12" si="2">SUM(D13:D34)</f>
        <v>8321</v>
      </c>
      <c r="E12" s="7">
        <f t="shared" si="2"/>
        <v>8624</v>
      </c>
      <c r="F12" s="14"/>
      <c r="G12" s="14"/>
      <c r="H12" s="14"/>
    </row>
    <row r="13" spans="1:11" ht="24.75" customHeight="1" x14ac:dyDescent="0.4">
      <c r="A13" s="6">
        <v>1</v>
      </c>
      <c r="B13" s="6" t="s">
        <v>223</v>
      </c>
      <c r="C13" s="6">
        <v>882</v>
      </c>
      <c r="D13" s="6">
        <v>438</v>
      </c>
      <c r="E13" s="6">
        <v>444</v>
      </c>
      <c r="F13" s="14"/>
      <c r="G13" s="14"/>
      <c r="H13" s="14"/>
    </row>
    <row r="14" spans="1:11" ht="24.75" customHeight="1" x14ac:dyDescent="0.4">
      <c r="A14" s="6">
        <v>2</v>
      </c>
      <c r="B14" s="6" t="s">
        <v>224</v>
      </c>
      <c r="C14" s="6">
        <v>646</v>
      </c>
      <c r="D14" s="6">
        <v>294</v>
      </c>
      <c r="E14" s="6">
        <v>352</v>
      </c>
      <c r="F14" s="14"/>
      <c r="G14" s="14"/>
      <c r="H14" s="14"/>
    </row>
    <row r="15" spans="1:11" ht="24.75" customHeight="1" x14ac:dyDescent="0.4">
      <c r="A15" s="6">
        <v>3</v>
      </c>
      <c r="B15" s="6" t="s">
        <v>225</v>
      </c>
      <c r="C15" s="6">
        <v>889</v>
      </c>
      <c r="D15" s="6">
        <v>406</v>
      </c>
      <c r="E15" s="6">
        <v>483</v>
      </c>
      <c r="F15" s="14"/>
      <c r="G15" s="14"/>
      <c r="H15" s="14"/>
    </row>
    <row r="16" spans="1:11" ht="24.75" customHeight="1" x14ac:dyDescent="0.4">
      <c r="A16" s="6">
        <v>4</v>
      </c>
      <c r="B16" s="6" t="s">
        <v>226</v>
      </c>
      <c r="C16" s="6">
        <v>677</v>
      </c>
      <c r="D16" s="6">
        <v>331</v>
      </c>
      <c r="E16" s="6">
        <v>346</v>
      </c>
      <c r="F16" s="14"/>
      <c r="G16" s="14"/>
      <c r="H16" s="14"/>
    </row>
    <row r="17" spans="1:8" ht="24.75" customHeight="1" x14ac:dyDescent="0.4">
      <c r="A17" s="6">
        <v>5</v>
      </c>
      <c r="B17" s="6" t="s">
        <v>227</v>
      </c>
      <c r="C17" s="6">
        <v>320</v>
      </c>
      <c r="D17" s="6">
        <v>151</v>
      </c>
      <c r="E17" s="6">
        <v>169</v>
      </c>
      <c r="F17" s="14"/>
      <c r="G17" s="14"/>
      <c r="H17" s="14"/>
    </row>
    <row r="18" spans="1:8" ht="24.75" customHeight="1" x14ac:dyDescent="0.4">
      <c r="A18" s="6">
        <v>6</v>
      </c>
      <c r="B18" s="6" t="s">
        <v>228</v>
      </c>
      <c r="C18" s="6">
        <v>915</v>
      </c>
      <c r="D18" s="6">
        <v>456</v>
      </c>
      <c r="E18" s="6">
        <v>459</v>
      </c>
      <c r="F18" s="14"/>
      <c r="G18" s="14"/>
      <c r="H18" s="14"/>
    </row>
    <row r="19" spans="1:8" ht="24.75" customHeight="1" x14ac:dyDescent="0.4">
      <c r="A19" s="6">
        <v>7</v>
      </c>
      <c r="B19" s="6" t="s">
        <v>229</v>
      </c>
      <c r="C19" s="6">
        <v>274</v>
      </c>
      <c r="D19" s="6">
        <v>148</v>
      </c>
      <c r="E19" s="6">
        <v>126</v>
      </c>
      <c r="F19" s="14"/>
      <c r="G19" s="14"/>
      <c r="H19" s="14"/>
    </row>
    <row r="20" spans="1:8" ht="24.75" customHeight="1" x14ac:dyDescent="0.4">
      <c r="A20" s="6">
        <v>8</v>
      </c>
      <c r="B20" s="6" t="s">
        <v>230</v>
      </c>
      <c r="C20" s="6">
        <v>246</v>
      </c>
      <c r="D20" s="6">
        <v>142</v>
      </c>
      <c r="E20" s="6">
        <v>104</v>
      </c>
      <c r="F20" s="14"/>
      <c r="G20" s="14"/>
      <c r="H20" s="14"/>
    </row>
    <row r="21" spans="1:8" ht="24.75" customHeight="1" x14ac:dyDescent="0.4">
      <c r="A21" s="6">
        <v>9</v>
      </c>
      <c r="B21" s="6" t="s">
        <v>231</v>
      </c>
      <c r="C21" s="6">
        <v>178</v>
      </c>
      <c r="D21" s="6">
        <v>92</v>
      </c>
      <c r="E21" s="6">
        <v>86</v>
      </c>
      <c r="F21" s="14"/>
      <c r="G21" s="14"/>
      <c r="H21" s="14"/>
    </row>
    <row r="22" spans="1:8" ht="24.75" customHeight="1" x14ac:dyDescent="0.4">
      <c r="A22" s="6">
        <v>10</v>
      </c>
      <c r="B22" s="6" t="s">
        <v>232</v>
      </c>
      <c r="C22" s="6">
        <v>264</v>
      </c>
      <c r="D22" s="6">
        <v>125</v>
      </c>
      <c r="E22" s="6">
        <v>139</v>
      </c>
      <c r="F22" s="14"/>
      <c r="G22" s="14"/>
      <c r="H22" s="14"/>
    </row>
    <row r="23" spans="1:8" ht="24.75" customHeight="1" x14ac:dyDescent="0.4">
      <c r="A23" s="6">
        <v>11</v>
      </c>
      <c r="B23" s="6" t="s">
        <v>233</v>
      </c>
      <c r="C23" s="6">
        <v>1058</v>
      </c>
      <c r="D23" s="6">
        <v>515</v>
      </c>
      <c r="E23" s="6">
        <v>543</v>
      </c>
      <c r="F23" s="14"/>
      <c r="G23" s="14"/>
      <c r="H23" s="14"/>
    </row>
    <row r="24" spans="1:8" ht="24.75" customHeight="1" x14ac:dyDescent="0.4">
      <c r="A24" s="6">
        <v>12</v>
      </c>
      <c r="B24" s="6" t="s">
        <v>234</v>
      </c>
      <c r="C24" s="6">
        <v>613</v>
      </c>
      <c r="D24" s="6">
        <v>308</v>
      </c>
      <c r="E24" s="6">
        <v>305</v>
      </c>
      <c r="F24" s="14"/>
      <c r="G24" s="14"/>
      <c r="H24" s="14"/>
    </row>
    <row r="25" spans="1:8" ht="24.75" customHeight="1" x14ac:dyDescent="0.4">
      <c r="A25" s="6">
        <v>13</v>
      </c>
      <c r="B25" s="6" t="s">
        <v>235</v>
      </c>
      <c r="C25" s="6">
        <v>365</v>
      </c>
      <c r="D25" s="6">
        <v>178</v>
      </c>
      <c r="E25" s="6">
        <v>187</v>
      </c>
      <c r="F25" s="14"/>
      <c r="G25" s="14"/>
      <c r="H25" s="14"/>
    </row>
    <row r="26" spans="1:8" ht="24.75" customHeight="1" x14ac:dyDescent="0.4">
      <c r="A26" s="6">
        <v>14</v>
      </c>
      <c r="B26" s="6" t="s">
        <v>236</v>
      </c>
      <c r="C26" s="6">
        <v>2038</v>
      </c>
      <c r="D26" s="6">
        <v>1036</v>
      </c>
      <c r="E26" s="6">
        <v>1002</v>
      </c>
      <c r="F26" s="14"/>
      <c r="G26" s="14"/>
      <c r="H26" s="14"/>
    </row>
    <row r="27" spans="1:8" ht="24.75" customHeight="1" x14ac:dyDescent="0.4">
      <c r="A27" s="6">
        <v>15</v>
      </c>
      <c r="B27" s="6" t="s">
        <v>237</v>
      </c>
      <c r="C27" s="6">
        <v>1905</v>
      </c>
      <c r="D27" s="6">
        <v>990</v>
      </c>
      <c r="E27" s="6">
        <v>915</v>
      </c>
      <c r="F27" s="14"/>
      <c r="G27" s="14"/>
      <c r="H27" s="14"/>
    </row>
    <row r="28" spans="1:8" ht="24.75" customHeight="1" x14ac:dyDescent="0.4">
      <c r="A28" s="6">
        <v>16</v>
      </c>
      <c r="B28" s="6" t="s">
        <v>238</v>
      </c>
      <c r="C28" s="6">
        <v>1077</v>
      </c>
      <c r="D28" s="6">
        <v>493</v>
      </c>
      <c r="E28" s="6">
        <v>584</v>
      </c>
      <c r="F28" s="14"/>
      <c r="G28" s="14"/>
      <c r="H28" s="14"/>
    </row>
    <row r="29" spans="1:8" ht="24.75" customHeight="1" x14ac:dyDescent="0.4">
      <c r="A29" s="6">
        <v>17</v>
      </c>
      <c r="B29" s="6" t="s">
        <v>239</v>
      </c>
      <c r="C29" s="6">
        <v>156</v>
      </c>
      <c r="D29" s="6">
        <v>75</v>
      </c>
      <c r="E29" s="6">
        <v>81</v>
      </c>
      <c r="F29" s="14"/>
      <c r="G29" s="14"/>
      <c r="H29" s="14"/>
    </row>
    <row r="30" spans="1:8" ht="24.75" customHeight="1" x14ac:dyDescent="0.4">
      <c r="A30" s="6">
        <v>18</v>
      </c>
      <c r="B30" s="6" t="s">
        <v>240</v>
      </c>
      <c r="C30" s="6">
        <v>677</v>
      </c>
      <c r="D30" s="6">
        <v>317</v>
      </c>
      <c r="E30" s="6">
        <v>360</v>
      </c>
      <c r="F30" s="14"/>
      <c r="G30" s="14"/>
      <c r="H30" s="14"/>
    </row>
    <row r="31" spans="1:8" ht="24.75" customHeight="1" x14ac:dyDescent="0.4">
      <c r="A31" s="6">
        <v>19</v>
      </c>
      <c r="B31" s="6" t="s">
        <v>241</v>
      </c>
      <c r="C31" s="6">
        <v>1321</v>
      </c>
      <c r="D31" s="6">
        <v>628</v>
      </c>
      <c r="E31" s="6">
        <v>693</v>
      </c>
      <c r="F31" s="14"/>
      <c r="G31" s="14"/>
      <c r="H31" s="14"/>
    </row>
    <row r="32" spans="1:8" ht="24.75" customHeight="1" x14ac:dyDescent="0.4">
      <c r="A32" s="6">
        <v>20</v>
      </c>
      <c r="B32" s="6" t="s">
        <v>242</v>
      </c>
      <c r="C32" s="6">
        <v>1715</v>
      </c>
      <c r="D32" s="6">
        <v>849</v>
      </c>
      <c r="E32" s="6">
        <v>866</v>
      </c>
      <c r="F32" s="14"/>
      <c r="G32" s="14"/>
      <c r="H32" s="14"/>
    </row>
    <row r="33" spans="1:8" ht="24.75" customHeight="1" x14ac:dyDescent="0.4">
      <c r="A33" s="6">
        <v>21</v>
      </c>
      <c r="B33" s="6" t="s">
        <v>243</v>
      </c>
      <c r="C33" s="6">
        <v>330</v>
      </c>
      <c r="D33" s="6">
        <v>163</v>
      </c>
      <c r="E33" s="6">
        <v>167</v>
      </c>
      <c r="F33" s="14"/>
      <c r="G33" s="14"/>
      <c r="H33" s="14"/>
    </row>
    <row r="34" spans="1:8" x14ac:dyDescent="0.4">
      <c r="A34" s="8">
        <v>22</v>
      </c>
      <c r="B34" s="8" t="s">
        <v>244</v>
      </c>
      <c r="C34" s="8">
        <v>399</v>
      </c>
      <c r="D34" s="8">
        <v>186</v>
      </c>
      <c r="E34" s="8">
        <v>213</v>
      </c>
      <c r="F34" s="14"/>
      <c r="G34" s="14"/>
      <c r="H34" s="14"/>
    </row>
    <row r="35" spans="1:8" s="12" customFormat="1" x14ac:dyDescent="0.4">
      <c r="A35" s="13"/>
      <c r="B35" s="13"/>
      <c r="C35" s="13"/>
      <c r="D35" s="13"/>
      <c r="E35" s="13"/>
    </row>
    <row r="36" spans="1:8" s="12" customFormat="1" x14ac:dyDescent="0.4">
      <c r="A36" s="13"/>
      <c r="B36" s="13"/>
      <c r="C36" s="13"/>
      <c r="D36" s="13"/>
      <c r="E36" s="13"/>
    </row>
    <row r="37" spans="1:8" s="12" customFormat="1" x14ac:dyDescent="0.4">
      <c r="A37" s="13"/>
      <c r="B37" s="13"/>
      <c r="C37" s="13"/>
      <c r="D37" s="13"/>
      <c r="E37" s="13"/>
    </row>
    <row r="38" spans="1:8" s="12" customFormat="1" x14ac:dyDescent="0.4">
      <c r="A38" s="13"/>
      <c r="B38" s="13"/>
      <c r="C38" s="13"/>
      <c r="D38" s="13"/>
      <c r="E38" s="13"/>
    </row>
    <row r="39" spans="1:8" s="12" customFormat="1" x14ac:dyDescent="0.4">
      <c r="A39" s="13"/>
      <c r="B39" s="13"/>
      <c r="C39" s="13"/>
      <c r="D39" s="13"/>
      <c r="E39" s="13"/>
    </row>
    <row r="40" spans="1:8" s="12" customFormat="1" x14ac:dyDescent="0.4">
      <c r="A40" s="13"/>
      <c r="B40" s="13"/>
      <c r="C40" s="13"/>
      <c r="D40" s="13"/>
      <c r="E40" s="13"/>
    </row>
    <row r="41" spans="1:8" s="12" customFormat="1" x14ac:dyDescent="0.4">
      <c r="A41" s="13"/>
      <c r="B41" s="13"/>
      <c r="C41" s="13"/>
      <c r="D41" s="13"/>
      <c r="E41" s="13"/>
    </row>
    <row r="42" spans="1:8" s="12" customFormat="1" x14ac:dyDescent="0.4">
      <c r="A42" s="13"/>
      <c r="B42" s="13"/>
      <c r="C42" s="13"/>
      <c r="D42" s="13"/>
      <c r="E42" s="13"/>
    </row>
    <row r="43" spans="1:8" s="12" customFormat="1" x14ac:dyDescent="0.4">
      <c r="A43" s="13"/>
      <c r="B43" s="13"/>
      <c r="C43" s="13"/>
      <c r="D43" s="13"/>
      <c r="E43" s="13"/>
    </row>
    <row r="44" spans="1:8" s="12" customFormat="1" x14ac:dyDescent="0.4">
      <c r="A44" s="13"/>
      <c r="B44" s="13"/>
      <c r="C44" s="13"/>
      <c r="D44" s="13"/>
      <c r="E44" s="13"/>
    </row>
    <row r="45" spans="1:8" s="12" customFormat="1" x14ac:dyDescent="0.4">
      <c r="A45" s="13"/>
      <c r="B45" s="13"/>
      <c r="C45" s="13"/>
      <c r="D45" s="13"/>
      <c r="E45" s="13"/>
    </row>
    <row r="46" spans="1:8" s="12" customFormat="1" x14ac:dyDescent="0.4">
      <c r="A46" s="13"/>
      <c r="B46" s="13"/>
      <c r="C46" s="13"/>
      <c r="D46" s="13"/>
      <c r="E46" s="13"/>
    </row>
    <row r="47" spans="1:8" s="12" customFormat="1" x14ac:dyDescent="0.4">
      <c r="A47" s="13"/>
      <c r="B47" s="13"/>
      <c r="C47" s="13"/>
      <c r="D47" s="13"/>
      <c r="E47" s="13"/>
    </row>
    <row r="48" spans="1:8" s="12" customFormat="1" x14ac:dyDescent="0.4">
      <c r="A48" s="13"/>
      <c r="B48" s="13"/>
      <c r="C48" s="13"/>
      <c r="D48" s="13"/>
      <c r="E48" s="13"/>
    </row>
    <row r="49" spans="1:5" s="12" customFormat="1" x14ac:dyDescent="0.4">
      <c r="A49" s="13"/>
      <c r="B49" s="13"/>
      <c r="C49" s="13"/>
      <c r="D49" s="13"/>
      <c r="E49" s="13"/>
    </row>
    <row r="50" spans="1:5" s="12" customFormat="1" x14ac:dyDescent="0.4">
      <c r="A50" s="13"/>
      <c r="B50" s="13"/>
      <c r="C50" s="13"/>
      <c r="D50" s="13"/>
      <c r="E50" s="13"/>
    </row>
    <row r="51" spans="1:5" s="12" customFormat="1" x14ac:dyDescent="0.4">
      <c r="A51" s="13"/>
      <c r="B51" s="13"/>
      <c r="C51" s="13"/>
      <c r="D51" s="13"/>
      <c r="E51" s="13"/>
    </row>
    <row r="52" spans="1:5" s="12" customFormat="1" x14ac:dyDescent="0.4">
      <c r="A52" s="13"/>
      <c r="B52" s="13"/>
      <c r="C52" s="13"/>
      <c r="D52" s="13"/>
      <c r="E52" s="13"/>
    </row>
    <row r="53" spans="1:5" s="12" customFormat="1" x14ac:dyDescent="0.4">
      <c r="A53" s="13"/>
      <c r="B53" s="13"/>
      <c r="C53" s="13"/>
      <c r="D53" s="13"/>
      <c r="E53" s="13"/>
    </row>
    <row r="54" spans="1:5" s="12" customFormat="1" x14ac:dyDescent="0.4">
      <c r="A54" s="13"/>
      <c r="B54" s="13"/>
      <c r="C54" s="13"/>
      <c r="D54" s="13"/>
      <c r="E54" s="13"/>
    </row>
    <row r="55" spans="1:5" s="12" customFormat="1" x14ac:dyDescent="0.4">
      <c r="A55" s="13"/>
      <c r="B55" s="13"/>
      <c r="C55" s="13"/>
      <c r="D55" s="13"/>
      <c r="E55" s="13"/>
    </row>
    <row r="56" spans="1:5" s="12" customFormat="1" x14ac:dyDescent="0.4">
      <c r="A56" s="13"/>
      <c r="B56" s="13"/>
      <c r="C56" s="13"/>
      <c r="D56" s="13"/>
      <c r="E56" s="13"/>
    </row>
    <row r="57" spans="1:5" s="12" customFormat="1" x14ac:dyDescent="0.4">
      <c r="A57" s="13"/>
      <c r="B57" s="13"/>
      <c r="C57" s="13"/>
      <c r="D57" s="13"/>
      <c r="E57" s="13"/>
    </row>
    <row r="58" spans="1:5" s="12" customFormat="1" x14ac:dyDescent="0.4">
      <c r="A58" s="13"/>
      <c r="B58" s="13"/>
      <c r="C58" s="13"/>
      <c r="D58" s="13"/>
      <c r="E58" s="13"/>
    </row>
    <row r="59" spans="1:5" s="12" customFormat="1" x14ac:dyDescent="0.4">
      <c r="A59" s="13"/>
      <c r="B59" s="13"/>
      <c r="C59" s="13"/>
      <c r="D59" s="13"/>
      <c r="E59" s="13"/>
    </row>
    <row r="60" spans="1:5" s="12" customFormat="1" x14ac:dyDescent="0.4">
      <c r="A60" s="13"/>
      <c r="B60" s="13"/>
      <c r="C60" s="13"/>
      <c r="D60" s="13"/>
      <c r="E60" s="13"/>
    </row>
    <row r="61" spans="1:5" s="12" customFormat="1" x14ac:dyDescent="0.4">
      <c r="A61" s="13"/>
      <c r="B61" s="13"/>
      <c r="C61" s="13"/>
      <c r="D61" s="13"/>
      <c r="E61" s="13"/>
    </row>
    <row r="62" spans="1:5" s="12" customFormat="1" x14ac:dyDescent="0.4">
      <c r="A62" s="13"/>
      <c r="B62" s="13"/>
      <c r="C62" s="13"/>
      <c r="D62" s="13"/>
      <c r="E62" s="13"/>
    </row>
    <row r="63" spans="1:5" s="12" customFormat="1" x14ac:dyDescent="0.4">
      <c r="A63" s="13"/>
      <c r="B63" s="13"/>
      <c r="C63" s="13"/>
      <c r="D63" s="13"/>
      <c r="E63" s="13"/>
    </row>
    <row r="64" spans="1:5" s="12" customFormat="1" x14ac:dyDescent="0.4">
      <c r="A64" s="13"/>
      <c r="B64" s="13"/>
      <c r="C64" s="13"/>
      <c r="D64" s="13"/>
      <c r="E64" s="13"/>
    </row>
    <row r="65" spans="1:5" s="12" customFormat="1" x14ac:dyDescent="0.4">
      <c r="A65" s="13"/>
      <c r="B65" s="13"/>
      <c r="C65" s="13"/>
      <c r="D65" s="13"/>
      <c r="E65" s="13"/>
    </row>
    <row r="66" spans="1:5" s="12" customFormat="1" x14ac:dyDescent="0.4">
      <c r="A66" s="13"/>
      <c r="B66" s="13"/>
      <c r="C66" s="13"/>
      <c r="D66" s="13"/>
      <c r="E66" s="13"/>
    </row>
    <row r="67" spans="1:5" s="12" customFormat="1" x14ac:dyDescent="0.4">
      <c r="A67" s="13"/>
      <c r="B67" s="13"/>
      <c r="C67" s="13"/>
      <c r="D67" s="13"/>
      <c r="E67" s="13"/>
    </row>
    <row r="68" spans="1:5" s="12" customFormat="1" x14ac:dyDescent="0.4">
      <c r="A68" s="13"/>
      <c r="B68" s="13"/>
      <c r="C68" s="13"/>
      <c r="D68" s="13"/>
      <c r="E68" s="13"/>
    </row>
    <row r="69" spans="1:5" s="12" customFormat="1" x14ac:dyDescent="0.4">
      <c r="A69" s="13"/>
      <c r="B69" s="13"/>
      <c r="C69" s="13"/>
      <c r="D69" s="13"/>
      <c r="E69" s="13"/>
    </row>
    <row r="70" spans="1:5" s="12" customFormat="1" x14ac:dyDescent="0.4"/>
    <row r="71" spans="1:5" s="12" customFormat="1" x14ac:dyDescent="0.4"/>
    <row r="72" spans="1:5" s="12" customFormat="1" x14ac:dyDescent="0.4"/>
    <row r="73" spans="1:5" s="12" customFormat="1" x14ac:dyDescent="0.4"/>
    <row r="74" spans="1:5" s="12" customFormat="1" x14ac:dyDescent="0.4"/>
    <row r="75" spans="1:5" s="12" customFormat="1" x14ac:dyDescent="0.4"/>
    <row r="76" spans="1:5" s="12" customFormat="1" x14ac:dyDescent="0.4"/>
    <row r="77" spans="1:5" s="12" customFormat="1" x14ac:dyDescent="0.4"/>
    <row r="78" spans="1:5" s="12" customFormat="1" x14ac:dyDescent="0.4"/>
    <row r="79" spans="1:5" s="12" customFormat="1" x14ac:dyDescent="0.4"/>
    <row r="80" spans="1:5" s="12" customFormat="1" x14ac:dyDescent="0.4"/>
    <row r="81" s="12" customFormat="1" x14ac:dyDescent="0.4"/>
    <row r="82" s="12" customFormat="1" x14ac:dyDescent="0.4"/>
    <row r="83" s="12" customFormat="1" x14ac:dyDescent="0.4"/>
    <row r="84" s="12" customFormat="1" x14ac:dyDescent="0.4"/>
    <row r="85" s="12" customFormat="1" x14ac:dyDescent="0.4"/>
    <row r="86" s="12" customFormat="1" x14ac:dyDescent="0.4"/>
    <row r="87" s="12" customFormat="1" x14ac:dyDescent="0.4"/>
    <row r="88" s="12" customFormat="1" x14ac:dyDescent="0.4"/>
    <row r="89" s="12" customFormat="1" x14ac:dyDescent="0.4"/>
    <row r="90" s="12" customFormat="1" x14ac:dyDescent="0.4"/>
    <row r="91" s="12" customFormat="1" x14ac:dyDescent="0.4"/>
    <row r="92" s="12" customFormat="1" x14ac:dyDescent="0.4"/>
    <row r="93" s="12" customFormat="1" x14ac:dyDescent="0.4"/>
    <row r="94" s="12" customFormat="1" x14ac:dyDescent="0.4"/>
    <row r="95" s="12" customFormat="1" x14ac:dyDescent="0.4"/>
    <row r="96" s="12" customFormat="1" x14ac:dyDescent="0.4"/>
    <row r="97" s="12" customFormat="1" x14ac:dyDescent="0.4"/>
    <row r="98" s="12" customFormat="1" x14ac:dyDescent="0.4"/>
    <row r="99" s="12" customFormat="1" x14ac:dyDescent="0.4"/>
    <row r="100" s="12" customFormat="1" x14ac:dyDescent="0.4"/>
    <row r="101" s="12" customFormat="1" x14ac:dyDescent="0.4"/>
    <row r="102" s="12" customFormat="1" x14ac:dyDescent="0.4"/>
    <row r="103" s="12" customFormat="1" x14ac:dyDescent="0.4"/>
    <row r="104" s="12" customFormat="1" x14ac:dyDescent="0.4"/>
    <row r="105" s="12" customFormat="1" x14ac:dyDescent="0.4"/>
    <row r="106" s="12" customFormat="1" x14ac:dyDescent="0.4"/>
    <row r="107" s="12" customFormat="1" x14ac:dyDescent="0.4"/>
    <row r="108" s="12" customFormat="1" x14ac:dyDescent="0.4"/>
    <row r="109" s="12" customFormat="1" x14ac:dyDescent="0.4"/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Chin State,Falam  District, Tonzaung Township"/>
  </hyperlinks>
  <pageMargins left="0.75" right="0.5" top="0.5" bottom="0.2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sqref="A1:E1"/>
    </sheetView>
  </sheetViews>
  <sheetFormatPr defaultRowHeight="24.75" customHeight="1" x14ac:dyDescent="0.4"/>
  <cols>
    <col min="1" max="1" width="4.7109375" style="1" customWidth="1"/>
    <col min="2" max="2" width="26.42578125" style="1" customWidth="1"/>
    <col min="3" max="5" width="15.7109375" style="1" customWidth="1"/>
    <col min="6" max="6" width="24.28515625" style="1" customWidth="1"/>
    <col min="7" max="7" width="18.7109375" style="1" customWidth="1"/>
    <col min="8" max="8" width="20.28515625" style="1" customWidth="1"/>
    <col min="9" max="16384" width="9.140625" style="1"/>
  </cols>
  <sheetData>
    <row r="1" spans="1:6" ht="24.75" customHeight="1" x14ac:dyDescent="0.4">
      <c r="A1" s="40" t="s">
        <v>509</v>
      </c>
      <c r="B1" s="39"/>
      <c r="C1" s="39"/>
      <c r="D1" s="39"/>
      <c r="E1" s="39"/>
    </row>
    <row r="2" spans="1:6" ht="24.75" customHeight="1" x14ac:dyDescent="0.4">
      <c r="B2" s="4"/>
      <c r="C2" s="4"/>
      <c r="D2" s="4"/>
      <c r="E2" s="37" t="s">
        <v>501</v>
      </c>
      <c r="F2" s="41"/>
    </row>
    <row r="3" spans="1:6" ht="24.75" customHeight="1" x14ac:dyDescent="0.4">
      <c r="B3" s="4"/>
      <c r="C3" s="4"/>
      <c r="D3" s="4"/>
      <c r="E3" s="37"/>
    </row>
    <row r="4" spans="1:6" ht="15" customHeight="1" x14ac:dyDescent="0.4"/>
    <row r="5" spans="1:6" ht="24.75" customHeight="1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6" ht="24.75" customHeight="1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6" ht="24.75" customHeight="1" x14ac:dyDescent="0.4">
      <c r="A7" s="5"/>
      <c r="B7" s="5" t="s">
        <v>517</v>
      </c>
      <c r="C7" s="17">
        <f>C9+C12</f>
        <v>6620</v>
      </c>
      <c r="D7" s="17">
        <f t="shared" ref="D7:E7" si="0">D9+D12</f>
        <v>3273</v>
      </c>
      <c r="E7" s="17">
        <f t="shared" si="0"/>
        <v>3347</v>
      </c>
    </row>
    <row r="8" spans="1:6" ht="13.5" customHeight="1" x14ac:dyDescent="0.4">
      <c r="A8" s="7"/>
      <c r="B8" s="18"/>
      <c r="C8" s="18"/>
      <c r="D8" s="18"/>
      <c r="E8" s="18"/>
    </row>
    <row r="9" spans="1:6" ht="24.75" customHeight="1" x14ac:dyDescent="0.4">
      <c r="A9" s="7"/>
      <c r="B9" s="15" t="s">
        <v>503</v>
      </c>
      <c r="C9" s="15">
        <f>SUM(C10+C11)</f>
        <v>3604</v>
      </c>
      <c r="D9" s="15">
        <f t="shared" ref="D9:E9" si="1">SUM(D10+D11)</f>
        <v>1741</v>
      </c>
      <c r="E9" s="15">
        <f t="shared" si="1"/>
        <v>1863</v>
      </c>
    </row>
    <row r="10" spans="1:6" ht="27" customHeight="1" x14ac:dyDescent="0.4">
      <c r="A10" s="6">
        <v>1</v>
      </c>
      <c r="B10" s="16" t="s">
        <v>39</v>
      </c>
      <c r="C10" s="16">
        <v>998</v>
      </c>
      <c r="D10" s="16">
        <v>478</v>
      </c>
      <c r="E10" s="16">
        <v>520</v>
      </c>
    </row>
    <row r="11" spans="1:6" ht="24.75" customHeight="1" x14ac:dyDescent="0.4">
      <c r="A11" s="6">
        <v>2</v>
      </c>
      <c r="B11" s="16" t="s">
        <v>40</v>
      </c>
      <c r="C11" s="16">
        <v>2606</v>
      </c>
      <c r="D11" s="16">
        <v>1263</v>
      </c>
      <c r="E11" s="16">
        <v>1343</v>
      </c>
    </row>
    <row r="12" spans="1:6" ht="24.75" customHeight="1" x14ac:dyDescent="0.4">
      <c r="A12" s="6"/>
      <c r="B12" s="15" t="s">
        <v>518</v>
      </c>
      <c r="C12" s="15">
        <f>SUM(C13:C18)</f>
        <v>3016</v>
      </c>
      <c r="D12" s="15">
        <f t="shared" ref="D12:E12" si="2">SUM(D13:D18)</f>
        <v>1532</v>
      </c>
      <c r="E12" s="15">
        <f t="shared" si="2"/>
        <v>1484</v>
      </c>
    </row>
    <row r="13" spans="1:6" ht="24.75" customHeight="1" x14ac:dyDescent="0.4">
      <c r="A13" s="6">
        <v>1</v>
      </c>
      <c r="B13" s="16" t="s">
        <v>245</v>
      </c>
      <c r="C13" s="16">
        <v>159</v>
      </c>
      <c r="D13" s="16">
        <v>82</v>
      </c>
      <c r="E13" s="16">
        <v>77</v>
      </c>
    </row>
    <row r="14" spans="1:6" ht="24.75" customHeight="1" x14ac:dyDescent="0.4">
      <c r="A14" s="6">
        <v>2</v>
      </c>
      <c r="B14" s="16" t="s">
        <v>246</v>
      </c>
      <c r="C14" s="16">
        <v>580</v>
      </c>
      <c r="D14" s="16">
        <v>282</v>
      </c>
      <c r="E14" s="16">
        <v>298</v>
      </c>
    </row>
    <row r="15" spans="1:6" ht="24.75" customHeight="1" x14ac:dyDescent="0.4">
      <c r="A15" s="6">
        <v>3</v>
      </c>
      <c r="B15" s="16" t="s">
        <v>247</v>
      </c>
      <c r="C15" s="16">
        <v>515</v>
      </c>
      <c r="D15" s="16">
        <v>265</v>
      </c>
      <c r="E15" s="16">
        <v>250</v>
      </c>
    </row>
    <row r="16" spans="1:6" ht="24.75" customHeight="1" x14ac:dyDescent="0.4">
      <c r="A16" s="6">
        <v>4</v>
      </c>
      <c r="B16" s="16" t="s">
        <v>248</v>
      </c>
      <c r="C16" s="16">
        <v>391</v>
      </c>
      <c r="D16" s="16">
        <v>192</v>
      </c>
      <c r="E16" s="16">
        <v>199</v>
      </c>
    </row>
    <row r="17" spans="1:5" ht="24.75" customHeight="1" x14ac:dyDescent="0.4">
      <c r="A17" s="6">
        <v>5</v>
      </c>
      <c r="B17" s="16" t="s">
        <v>249</v>
      </c>
      <c r="C17" s="16">
        <v>656</v>
      </c>
      <c r="D17" s="16">
        <v>343</v>
      </c>
      <c r="E17" s="16">
        <v>313</v>
      </c>
    </row>
    <row r="18" spans="1:5" ht="24.75" customHeight="1" x14ac:dyDescent="0.4">
      <c r="A18" s="8">
        <v>6</v>
      </c>
      <c r="B18" s="19" t="s">
        <v>250</v>
      </c>
      <c r="C18" s="19">
        <v>715</v>
      </c>
      <c r="D18" s="19">
        <v>368</v>
      </c>
      <c r="E18" s="19">
        <v>347</v>
      </c>
    </row>
    <row r="19" spans="1:5" ht="24.75" customHeight="1" x14ac:dyDescent="0.4">
      <c r="A19" s="13"/>
      <c r="B19" s="13"/>
      <c r="C19" s="13"/>
      <c r="D19" s="13"/>
      <c r="E19" s="13"/>
    </row>
    <row r="20" spans="1:5" ht="24.75" customHeight="1" x14ac:dyDescent="0.4">
      <c r="A20" s="13"/>
      <c r="B20" s="13"/>
      <c r="C20" s="13"/>
      <c r="D20" s="13"/>
      <c r="E20" s="13"/>
    </row>
    <row r="21" spans="1:5" ht="24.75" customHeight="1" x14ac:dyDescent="0.4">
      <c r="A21" s="13"/>
      <c r="B21" s="13"/>
      <c r="C21" s="13"/>
      <c r="D21" s="13"/>
      <c r="E21" s="13"/>
    </row>
    <row r="22" spans="1:5" ht="24.75" customHeight="1" x14ac:dyDescent="0.4">
      <c r="A22" s="13"/>
      <c r="B22" s="13"/>
      <c r="C22" s="13"/>
      <c r="D22" s="13"/>
      <c r="E22" s="13"/>
    </row>
    <row r="23" spans="1:5" ht="24.75" customHeight="1" x14ac:dyDescent="0.4">
      <c r="A23" s="13"/>
      <c r="B23" s="13"/>
      <c r="C23" s="13"/>
      <c r="D23" s="13"/>
      <c r="E23" s="13"/>
    </row>
    <row r="24" spans="1:5" ht="24.75" customHeight="1" x14ac:dyDescent="0.4">
      <c r="A24" s="13"/>
      <c r="B24" s="13"/>
      <c r="C24" s="13"/>
      <c r="D24" s="13"/>
      <c r="E24" s="13"/>
    </row>
    <row r="25" spans="1:5" ht="24.75" customHeight="1" x14ac:dyDescent="0.4">
      <c r="A25" s="13"/>
      <c r="B25" s="13"/>
      <c r="C25" s="13"/>
      <c r="D25" s="13"/>
      <c r="E25" s="13"/>
    </row>
    <row r="26" spans="1:5" ht="24.75" customHeight="1" x14ac:dyDescent="0.4">
      <c r="A26" s="13"/>
      <c r="B26" s="13"/>
      <c r="C26" s="13"/>
      <c r="D26" s="13"/>
      <c r="E26" s="13"/>
    </row>
    <row r="27" spans="1:5" ht="24.75" customHeight="1" x14ac:dyDescent="0.4">
      <c r="A27" s="13"/>
      <c r="B27" s="13"/>
      <c r="C27" s="13"/>
      <c r="D27" s="13"/>
      <c r="E27" s="13"/>
    </row>
    <row r="28" spans="1:5" ht="24.75" customHeight="1" x14ac:dyDescent="0.4">
      <c r="A28" s="13"/>
      <c r="B28" s="13"/>
      <c r="C28" s="13"/>
      <c r="D28" s="13"/>
      <c r="E28" s="13"/>
    </row>
    <row r="29" spans="1:5" ht="24.75" customHeight="1" x14ac:dyDescent="0.4">
      <c r="A29" s="13"/>
      <c r="B29" s="13"/>
      <c r="C29" s="13"/>
      <c r="D29" s="13"/>
      <c r="E29" s="13"/>
    </row>
    <row r="30" spans="1:5" ht="24.75" customHeight="1" x14ac:dyDescent="0.4">
      <c r="A30" s="13"/>
      <c r="B30" s="13"/>
      <c r="C30" s="13"/>
      <c r="D30" s="13"/>
      <c r="E30" s="13"/>
    </row>
    <row r="31" spans="1:5" ht="24.75" customHeight="1" x14ac:dyDescent="0.4">
      <c r="A31" s="13"/>
      <c r="B31" s="13"/>
      <c r="C31" s="13"/>
      <c r="D31" s="13"/>
      <c r="E31" s="13"/>
    </row>
    <row r="32" spans="1:5" ht="24.75" customHeight="1" x14ac:dyDescent="0.4">
      <c r="A32" s="13"/>
      <c r="B32" s="13"/>
      <c r="C32" s="13"/>
      <c r="D32" s="13"/>
      <c r="E32" s="13"/>
    </row>
    <row r="33" spans="1:6" ht="24.75" customHeight="1" x14ac:dyDescent="0.4">
      <c r="A33" s="13"/>
      <c r="B33" s="13"/>
      <c r="C33" s="13"/>
      <c r="D33" s="13"/>
      <c r="E33" s="13"/>
    </row>
    <row r="34" spans="1:6" ht="24.75" customHeight="1" x14ac:dyDescent="0.4">
      <c r="A34" s="13"/>
      <c r="B34" s="13"/>
      <c r="C34" s="13"/>
      <c r="D34" s="13"/>
      <c r="E34" s="13"/>
      <c r="F34" s="12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Chin State,Falam  District, Rihkhuadal  Sub-Township"/>
  </hyperlinks>
  <pageMargins left="0.75" right="0.5" top="0.5" bottom="0.2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26"/>
  <sheetViews>
    <sheetView workbookViewId="0">
      <selection sqref="A1:F1"/>
    </sheetView>
  </sheetViews>
  <sheetFormatPr defaultRowHeight="21.75" x14ac:dyDescent="0.4"/>
  <cols>
    <col min="1" max="1" width="3.28515625" style="1" customWidth="1"/>
    <col min="2" max="2" width="6" style="1" customWidth="1"/>
    <col min="3" max="3" width="26.140625" style="1" customWidth="1"/>
    <col min="4" max="6" width="15.7109375" style="1" customWidth="1"/>
    <col min="7" max="7" width="28.42578125" style="1" customWidth="1"/>
    <col min="8" max="8" width="9" style="1" customWidth="1"/>
    <col min="9" max="9" width="16.85546875" style="1" customWidth="1"/>
    <col min="10" max="10" width="23.5703125" style="1" customWidth="1"/>
    <col min="11" max="13" width="13.5703125" style="1" customWidth="1"/>
    <col min="14" max="16384" width="9.140625" style="1"/>
  </cols>
  <sheetData>
    <row r="1" spans="1:6" x14ac:dyDescent="0.4">
      <c r="A1" s="40" t="s">
        <v>510</v>
      </c>
      <c r="B1" s="40"/>
      <c r="C1" s="40"/>
      <c r="D1" s="40"/>
      <c r="E1" s="40"/>
      <c r="F1" s="40"/>
    </row>
    <row r="2" spans="1:6" x14ac:dyDescent="0.4">
      <c r="A2" s="11"/>
      <c r="C2" s="4"/>
      <c r="D2" s="4"/>
      <c r="E2" s="4"/>
      <c r="F2" s="37" t="s">
        <v>501</v>
      </c>
    </row>
    <row r="3" spans="1:6" x14ac:dyDescent="0.4">
      <c r="A3" s="3"/>
      <c r="C3" s="4"/>
      <c r="D3" s="4"/>
      <c r="E3" s="4"/>
      <c r="F3" s="37"/>
    </row>
    <row r="4" spans="1:6" ht="10.5" customHeight="1" x14ac:dyDescent="0.4">
      <c r="A4" s="2"/>
    </row>
    <row r="5" spans="1:6" x14ac:dyDescent="0.4">
      <c r="A5" s="20"/>
      <c r="B5" s="35" t="s">
        <v>502</v>
      </c>
      <c r="C5" s="35" t="s">
        <v>519</v>
      </c>
      <c r="D5" s="32" t="s">
        <v>500</v>
      </c>
      <c r="E5" s="33"/>
      <c r="F5" s="34"/>
    </row>
    <row r="6" spans="1:6" x14ac:dyDescent="0.4">
      <c r="A6" s="20"/>
      <c r="B6" s="36"/>
      <c r="C6" s="36"/>
      <c r="D6" s="9" t="s">
        <v>0</v>
      </c>
      <c r="E6" s="9" t="s">
        <v>1</v>
      </c>
      <c r="F6" s="9" t="s">
        <v>2</v>
      </c>
    </row>
    <row r="7" spans="1:6" x14ac:dyDescent="0.4">
      <c r="A7" s="21"/>
      <c r="B7" s="5"/>
      <c r="C7" s="5" t="s">
        <v>517</v>
      </c>
      <c r="D7" s="17">
        <f>D9+D12</f>
        <v>11156</v>
      </c>
      <c r="E7" s="17">
        <f t="shared" ref="E7:F7" si="0">E9+E12</f>
        <v>5585</v>
      </c>
      <c r="F7" s="17">
        <f t="shared" si="0"/>
        <v>5571</v>
      </c>
    </row>
    <row r="8" spans="1:6" ht="10.5" customHeight="1" x14ac:dyDescent="0.4">
      <c r="A8" s="21"/>
      <c r="B8" s="7"/>
      <c r="C8" s="18"/>
      <c r="D8" s="18"/>
      <c r="E8" s="18"/>
      <c r="F8" s="18"/>
    </row>
    <row r="9" spans="1:6" x14ac:dyDescent="0.4">
      <c r="A9" s="22"/>
      <c r="B9" s="7"/>
      <c r="C9" s="15" t="s">
        <v>503</v>
      </c>
      <c r="D9" s="15">
        <f>SUM(D10:D11)</f>
        <v>1450</v>
      </c>
      <c r="E9" s="15">
        <f t="shared" ref="E9:F9" si="1">SUM(E10:E11)</f>
        <v>732</v>
      </c>
      <c r="F9" s="15">
        <f t="shared" si="1"/>
        <v>718</v>
      </c>
    </row>
    <row r="10" spans="1:6" x14ac:dyDescent="0.4">
      <c r="A10" s="23"/>
      <c r="B10" s="6">
        <v>1</v>
      </c>
      <c r="C10" s="16" t="s">
        <v>39</v>
      </c>
      <c r="D10" s="16">
        <v>783</v>
      </c>
      <c r="E10" s="16">
        <v>403</v>
      </c>
      <c r="F10" s="16">
        <v>380</v>
      </c>
    </row>
    <row r="11" spans="1:6" x14ac:dyDescent="0.4">
      <c r="A11" s="23"/>
      <c r="B11" s="6">
        <v>2</v>
      </c>
      <c r="C11" s="16" t="s">
        <v>40</v>
      </c>
      <c r="D11" s="16">
        <v>667</v>
      </c>
      <c r="E11" s="16">
        <v>329</v>
      </c>
      <c r="F11" s="16">
        <v>338</v>
      </c>
    </row>
    <row r="12" spans="1:6" x14ac:dyDescent="0.4">
      <c r="A12" s="24"/>
      <c r="B12" s="7"/>
      <c r="C12" s="15" t="s">
        <v>518</v>
      </c>
      <c r="D12" s="15">
        <f>SUM(D13:D21)</f>
        <v>9706</v>
      </c>
      <c r="E12" s="15">
        <f t="shared" ref="E12:F12" si="2">SUM(E13:E21)</f>
        <v>4853</v>
      </c>
      <c r="F12" s="15">
        <f t="shared" si="2"/>
        <v>4853</v>
      </c>
    </row>
    <row r="13" spans="1:6" x14ac:dyDescent="0.4">
      <c r="A13" s="23"/>
      <c r="B13" s="6">
        <v>1</v>
      </c>
      <c r="C13" s="16" t="s">
        <v>251</v>
      </c>
      <c r="D13" s="16">
        <v>1301</v>
      </c>
      <c r="E13" s="16">
        <v>680</v>
      </c>
      <c r="F13" s="16">
        <v>621</v>
      </c>
    </row>
    <row r="14" spans="1:6" x14ac:dyDescent="0.4">
      <c r="A14" s="23"/>
      <c r="B14" s="6">
        <v>2</v>
      </c>
      <c r="C14" s="16" t="s">
        <v>252</v>
      </c>
      <c r="D14" s="16">
        <v>166</v>
      </c>
      <c r="E14" s="16">
        <v>82</v>
      </c>
      <c r="F14" s="16">
        <v>84</v>
      </c>
    </row>
    <row r="15" spans="1:6" x14ac:dyDescent="0.4">
      <c r="A15" s="23"/>
      <c r="B15" s="6">
        <v>3</v>
      </c>
      <c r="C15" s="16" t="s">
        <v>205</v>
      </c>
      <c r="D15" s="16">
        <v>747</v>
      </c>
      <c r="E15" s="16">
        <v>361</v>
      </c>
      <c r="F15" s="16">
        <v>386</v>
      </c>
    </row>
    <row r="16" spans="1:6" x14ac:dyDescent="0.4">
      <c r="A16" s="23"/>
      <c r="B16" s="6">
        <v>4</v>
      </c>
      <c r="C16" s="16" t="s">
        <v>253</v>
      </c>
      <c r="D16" s="16">
        <v>414</v>
      </c>
      <c r="E16" s="16">
        <v>193</v>
      </c>
      <c r="F16" s="16">
        <v>221</v>
      </c>
    </row>
    <row r="17" spans="1:6" x14ac:dyDescent="0.4">
      <c r="A17" s="23"/>
      <c r="B17" s="6">
        <v>5</v>
      </c>
      <c r="C17" s="16" t="s">
        <v>254</v>
      </c>
      <c r="D17" s="16">
        <v>1803</v>
      </c>
      <c r="E17" s="16">
        <v>885</v>
      </c>
      <c r="F17" s="16">
        <v>918</v>
      </c>
    </row>
    <row r="18" spans="1:6" x14ac:dyDescent="0.4">
      <c r="A18" s="23"/>
      <c r="B18" s="6">
        <v>6</v>
      </c>
      <c r="C18" s="16" t="s">
        <v>255</v>
      </c>
      <c r="D18" s="16">
        <v>1681</v>
      </c>
      <c r="E18" s="16">
        <v>847</v>
      </c>
      <c r="F18" s="16">
        <v>834</v>
      </c>
    </row>
    <row r="19" spans="1:6" x14ac:dyDescent="0.4">
      <c r="A19" s="23"/>
      <c r="B19" s="6">
        <v>7</v>
      </c>
      <c r="C19" s="16" t="s">
        <v>256</v>
      </c>
      <c r="D19" s="16">
        <v>2457</v>
      </c>
      <c r="E19" s="16">
        <v>1226</v>
      </c>
      <c r="F19" s="16">
        <v>1231</v>
      </c>
    </row>
    <row r="20" spans="1:6" x14ac:dyDescent="0.4">
      <c r="A20" s="23"/>
      <c r="B20" s="6">
        <v>8</v>
      </c>
      <c r="C20" s="16" t="s">
        <v>257</v>
      </c>
      <c r="D20" s="16">
        <v>346</v>
      </c>
      <c r="E20" s="16">
        <v>171</v>
      </c>
      <c r="F20" s="16">
        <v>175</v>
      </c>
    </row>
    <row r="21" spans="1:6" x14ac:dyDescent="0.4">
      <c r="A21" s="23"/>
      <c r="B21" s="8">
        <v>9</v>
      </c>
      <c r="C21" s="19" t="s">
        <v>258</v>
      </c>
      <c r="D21" s="19">
        <v>791</v>
      </c>
      <c r="E21" s="19">
        <v>408</v>
      </c>
      <c r="F21" s="19">
        <v>383</v>
      </c>
    </row>
    <row r="22" spans="1:6" ht="24.75" customHeight="1" x14ac:dyDescent="0.4"/>
    <row r="23" spans="1:6" ht="24.75" customHeight="1" x14ac:dyDescent="0.4"/>
    <row r="24" spans="1:6" ht="24.75" customHeight="1" x14ac:dyDescent="0.4"/>
    <row r="25" spans="1:6" ht="24.75" customHeight="1" x14ac:dyDescent="0.4"/>
    <row r="26" spans="1:6" ht="24.75" customHeight="1" x14ac:dyDescent="0.4"/>
  </sheetData>
  <mergeCells count="5">
    <mergeCell ref="F2:F3"/>
    <mergeCell ref="B5:B6"/>
    <mergeCell ref="C5:C6"/>
    <mergeCell ref="D5:F5"/>
    <mergeCell ref="A1:F1"/>
  </mergeCells>
  <hyperlinks>
    <hyperlink ref="A1:F1" location="'List of Township'!A1" display="Chin State,Falam  District, Cikha Sub-Township"/>
  </hyperlinks>
  <pageMargins left="0.75" right="0.5" top="0.5" bottom="0.2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1"/>
  <sheetViews>
    <sheetView workbookViewId="0">
      <selection sqref="A1:F1"/>
    </sheetView>
  </sheetViews>
  <sheetFormatPr defaultRowHeight="24.75" customHeight="1" x14ac:dyDescent="0.4"/>
  <cols>
    <col min="1" max="1" width="4.85546875" style="1" customWidth="1"/>
    <col min="2" max="2" width="7.42578125" style="1" customWidth="1"/>
    <col min="3" max="3" width="25.140625" style="1" customWidth="1"/>
    <col min="4" max="6" width="15.7109375" style="1" customWidth="1"/>
    <col min="7" max="7" width="32.140625" style="1" customWidth="1"/>
    <col min="8" max="8" width="18.5703125" style="1" customWidth="1"/>
    <col min="9" max="9" width="14.7109375" style="1" customWidth="1"/>
    <col min="10" max="10" width="15.28515625" style="1" customWidth="1"/>
    <col min="11" max="16384" width="9.140625" style="1"/>
  </cols>
  <sheetData>
    <row r="1" spans="1:11" ht="24.75" customHeight="1" x14ac:dyDescent="0.4">
      <c r="A1" s="40" t="s">
        <v>511</v>
      </c>
      <c r="B1" s="40"/>
      <c r="C1" s="40"/>
      <c r="D1" s="40"/>
      <c r="E1" s="40"/>
      <c r="F1" s="40"/>
    </row>
    <row r="2" spans="1:11" ht="24.75" customHeight="1" x14ac:dyDescent="0.4">
      <c r="C2" s="4"/>
      <c r="D2" s="4"/>
      <c r="E2" s="4"/>
      <c r="F2" s="37" t="s">
        <v>501</v>
      </c>
    </row>
    <row r="3" spans="1:11" ht="21.75" x14ac:dyDescent="0.4">
      <c r="C3" s="4"/>
      <c r="D3" s="4"/>
      <c r="E3" s="4"/>
      <c r="F3" s="37"/>
    </row>
    <row r="4" spans="1:11" ht="10.5" customHeight="1" x14ac:dyDescent="0.4"/>
    <row r="5" spans="1:11" ht="24.75" customHeight="1" x14ac:dyDescent="0.4">
      <c r="B5" s="35" t="s">
        <v>502</v>
      </c>
      <c r="C5" s="35" t="s">
        <v>519</v>
      </c>
      <c r="D5" s="32" t="s">
        <v>500</v>
      </c>
      <c r="E5" s="33"/>
      <c r="F5" s="34"/>
    </row>
    <row r="6" spans="1:11" ht="24.75" customHeight="1" x14ac:dyDescent="0.4">
      <c r="B6" s="36"/>
      <c r="C6" s="36"/>
      <c r="D6" s="9" t="s">
        <v>0</v>
      </c>
      <c r="E6" s="9" t="s">
        <v>1</v>
      </c>
      <c r="F6" s="9" t="s">
        <v>2</v>
      </c>
    </row>
    <row r="7" spans="1:11" ht="24.75" customHeight="1" x14ac:dyDescent="0.4">
      <c r="B7" s="5"/>
      <c r="C7" s="5" t="s">
        <v>517</v>
      </c>
      <c r="D7" s="5">
        <f>D9+D14</f>
        <v>42600</v>
      </c>
      <c r="E7" s="5">
        <f t="shared" ref="E7:F7" si="0">E9+E14</f>
        <v>19727</v>
      </c>
      <c r="F7" s="5">
        <f t="shared" si="0"/>
        <v>22873</v>
      </c>
      <c r="I7" s="14"/>
      <c r="J7" s="14"/>
      <c r="K7" s="14"/>
    </row>
    <row r="8" spans="1:11" ht="10.5" customHeight="1" x14ac:dyDescent="0.4">
      <c r="B8" s="7"/>
      <c r="C8" s="10"/>
      <c r="D8" s="10"/>
      <c r="E8" s="10"/>
      <c r="F8" s="10"/>
      <c r="I8" s="13"/>
      <c r="J8" s="13"/>
      <c r="K8" s="13"/>
    </row>
    <row r="9" spans="1:11" ht="21.75" x14ac:dyDescent="0.4">
      <c r="B9" s="7"/>
      <c r="C9" s="15" t="s">
        <v>503</v>
      </c>
      <c r="D9" s="7">
        <f>SUM(D10:D13)</f>
        <v>11505</v>
      </c>
      <c r="E9" s="7">
        <f t="shared" ref="E9:F9" si="1">SUM(E10:E13)</f>
        <v>5267</v>
      </c>
      <c r="F9" s="7">
        <f t="shared" si="1"/>
        <v>6238</v>
      </c>
      <c r="K9" s="13"/>
    </row>
    <row r="10" spans="1:11" ht="21.75" x14ac:dyDescent="0.4">
      <c r="B10" s="6">
        <v>1</v>
      </c>
      <c r="C10" s="6" t="s">
        <v>259</v>
      </c>
      <c r="D10" s="6">
        <v>2475</v>
      </c>
      <c r="E10" s="6">
        <v>1144</v>
      </c>
      <c r="F10" s="6">
        <v>1331</v>
      </c>
      <c r="G10" s="13"/>
      <c r="H10" s="13"/>
      <c r="I10" s="13"/>
    </row>
    <row r="11" spans="1:11" ht="21.75" x14ac:dyDescent="0.4">
      <c r="B11" s="6">
        <v>2</v>
      </c>
      <c r="C11" s="6" t="s">
        <v>260</v>
      </c>
      <c r="D11" s="6">
        <v>1631</v>
      </c>
      <c r="E11" s="6">
        <v>727</v>
      </c>
      <c r="F11" s="6">
        <v>904</v>
      </c>
      <c r="G11" s="13"/>
      <c r="H11" s="13"/>
      <c r="I11" s="13"/>
    </row>
    <row r="12" spans="1:11" ht="21.75" x14ac:dyDescent="0.4">
      <c r="B12" s="6">
        <v>3</v>
      </c>
      <c r="C12" s="6" t="s">
        <v>261</v>
      </c>
      <c r="D12" s="6">
        <v>2030</v>
      </c>
      <c r="E12" s="6">
        <v>922</v>
      </c>
      <c r="F12" s="6">
        <v>1108</v>
      </c>
      <c r="G12" s="13"/>
      <c r="H12" s="13"/>
      <c r="I12" s="13"/>
    </row>
    <row r="13" spans="1:11" ht="21.75" x14ac:dyDescent="0.4">
      <c r="B13" s="6">
        <v>4</v>
      </c>
      <c r="C13" s="6" t="s">
        <v>262</v>
      </c>
      <c r="D13" s="6">
        <v>5369</v>
      </c>
      <c r="E13" s="6">
        <v>2474</v>
      </c>
      <c r="F13" s="6">
        <v>2895</v>
      </c>
      <c r="G13" s="13"/>
      <c r="H13" s="13"/>
      <c r="I13" s="13"/>
    </row>
    <row r="14" spans="1:11" ht="21.75" x14ac:dyDescent="0.4">
      <c r="B14" s="6"/>
      <c r="C14" s="15" t="s">
        <v>518</v>
      </c>
      <c r="D14" s="7">
        <f>SUM(D15:D61)</f>
        <v>31095</v>
      </c>
      <c r="E14" s="7">
        <f t="shared" ref="E14:F14" si="2">SUM(E15:E61)</f>
        <v>14460</v>
      </c>
      <c r="F14" s="7">
        <f t="shared" si="2"/>
        <v>16635</v>
      </c>
      <c r="G14" s="13"/>
      <c r="H14" s="13"/>
      <c r="I14" s="13"/>
    </row>
    <row r="15" spans="1:11" ht="21.75" x14ac:dyDescent="0.4">
      <c r="B15" s="6">
        <v>1</v>
      </c>
      <c r="C15" s="6" t="s">
        <v>264</v>
      </c>
      <c r="D15" s="6">
        <v>521</v>
      </c>
      <c r="E15" s="6">
        <v>234</v>
      </c>
      <c r="F15" s="6">
        <v>287</v>
      </c>
      <c r="G15" s="13"/>
      <c r="H15" s="13"/>
      <c r="I15" s="13"/>
    </row>
    <row r="16" spans="1:11" ht="21.75" x14ac:dyDescent="0.4">
      <c r="B16" s="6">
        <v>2</v>
      </c>
      <c r="C16" s="6" t="s">
        <v>265</v>
      </c>
      <c r="D16" s="6">
        <v>495</v>
      </c>
      <c r="E16" s="6">
        <v>220</v>
      </c>
      <c r="F16" s="6">
        <v>275</v>
      </c>
      <c r="G16" s="13"/>
      <c r="H16" s="13"/>
      <c r="I16" s="13"/>
    </row>
    <row r="17" spans="2:9" ht="21.75" x14ac:dyDescent="0.4">
      <c r="B17" s="6">
        <v>3</v>
      </c>
      <c r="C17" s="6" t="s">
        <v>266</v>
      </c>
      <c r="D17" s="6">
        <v>509</v>
      </c>
      <c r="E17" s="6">
        <v>247</v>
      </c>
      <c r="F17" s="6">
        <v>262</v>
      </c>
      <c r="G17" s="13"/>
      <c r="H17" s="13"/>
      <c r="I17" s="13"/>
    </row>
    <row r="18" spans="2:9" ht="21.75" x14ac:dyDescent="0.4">
      <c r="B18" s="6">
        <v>4</v>
      </c>
      <c r="C18" s="6" t="s">
        <v>267</v>
      </c>
      <c r="D18" s="6">
        <v>859</v>
      </c>
      <c r="E18" s="6">
        <v>404</v>
      </c>
      <c r="F18" s="6">
        <v>455</v>
      </c>
      <c r="G18" s="13"/>
      <c r="H18" s="13"/>
      <c r="I18" s="13"/>
    </row>
    <row r="19" spans="2:9" ht="21.75" x14ac:dyDescent="0.4">
      <c r="B19" s="6">
        <v>5</v>
      </c>
      <c r="C19" s="6" t="s">
        <v>268</v>
      </c>
      <c r="D19" s="6">
        <v>695</v>
      </c>
      <c r="E19" s="6">
        <v>323</v>
      </c>
      <c r="F19" s="6">
        <v>372</v>
      </c>
      <c r="G19" s="13"/>
      <c r="H19" s="13"/>
      <c r="I19" s="13"/>
    </row>
    <row r="20" spans="2:9" ht="21.75" x14ac:dyDescent="0.4">
      <c r="B20" s="6">
        <v>6</v>
      </c>
      <c r="C20" s="6" t="s">
        <v>269</v>
      </c>
      <c r="D20" s="6">
        <v>688</v>
      </c>
      <c r="E20" s="6">
        <v>337</v>
      </c>
      <c r="F20" s="6">
        <v>351</v>
      </c>
      <c r="G20" s="13"/>
      <c r="H20" s="13"/>
      <c r="I20" s="13"/>
    </row>
    <row r="21" spans="2:9" ht="21.75" x14ac:dyDescent="0.4">
      <c r="B21" s="6">
        <v>7</v>
      </c>
      <c r="C21" s="6" t="s">
        <v>270</v>
      </c>
      <c r="D21" s="6">
        <v>948</v>
      </c>
      <c r="E21" s="6">
        <v>428</v>
      </c>
      <c r="F21" s="6">
        <v>520</v>
      </c>
      <c r="G21" s="13"/>
      <c r="H21" s="13"/>
      <c r="I21" s="13"/>
    </row>
    <row r="22" spans="2:9" ht="21.75" x14ac:dyDescent="0.4">
      <c r="B22" s="6">
        <v>8</v>
      </c>
      <c r="C22" s="6" t="s">
        <v>271</v>
      </c>
      <c r="D22" s="6">
        <v>1172</v>
      </c>
      <c r="E22" s="6">
        <v>519</v>
      </c>
      <c r="F22" s="6">
        <v>653</v>
      </c>
      <c r="G22" s="13"/>
      <c r="H22" s="13"/>
      <c r="I22" s="13"/>
    </row>
    <row r="23" spans="2:9" ht="21.75" x14ac:dyDescent="0.4">
      <c r="B23" s="6">
        <v>9</v>
      </c>
      <c r="C23" s="6" t="s">
        <v>272</v>
      </c>
      <c r="D23" s="6">
        <v>791</v>
      </c>
      <c r="E23" s="6">
        <v>381</v>
      </c>
      <c r="F23" s="6">
        <v>410</v>
      </c>
      <c r="G23" s="13"/>
      <c r="H23" s="13"/>
      <c r="I23" s="13"/>
    </row>
    <row r="24" spans="2:9" ht="21.75" x14ac:dyDescent="0.4">
      <c r="B24" s="6">
        <v>10</v>
      </c>
      <c r="C24" s="6" t="s">
        <v>273</v>
      </c>
      <c r="D24" s="6">
        <v>368</v>
      </c>
      <c r="E24" s="6">
        <v>179</v>
      </c>
      <c r="F24" s="6">
        <v>189</v>
      </c>
      <c r="G24" s="13"/>
      <c r="H24" s="13"/>
      <c r="I24" s="13"/>
    </row>
    <row r="25" spans="2:9" ht="21.75" x14ac:dyDescent="0.4">
      <c r="B25" s="6">
        <v>11</v>
      </c>
      <c r="C25" s="6" t="s">
        <v>274</v>
      </c>
      <c r="D25" s="6">
        <v>411</v>
      </c>
      <c r="E25" s="6">
        <v>202</v>
      </c>
      <c r="F25" s="6">
        <v>209</v>
      </c>
      <c r="G25" s="13"/>
      <c r="H25" s="13"/>
      <c r="I25" s="13"/>
    </row>
    <row r="26" spans="2:9" ht="21.75" x14ac:dyDescent="0.4">
      <c r="B26" s="6">
        <v>12</v>
      </c>
      <c r="C26" s="6" t="s">
        <v>275</v>
      </c>
      <c r="D26" s="6">
        <v>675</v>
      </c>
      <c r="E26" s="6">
        <v>317</v>
      </c>
      <c r="F26" s="6">
        <v>358</v>
      </c>
      <c r="G26" s="13"/>
      <c r="H26" s="13"/>
      <c r="I26" s="13"/>
    </row>
    <row r="27" spans="2:9" ht="21.75" x14ac:dyDescent="0.4">
      <c r="B27" s="6">
        <v>13</v>
      </c>
      <c r="C27" s="6" t="s">
        <v>276</v>
      </c>
      <c r="D27" s="6">
        <v>525</v>
      </c>
      <c r="E27" s="6">
        <v>227</v>
      </c>
      <c r="F27" s="6">
        <v>298</v>
      </c>
      <c r="G27" s="13"/>
      <c r="H27" s="13"/>
      <c r="I27" s="13"/>
    </row>
    <row r="28" spans="2:9" ht="21.75" x14ac:dyDescent="0.4">
      <c r="B28" s="6">
        <v>14</v>
      </c>
      <c r="C28" s="6" t="s">
        <v>277</v>
      </c>
      <c r="D28" s="6">
        <v>1282</v>
      </c>
      <c r="E28" s="6">
        <v>597</v>
      </c>
      <c r="F28" s="6">
        <v>685</v>
      </c>
      <c r="G28" s="13"/>
      <c r="H28" s="13"/>
      <c r="I28" s="13"/>
    </row>
    <row r="29" spans="2:9" ht="21.75" x14ac:dyDescent="0.4">
      <c r="B29" s="6">
        <v>15</v>
      </c>
      <c r="C29" s="6" t="s">
        <v>278</v>
      </c>
      <c r="D29" s="6">
        <v>837</v>
      </c>
      <c r="E29" s="6">
        <v>398</v>
      </c>
      <c r="F29" s="6">
        <v>439</v>
      </c>
      <c r="G29" s="13"/>
      <c r="H29" s="13"/>
      <c r="I29" s="13"/>
    </row>
    <row r="30" spans="2:9" ht="21.75" x14ac:dyDescent="0.4">
      <c r="B30" s="6">
        <v>16</v>
      </c>
      <c r="C30" s="6" t="s">
        <v>279</v>
      </c>
      <c r="D30" s="6">
        <v>408</v>
      </c>
      <c r="E30" s="6">
        <v>194</v>
      </c>
      <c r="F30" s="6">
        <v>214</v>
      </c>
      <c r="G30" s="13"/>
      <c r="H30" s="13"/>
      <c r="I30" s="13"/>
    </row>
    <row r="31" spans="2:9" ht="21.75" x14ac:dyDescent="0.4">
      <c r="B31" s="6">
        <v>17</v>
      </c>
      <c r="C31" s="6" t="s">
        <v>280</v>
      </c>
      <c r="D31" s="6">
        <v>517</v>
      </c>
      <c r="E31" s="6">
        <v>241</v>
      </c>
      <c r="F31" s="6">
        <v>276</v>
      </c>
      <c r="G31" s="13"/>
      <c r="H31" s="13"/>
      <c r="I31" s="13"/>
    </row>
    <row r="32" spans="2:9" ht="21.75" x14ac:dyDescent="0.4">
      <c r="B32" s="6">
        <v>18</v>
      </c>
      <c r="C32" s="6" t="s">
        <v>281</v>
      </c>
      <c r="D32" s="6">
        <v>1218</v>
      </c>
      <c r="E32" s="6">
        <v>567</v>
      </c>
      <c r="F32" s="6">
        <v>651</v>
      </c>
      <c r="G32" s="13"/>
      <c r="H32" s="13"/>
      <c r="I32" s="13"/>
    </row>
    <row r="33" spans="2:9" ht="21.75" x14ac:dyDescent="0.4">
      <c r="B33" s="6">
        <v>19</v>
      </c>
      <c r="C33" s="6" t="s">
        <v>282</v>
      </c>
      <c r="D33" s="6">
        <v>619</v>
      </c>
      <c r="E33" s="6">
        <v>285</v>
      </c>
      <c r="F33" s="6">
        <v>334</v>
      </c>
      <c r="G33" s="13"/>
      <c r="H33" s="13"/>
      <c r="I33" s="13"/>
    </row>
    <row r="34" spans="2:9" ht="21.75" x14ac:dyDescent="0.4">
      <c r="B34" s="6">
        <v>20</v>
      </c>
      <c r="C34" s="6" t="s">
        <v>283</v>
      </c>
      <c r="D34" s="6">
        <v>647</v>
      </c>
      <c r="E34" s="6">
        <v>295</v>
      </c>
      <c r="F34" s="6">
        <v>352</v>
      </c>
      <c r="G34" s="13"/>
      <c r="H34" s="13"/>
      <c r="I34" s="13"/>
    </row>
    <row r="35" spans="2:9" ht="21.75" x14ac:dyDescent="0.4">
      <c r="B35" s="6">
        <v>21</v>
      </c>
      <c r="C35" s="6" t="s">
        <v>284</v>
      </c>
      <c r="D35" s="6">
        <v>693</v>
      </c>
      <c r="E35" s="6">
        <v>315</v>
      </c>
      <c r="F35" s="6">
        <v>378</v>
      </c>
      <c r="G35" s="13"/>
      <c r="H35" s="13"/>
      <c r="I35" s="13"/>
    </row>
    <row r="36" spans="2:9" ht="21.75" x14ac:dyDescent="0.4">
      <c r="B36" s="6">
        <v>22</v>
      </c>
      <c r="C36" s="6" t="s">
        <v>285</v>
      </c>
      <c r="D36" s="6">
        <v>1201</v>
      </c>
      <c r="E36" s="6">
        <v>549</v>
      </c>
      <c r="F36" s="6">
        <v>652</v>
      </c>
      <c r="G36" s="13"/>
      <c r="H36" s="13"/>
      <c r="I36" s="13"/>
    </row>
    <row r="37" spans="2:9" ht="21.75" x14ac:dyDescent="0.4">
      <c r="B37" s="6">
        <v>23</v>
      </c>
      <c r="C37" s="6" t="s">
        <v>286</v>
      </c>
      <c r="D37" s="6">
        <v>1242</v>
      </c>
      <c r="E37" s="6">
        <v>563</v>
      </c>
      <c r="F37" s="6">
        <v>679</v>
      </c>
      <c r="G37" s="13"/>
      <c r="H37" s="13"/>
      <c r="I37" s="13"/>
    </row>
    <row r="38" spans="2:9" ht="21.75" x14ac:dyDescent="0.4">
      <c r="B38" s="6">
        <v>24</v>
      </c>
      <c r="C38" s="6" t="s">
        <v>287</v>
      </c>
      <c r="D38" s="6">
        <v>1296</v>
      </c>
      <c r="E38" s="6">
        <v>573</v>
      </c>
      <c r="F38" s="6">
        <v>723</v>
      </c>
      <c r="G38" s="13"/>
      <c r="H38" s="13"/>
      <c r="I38" s="13"/>
    </row>
    <row r="39" spans="2:9" ht="21.75" x14ac:dyDescent="0.4">
      <c r="B39" s="6">
        <v>25</v>
      </c>
      <c r="C39" s="6" t="s">
        <v>288</v>
      </c>
      <c r="D39" s="6">
        <v>1102</v>
      </c>
      <c r="E39" s="6">
        <v>510</v>
      </c>
      <c r="F39" s="6">
        <v>592</v>
      </c>
      <c r="G39" s="13"/>
      <c r="H39" s="13"/>
      <c r="I39" s="13"/>
    </row>
    <row r="40" spans="2:9" ht="21.75" x14ac:dyDescent="0.4">
      <c r="B40" s="6">
        <v>26</v>
      </c>
      <c r="C40" s="6" t="s">
        <v>289</v>
      </c>
      <c r="D40" s="6">
        <v>710</v>
      </c>
      <c r="E40" s="6">
        <v>338</v>
      </c>
      <c r="F40" s="6">
        <v>372</v>
      </c>
      <c r="G40" s="13"/>
      <c r="H40" s="13"/>
      <c r="I40" s="13"/>
    </row>
    <row r="41" spans="2:9" ht="21.75" x14ac:dyDescent="0.4">
      <c r="B41" s="6">
        <v>27</v>
      </c>
      <c r="C41" s="6" t="s">
        <v>290</v>
      </c>
      <c r="D41" s="6">
        <v>667</v>
      </c>
      <c r="E41" s="6">
        <v>303</v>
      </c>
      <c r="F41" s="6">
        <v>364</v>
      </c>
      <c r="G41" s="13"/>
      <c r="H41" s="13"/>
      <c r="I41" s="13"/>
    </row>
    <row r="42" spans="2:9" ht="21.75" x14ac:dyDescent="0.4">
      <c r="B42" s="6">
        <v>28</v>
      </c>
      <c r="C42" s="6" t="s">
        <v>291</v>
      </c>
      <c r="D42" s="6">
        <v>823</v>
      </c>
      <c r="E42" s="6">
        <v>383</v>
      </c>
      <c r="F42" s="6">
        <v>440</v>
      </c>
      <c r="G42" s="13"/>
      <c r="H42" s="13"/>
      <c r="I42" s="13"/>
    </row>
    <row r="43" spans="2:9" ht="21.75" x14ac:dyDescent="0.4">
      <c r="B43" s="6">
        <v>29</v>
      </c>
      <c r="C43" s="6" t="s">
        <v>292</v>
      </c>
      <c r="D43" s="6">
        <v>456</v>
      </c>
      <c r="E43" s="6">
        <v>206</v>
      </c>
      <c r="F43" s="6">
        <v>250</v>
      </c>
      <c r="G43" s="13"/>
      <c r="H43" s="13"/>
      <c r="I43" s="13"/>
    </row>
    <row r="44" spans="2:9" ht="21.75" x14ac:dyDescent="0.4">
      <c r="B44" s="6">
        <v>30</v>
      </c>
      <c r="C44" s="6" t="s">
        <v>293</v>
      </c>
      <c r="D44" s="6">
        <v>895</v>
      </c>
      <c r="E44" s="6">
        <v>435</v>
      </c>
      <c r="F44" s="6">
        <v>460</v>
      </c>
      <c r="G44" s="13"/>
      <c r="H44" s="13"/>
      <c r="I44" s="13"/>
    </row>
    <row r="45" spans="2:9" ht="21.75" x14ac:dyDescent="0.4">
      <c r="B45" s="6">
        <v>31</v>
      </c>
      <c r="C45" s="6" t="s">
        <v>294</v>
      </c>
      <c r="D45" s="6">
        <v>576</v>
      </c>
      <c r="E45" s="6">
        <v>253</v>
      </c>
      <c r="F45" s="6">
        <v>323</v>
      </c>
      <c r="G45" s="13"/>
      <c r="H45" s="13"/>
      <c r="I45" s="13"/>
    </row>
    <row r="46" spans="2:9" ht="21.75" x14ac:dyDescent="0.4">
      <c r="B46" s="6">
        <v>32</v>
      </c>
      <c r="C46" s="6" t="s">
        <v>295</v>
      </c>
      <c r="D46" s="6">
        <v>306</v>
      </c>
      <c r="E46" s="6">
        <v>158</v>
      </c>
      <c r="F46" s="6">
        <v>148</v>
      </c>
      <c r="G46" s="13"/>
      <c r="H46" s="13"/>
      <c r="I46" s="13"/>
    </row>
    <row r="47" spans="2:9" ht="21.75" x14ac:dyDescent="0.4">
      <c r="B47" s="6">
        <v>33</v>
      </c>
      <c r="C47" s="6" t="s">
        <v>296</v>
      </c>
      <c r="D47" s="6">
        <v>314</v>
      </c>
      <c r="E47" s="6">
        <v>139</v>
      </c>
      <c r="F47" s="6">
        <v>175</v>
      </c>
      <c r="G47" s="13"/>
      <c r="H47" s="13"/>
      <c r="I47" s="13"/>
    </row>
    <row r="48" spans="2:9" ht="21.75" x14ac:dyDescent="0.4">
      <c r="B48" s="6">
        <v>34</v>
      </c>
      <c r="C48" s="6" t="s">
        <v>297</v>
      </c>
      <c r="D48" s="6">
        <v>388</v>
      </c>
      <c r="E48" s="6">
        <v>169</v>
      </c>
      <c r="F48" s="6">
        <v>219</v>
      </c>
      <c r="G48" s="13"/>
      <c r="H48" s="13"/>
      <c r="I48" s="13"/>
    </row>
    <row r="49" spans="2:9" ht="21.75" x14ac:dyDescent="0.4">
      <c r="B49" s="6">
        <v>35</v>
      </c>
      <c r="C49" s="6" t="s">
        <v>298</v>
      </c>
      <c r="D49" s="6">
        <v>227</v>
      </c>
      <c r="E49" s="6">
        <v>95</v>
      </c>
      <c r="F49" s="6">
        <v>132</v>
      </c>
      <c r="G49" s="13"/>
      <c r="H49" s="13"/>
      <c r="I49" s="13"/>
    </row>
    <row r="50" spans="2:9" ht="24" customHeight="1" x14ac:dyDescent="0.4">
      <c r="B50" s="6">
        <v>36</v>
      </c>
      <c r="C50" s="6" t="s">
        <v>299</v>
      </c>
      <c r="D50" s="6">
        <v>363</v>
      </c>
      <c r="E50" s="6">
        <v>165</v>
      </c>
      <c r="F50" s="6">
        <v>198</v>
      </c>
      <c r="G50" s="13"/>
      <c r="H50" s="13"/>
      <c r="I50" s="13"/>
    </row>
    <row r="51" spans="2:9" ht="21.75" x14ac:dyDescent="0.4">
      <c r="B51" s="6">
        <v>37</v>
      </c>
      <c r="C51" s="6" t="s">
        <v>300</v>
      </c>
      <c r="D51" s="6">
        <v>349</v>
      </c>
      <c r="E51" s="6">
        <v>164</v>
      </c>
      <c r="F51" s="6">
        <v>185</v>
      </c>
      <c r="G51" s="13"/>
      <c r="H51" s="13"/>
      <c r="I51" s="13"/>
    </row>
    <row r="52" spans="2:9" ht="21.75" x14ac:dyDescent="0.4">
      <c r="B52" s="6">
        <v>38</v>
      </c>
      <c r="C52" s="6" t="s">
        <v>301</v>
      </c>
      <c r="D52" s="6">
        <v>642</v>
      </c>
      <c r="E52" s="6">
        <v>297</v>
      </c>
      <c r="F52" s="6">
        <v>345</v>
      </c>
      <c r="G52" s="13"/>
      <c r="H52" s="13"/>
      <c r="I52" s="13"/>
    </row>
    <row r="53" spans="2:9" ht="21.75" x14ac:dyDescent="0.4">
      <c r="B53" s="6">
        <v>39</v>
      </c>
      <c r="C53" s="6" t="s">
        <v>302</v>
      </c>
      <c r="D53" s="6">
        <v>374</v>
      </c>
      <c r="E53" s="6">
        <v>175</v>
      </c>
      <c r="F53" s="6">
        <v>199</v>
      </c>
      <c r="G53" s="13"/>
      <c r="H53" s="13"/>
      <c r="I53" s="13"/>
    </row>
    <row r="54" spans="2:9" ht="21.75" x14ac:dyDescent="0.4">
      <c r="B54" s="6">
        <v>40</v>
      </c>
      <c r="C54" s="6" t="s">
        <v>303</v>
      </c>
      <c r="D54" s="6">
        <v>669</v>
      </c>
      <c r="E54" s="6">
        <v>315</v>
      </c>
      <c r="F54" s="6">
        <v>354</v>
      </c>
      <c r="G54" s="13"/>
      <c r="H54" s="13"/>
      <c r="I54" s="13"/>
    </row>
    <row r="55" spans="2:9" ht="21.75" x14ac:dyDescent="0.4">
      <c r="B55" s="6">
        <v>41</v>
      </c>
      <c r="C55" s="6" t="s">
        <v>304</v>
      </c>
      <c r="D55" s="6">
        <v>257</v>
      </c>
      <c r="E55" s="6">
        <v>116</v>
      </c>
      <c r="F55" s="6">
        <v>141</v>
      </c>
      <c r="G55" s="13"/>
      <c r="H55" s="13"/>
      <c r="I55" s="13"/>
    </row>
    <row r="56" spans="2:9" ht="21.75" x14ac:dyDescent="0.4">
      <c r="B56" s="6">
        <v>42</v>
      </c>
      <c r="C56" s="6" t="s">
        <v>305</v>
      </c>
      <c r="D56" s="6">
        <v>845</v>
      </c>
      <c r="E56" s="6">
        <v>398</v>
      </c>
      <c r="F56" s="6">
        <v>447</v>
      </c>
      <c r="G56" s="13"/>
      <c r="H56" s="13"/>
      <c r="I56" s="13"/>
    </row>
    <row r="57" spans="2:9" ht="21.75" x14ac:dyDescent="0.4">
      <c r="B57" s="6">
        <v>43</v>
      </c>
      <c r="C57" s="6" t="s">
        <v>306</v>
      </c>
      <c r="D57" s="6">
        <v>631</v>
      </c>
      <c r="E57" s="6">
        <v>300</v>
      </c>
      <c r="F57" s="6">
        <v>331</v>
      </c>
      <c r="G57" s="13"/>
      <c r="H57" s="13"/>
      <c r="I57" s="13"/>
    </row>
    <row r="58" spans="2:9" ht="21.75" x14ac:dyDescent="0.4">
      <c r="B58" s="6">
        <v>44</v>
      </c>
      <c r="C58" s="6" t="s">
        <v>307</v>
      </c>
      <c r="D58" s="6">
        <v>317</v>
      </c>
      <c r="E58" s="6">
        <v>155</v>
      </c>
      <c r="F58" s="6">
        <v>162</v>
      </c>
      <c r="G58" s="13"/>
      <c r="H58" s="13"/>
      <c r="I58" s="13"/>
    </row>
    <row r="59" spans="2:9" ht="21.75" x14ac:dyDescent="0.4">
      <c r="B59" s="6">
        <v>45</v>
      </c>
      <c r="C59" s="6" t="s">
        <v>308</v>
      </c>
      <c r="D59" s="6">
        <v>647</v>
      </c>
      <c r="E59" s="6">
        <v>320</v>
      </c>
      <c r="F59" s="6">
        <v>327</v>
      </c>
      <c r="G59" s="13"/>
      <c r="H59" s="13"/>
      <c r="I59" s="13"/>
    </row>
    <row r="60" spans="2:9" ht="21.75" x14ac:dyDescent="0.4">
      <c r="B60" s="6">
        <v>46</v>
      </c>
      <c r="C60" s="6" t="s">
        <v>309</v>
      </c>
      <c r="D60" s="6">
        <v>397</v>
      </c>
      <c r="E60" s="6">
        <v>192</v>
      </c>
      <c r="F60" s="6">
        <v>205</v>
      </c>
      <c r="G60" s="13"/>
      <c r="H60" s="13"/>
      <c r="I60" s="13"/>
    </row>
    <row r="61" spans="2:9" ht="21.75" x14ac:dyDescent="0.4">
      <c r="B61" s="8">
        <v>47</v>
      </c>
      <c r="C61" s="8" t="s">
        <v>263</v>
      </c>
      <c r="D61" s="8">
        <v>523</v>
      </c>
      <c r="E61" s="8">
        <v>279</v>
      </c>
      <c r="F61" s="8">
        <v>244</v>
      </c>
      <c r="G61" s="13"/>
      <c r="H61" s="13"/>
      <c r="I61" s="13"/>
    </row>
  </sheetData>
  <mergeCells count="5">
    <mergeCell ref="F2:F3"/>
    <mergeCell ref="B5:B6"/>
    <mergeCell ref="C5:C6"/>
    <mergeCell ref="D5:F5"/>
    <mergeCell ref="A1:F1"/>
  </mergeCells>
  <hyperlinks>
    <hyperlink ref="A1:F1" location="'List of Township'!A1" display="Chin State, Mindat  District,  Mindat Township"/>
  </hyperlinks>
  <pageMargins left="0.75" right="0.5" top="0.5" bottom="0.2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sqref="A1:E1"/>
    </sheetView>
  </sheetViews>
  <sheetFormatPr defaultRowHeight="24.75" customHeight="1" x14ac:dyDescent="0.4"/>
  <cols>
    <col min="1" max="1" width="5.28515625" style="1" customWidth="1"/>
    <col min="2" max="2" width="26.28515625" style="1" customWidth="1"/>
    <col min="3" max="5" width="15.7109375" style="1" customWidth="1"/>
    <col min="6" max="6" width="25.42578125" style="1" customWidth="1"/>
    <col min="7" max="7" width="20.140625" style="1" customWidth="1"/>
    <col min="8" max="8" width="15.28515625" style="1" customWidth="1"/>
    <col min="9" max="9" width="14.28515625" style="1" customWidth="1"/>
    <col min="10" max="16384" width="9.140625" style="1"/>
  </cols>
  <sheetData>
    <row r="1" spans="1:10" ht="25.5" customHeight="1" x14ac:dyDescent="0.4">
      <c r="A1" s="40" t="s">
        <v>512</v>
      </c>
      <c r="B1" s="40"/>
      <c r="C1" s="40"/>
      <c r="D1" s="40"/>
      <c r="E1" s="40"/>
    </row>
    <row r="2" spans="1:10" ht="25.5" customHeight="1" x14ac:dyDescent="0.4">
      <c r="B2" s="4"/>
      <c r="C2" s="4"/>
      <c r="D2" s="4"/>
      <c r="E2" s="37" t="s">
        <v>501</v>
      </c>
    </row>
    <row r="3" spans="1:10" ht="21.75" x14ac:dyDescent="0.4">
      <c r="B3" s="4"/>
      <c r="C3" s="4"/>
      <c r="D3" s="4"/>
      <c r="E3" s="37"/>
    </row>
    <row r="4" spans="1:10" ht="10.5" customHeight="1" x14ac:dyDescent="0.4"/>
    <row r="5" spans="1:10" ht="24" customHeight="1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10" ht="24" customHeight="1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10" ht="25.5" customHeight="1" x14ac:dyDescent="0.4">
      <c r="A7" s="5"/>
      <c r="B7" s="5" t="s">
        <v>517</v>
      </c>
      <c r="C7" s="5">
        <f>C9+C14</f>
        <v>39086</v>
      </c>
      <c r="D7" s="5">
        <f t="shared" ref="D7:E7" si="0">D9+D14</f>
        <v>18680</v>
      </c>
      <c r="E7" s="5">
        <f t="shared" si="0"/>
        <v>20406</v>
      </c>
      <c r="G7" s="25"/>
      <c r="H7" s="25"/>
      <c r="I7" s="25"/>
      <c r="J7" s="25"/>
    </row>
    <row r="8" spans="1:10" ht="10.5" customHeight="1" x14ac:dyDescent="0.4">
      <c r="A8" s="7"/>
      <c r="B8" s="10"/>
      <c r="C8" s="10"/>
      <c r="D8" s="10"/>
      <c r="E8" s="10"/>
      <c r="H8" s="25"/>
      <c r="I8" s="25"/>
      <c r="J8" s="25"/>
    </row>
    <row r="9" spans="1:10" ht="21.75" x14ac:dyDescent="0.4">
      <c r="A9" s="7"/>
      <c r="B9" s="15" t="s">
        <v>503</v>
      </c>
      <c r="C9" s="7">
        <f>SUM(C10:C13)</f>
        <v>8622</v>
      </c>
      <c r="D9" s="7">
        <f t="shared" ref="D9:E9" si="1">SUM(D10:D13)</f>
        <v>4229</v>
      </c>
      <c r="E9" s="7">
        <f t="shared" si="1"/>
        <v>4393</v>
      </c>
    </row>
    <row r="10" spans="1:10" ht="21.75" x14ac:dyDescent="0.4">
      <c r="A10" s="6">
        <v>1</v>
      </c>
      <c r="B10" s="6" t="s">
        <v>310</v>
      </c>
      <c r="C10" s="6">
        <v>3607</v>
      </c>
      <c r="D10" s="6">
        <v>1772</v>
      </c>
      <c r="E10" s="6">
        <v>1835</v>
      </c>
    </row>
    <row r="11" spans="1:10" ht="21.75" x14ac:dyDescent="0.4">
      <c r="A11" s="6">
        <v>2</v>
      </c>
      <c r="B11" s="6" t="s">
        <v>311</v>
      </c>
      <c r="C11" s="6">
        <v>1667</v>
      </c>
      <c r="D11" s="6">
        <v>802</v>
      </c>
      <c r="E11" s="6">
        <v>865</v>
      </c>
    </row>
    <row r="12" spans="1:10" ht="21.75" x14ac:dyDescent="0.4">
      <c r="A12" s="6">
        <v>3</v>
      </c>
      <c r="B12" s="6" t="s">
        <v>312</v>
      </c>
      <c r="C12" s="6">
        <v>2640</v>
      </c>
      <c r="D12" s="6">
        <v>1257</v>
      </c>
      <c r="E12" s="6">
        <v>1383</v>
      </c>
    </row>
    <row r="13" spans="1:10" ht="21" customHeight="1" x14ac:dyDescent="0.4">
      <c r="A13" s="6">
        <v>4</v>
      </c>
      <c r="B13" s="6" t="s">
        <v>313</v>
      </c>
      <c r="C13" s="6">
        <v>708</v>
      </c>
      <c r="D13" s="6">
        <v>398</v>
      </c>
      <c r="E13" s="6">
        <v>310</v>
      </c>
    </row>
    <row r="14" spans="1:10" ht="21.75" x14ac:dyDescent="0.4">
      <c r="A14" s="6"/>
      <c r="B14" s="15" t="s">
        <v>518</v>
      </c>
      <c r="C14" s="7">
        <f>SUM(C15:C63)</f>
        <v>30464</v>
      </c>
      <c r="D14" s="7">
        <f t="shared" ref="D14:E14" si="2">SUM(D15:D63)</f>
        <v>14451</v>
      </c>
      <c r="E14" s="7">
        <f t="shared" si="2"/>
        <v>16013</v>
      </c>
    </row>
    <row r="15" spans="1:10" ht="21.75" x14ac:dyDescent="0.4">
      <c r="A15" s="6">
        <v>1</v>
      </c>
      <c r="B15" s="6" t="s">
        <v>314</v>
      </c>
      <c r="C15" s="6">
        <v>487</v>
      </c>
      <c r="D15" s="6">
        <v>227</v>
      </c>
      <c r="E15" s="6">
        <v>260</v>
      </c>
    </row>
    <row r="16" spans="1:10" ht="21.75" x14ac:dyDescent="0.4">
      <c r="A16" s="6">
        <v>2</v>
      </c>
      <c r="B16" s="6" t="s">
        <v>315</v>
      </c>
      <c r="C16" s="6">
        <v>833</v>
      </c>
      <c r="D16" s="6">
        <v>403</v>
      </c>
      <c r="E16" s="6">
        <v>430</v>
      </c>
    </row>
    <row r="17" spans="1:5" ht="21.75" x14ac:dyDescent="0.4">
      <c r="A17" s="6">
        <v>3</v>
      </c>
      <c r="B17" s="6" t="s">
        <v>316</v>
      </c>
      <c r="C17" s="6">
        <v>368</v>
      </c>
      <c r="D17" s="6">
        <v>169</v>
      </c>
      <c r="E17" s="6">
        <v>199</v>
      </c>
    </row>
    <row r="18" spans="1:5" ht="21.75" x14ac:dyDescent="0.4">
      <c r="A18" s="6">
        <v>4</v>
      </c>
      <c r="B18" s="6" t="s">
        <v>317</v>
      </c>
      <c r="C18" s="6">
        <v>557</v>
      </c>
      <c r="D18" s="6">
        <v>259</v>
      </c>
      <c r="E18" s="6">
        <v>298</v>
      </c>
    </row>
    <row r="19" spans="1:5" ht="21.75" x14ac:dyDescent="0.4">
      <c r="A19" s="6">
        <v>5</v>
      </c>
      <c r="B19" s="6" t="s">
        <v>318</v>
      </c>
      <c r="C19" s="6">
        <v>397</v>
      </c>
      <c r="D19" s="6">
        <v>177</v>
      </c>
      <c r="E19" s="6">
        <v>220</v>
      </c>
    </row>
    <row r="20" spans="1:5" ht="21.75" x14ac:dyDescent="0.4">
      <c r="A20" s="6">
        <v>6</v>
      </c>
      <c r="B20" s="6" t="s">
        <v>64</v>
      </c>
      <c r="C20" s="6">
        <v>572</v>
      </c>
      <c r="D20" s="6">
        <v>254</v>
      </c>
      <c r="E20" s="6">
        <v>318</v>
      </c>
    </row>
    <row r="21" spans="1:5" ht="21.75" x14ac:dyDescent="0.4">
      <c r="A21" s="6">
        <v>7</v>
      </c>
      <c r="B21" s="6" t="s">
        <v>319</v>
      </c>
      <c r="C21" s="6">
        <v>248</v>
      </c>
      <c r="D21" s="6">
        <v>121</v>
      </c>
      <c r="E21" s="6">
        <v>127</v>
      </c>
    </row>
    <row r="22" spans="1:5" ht="21.75" x14ac:dyDescent="0.4">
      <c r="A22" s="6">
        <v>8</v>
      </c>
      <c r="B22" s="6" t="s">
        <v>320</v>
      </c>
      <c r="C22" s="6">
        <v>390</v>
      </c>
      <c r="D22" s="6">
        <v>193</v>
      </c>
      <c r="E22" s="6">
        <v>197</v>
      </c>
    </row>
    <row r="23" spans="1:5" ht="21.75" x14ac:dyDescent="0.4">
      <c r="A23" s="6">
        <v>9</v>
      </c>
      <c r="B23" s="6" t="s">
        <v>321</v>
      </c>
      <c r="C23" s="6">
        <v>663</v>
      </c>
      <c r="D23" s="6">
        <v>327</v>
      </c>
      <c r="E23" s="6">
        <v>336</v>
      </c>
    </row>
    <row r="24" spans="1:5" ht="21.75" x14ac:dyDescent="0.4">
      <c r="A24" s="6">
        <v>10</v>
      </c>
      <c r="B24" s="6" t="s">
        <v>322</v>
      </c>
      <c r="C24" s="6">
        <v>407</v>
      </c>
      <c r="D24" s="6">
        <v>185</v>
      </c>
      <c r="E24" s="6">
        <v>222</v>
      </c>
    </row>
    <row r="25" spans="1:5" ht="21.75" x14ac:dyDescent="0.4">
      <c r="A25" s="6">
        <v>11</v>
      </c>
      <c r="B25" s="6" t="s">
        <v>323</v>
      </c>
      <c r="C25" s="6">
        <v>343</v>
      </c>
      <c r="D25" s="6">
        <v>163</v>
      </c>
      <c r="E25" s="6">
        <v>180</v>
      </c>
    </row>
    <row r="26" spans="1:5" ht="21.75" x14ac:dyDescent="0.4">
      <c r="A26" s="6">
        <v>12</v>
      </c>
      <c r="B26" s="6" t="s">
        <v>324</v>
      </c>
      <c r="C26" s="6">
        <v>171</v>
      </c>
      <c r="D26" s="6">
        <v>77</v>
      </c>
      <c r="E26" s="6">
        <v>94</v>
      </c>
    </row>
    <row r="27" spans="1:5" ht="21.75" x14ac:dyDescent="0.4">
      <c r="A27" s="6">
        <v>13</v>
      </c>
      <c r="B27" s="6" t="s">
        <v>325</v>
      </c>
      <c r="C27" s="6">
        <v>195</v>
      </c>
      <c r="D27" s="6">
        <v>82</v>
      </c>
      <c r="E27" s="6">
        <v>113</v>
      </c>
    </row>
    <row r="28" spans="1:5" ht="21.75" x14ac:dyDescent="0.4">
      <c r="A28" s="6">
        <v>14</v>
      </c>
      <c r="B28" s="6" t="s">
        <v>326</v>
      </c>
      <c r="C28" s="6">
        <v>1060</v>
      </c>
      <c r="D28" s="6">
        <v>492</v>
      </c>
      <c r="E28" s="6">
        <v>568</v>
      </c>
    </row>
    <row r="29" spans="1:5" ht="21.75" x14ac:dyDescent="0.4">
      <c r="A29" s="6">
        <v>15</v>
      </c>
      <c r="B29" s="6" t="s">
        <v>327</v>
      </c>
      <c r="C29" s="6">
        <v>315</v>
      </c>
      <c r="D29" s="6">
        <v>158</v>
      </c>
      <c r="E29" s="6">
        <v>157</v>
      </c>
    </row>
    <row r="30" spans="1:5" ht="21.75" x14ac:dyDescent="0.4">
      <c r="A30" s="6">
        <v>16</v>
      </c>
      <c r="B30" s="6" t="s">
        <v>328</v>
      </c>
      <c r="C30" s="6">
        <v>470</v>
      </c>
      <c r="D30" s="6">
        <v>213</v>
      </c>
      <c r="E30" s="6">
        <v>257</v>
      </c>
    </row>
    <row r="31" spans="1:5" ht="21.75" x14ac:dyDescent="0.4">
      <c r="A31" s="6">
        <v>17</v>
      </c>
      <c r="B31" s="6" t="s">
        <v>329</v>
      </c>
      <c r="C31" s="6">
        <v>241</v>
      </c>
      <c r="D31" s="6">
        <v>107</v>
      </c>
      <c r="E31" s="6">
        <v>134</v>
      </c>
    </row>
    <row r="32" spans="1:5" ht="21.75" x14ac:dyDescent="0.4">
      <c r="A32" s="6">
        <v>18</v>
      </c>
      <c r="B32" s="6" t="s">
        <v>330</v>
      </c>
      <c r="C32" s="6">
        <v>393</v>
      </c>
      <c r="D32" s="6">
        <v>178</v>
      </c>
      <c r="E32" s="6">
        <v>215</v>
      </c>
    </row>
    <row r="33" spans="1:5" ht="21.75" x14ac:dyDescent="0.4">
      <c r="A33" s="6">
        <v>19</v>
      </c>
      <c r="B33" s="6" t="s">
        <v>331</v>
      </c>
      <c r="C33" s="6">
        <v>550</v>
      </c>
      <c r="D33" s="6">
        <v>259</v>
      </c>
      <c r="E33" s="6">
        <v>291</v>
      </c>
    </row>
    <row r="34" spans="1:5" ht="21.75" x14ac:dyDescent="0.4">
      <c r="A34" s="6">
        <v>20</v>
      </c>
      <c r="B34" s="6" t="s">
        <v>332</v>
      </c>
      <c r="C34" s="6">
        <v>458</v>
      </c>
      <c r="D34" s="6">
        <v>218</v>
      </c>
      <c r="E34" s="6">
        <v>240</v>
      </c>
    </row>
    <row r="35" spans="1:5" ht="21.75" x14ac:dyDescent="0.4">
      <c r="A35" s="6">
        <v>21</v>
      </c>
      <c r="B35" s="6" t="s">
        <v>333</v>
      </c>
      <c r="C35" s="6">
        <v>707</v>
      </c>
      <c r="D35" s="6">
        <v>342</v>
      </c>
      <c r="E35" s="6">
        <v>365</v>
      </c>
    </row>
    <row r="36" spans="1:5" ht="21.75" x14ac:dyDescent="0.4">
      <c r="A36" s="6">
        <v>22</v>
      </c>
      <c r="B36" s="6" t="s">
        <v>334</v>
      </c>
      <c r="C36" s="6">
        <v>280</v>
      </c>
      <c r="D36" s="6">
        <v>127</v>
      </c>
      <c r="E36" s="6">
        <v>153</v>
      </c>
    </row>
    <row r="37" spans="1:5" ht="21.75" x14ac:dyDescent="0.4">
      <c r="A37" s="6">
        <v>23</v>
      </c>
      <c r="B37" s="6" t="s">
        <v>335</v>
      </c>
      <c r="C37" s="6">
        <v>294</v>
      </c>
      <c r="D37" s="6">
        <v>144</v>
      </c>
      <c r="E37" s="6">
        <v>150</v>
      </c>
    </row>
    <row r="38" spans="1:5" ht="21.75" x14ac:dyDescent="0.4">
      <c r="A38" s="6">
        <v>24</v>
      </c>
      <c r="B38" s="6" t="s">
        <v>336</v>
      </c>
      <c r="C38" s="6">
        <v>178</v>
      </c>
      <c r="D38" s="6">
        <v>87</v>
      </c>
      <c r="E38" s="6">
        <v>91</v>
      </c>
    </row>
    <row r="39" spans="1:5" ht="21.75" x14ac:dyDescent="0.4">
      <c r="A39" s="6">
        <v>25</v>
      </c>
      <c r="B39" s="6" t="s">
        <v>337</v>
      </c>
      <c r="C39" s="6">
        <v>298</v>
      </c>
      <c r="D39" s="6">
        <v>143</v>
      </c>
      <c r="E39" s="6">
        <v>155</v>
      </c>
    </row>
    <row r="40" spans="1:5" ht="21.75" x14ac:dyDescent="0.4">
      <c r="A40" s="6">
        <v>26</v>
      </c>
      <c r="B40" s="6" t="s">
        <v>338</v>
      </c>
      <c r="C40" s="6">
        <v>300</v>
      </c>
      <c r="D40" s="6">
        <v>154</v>
      </c>
      <c r="E40" s="6">
        <v>146</v>
      </c>
    </row>
    <row r="41" spans="1:5" ht="21.75" x14ac:dyDescent="0.4">
      <c r="A41" s="6">
        <v>27</v>
      </c>
      <c r="B41" s="6" t="s">
        <v>339</v>
      </c>
      <c r="C41" s="6">
        <v>635</v>
      </c>
      <c r="D41" s="6">
        <v>308</v>
      </c>
      <c r="E41" s="6">
        <v>327</v>
      </c>
    </row>
    <row r="42" spans="1:5" ht="21.75" x14ac:dyDescent="0.4">
      <c r="A42" s="6">
        <v>28</v>
      </c>
      <c r="B42" s="6" t="s">
        <v>340</v>
      </c>
      <c r="C42" s="6">
        <v>1149</v>
      </c>
      <c r="D42" s="6">
        <v>560</v>
      </c>
      <c r="E42" s="6">
        <v>589</v>
      </c>
    </row>
    <row r="43" spans="1:5" ht="21.75" x14ac:dyDescent="0.4">
      <c r="A43" s="6">
        <v>29</v>
      </c>
      <c r="B43" s="6" t="s">
        <v>341</v>
      </c>
      <c r="C43" s="6">
        <v>444</v>
      </c>
      <c r="D43" s="6">
        <v>220</v>
      </c>
      <c r="E43" s="6">
        <v>224</v>
      </c>
    </row>
    <row r="44" spans="1:5" ht="21.75" x14ac:dyDescent="0.4">
      <c r="A44" s="6">
        <v>30</v>
      </c>
      <c r="B44" s="6" t="s">
        <v>342</v>
      </c>
      <c r="C44" s="6">
        <v>1893</v>
      </c>
      <c r="D44" s="6">
        <v>968</v>
      </c>
      <c r="E44" s="6">
        <v>925</v>
      </c>
    </row>
    <row r="45" spans="1:5" ht="21.75" x14ac:dyDescent="0.4">
      <c r="A45" s="6">
        <v>31</v>
      </c>
      <c r="B45" s="6" t="s">
        <v>343</v>
      </c>
      <c r="C45" s="6">
        <v>1116</v>
      </c>
      <c r="D45" s="6">
        <v>532</v>
      </c>
      <c r="E45" s="6">
        <v>584</v>
      </c>
    </row>
    <row r="46" spans="1:5" ht="21.75" x14ac:dyDescent="0.4">
      <c r="A46" s="6">
        <v>32</v>
      </c>
      <c r="B46" s="6" t="s">
        <v>344</v>
      </c>
      <c r="C46" s="6">
        <v>1198</v>
      </c>
      <c r="D46" s="6">
        <v>566</v>
      </c>
      <c r="E46" s="6">
        <v>632</v>
      </c>
    </row>
    <row r="47" spans="1:5" ht="21.75" x14ac:dyDescent="0.4">
      <c r="A47" s="6">
        <v>33</v>
      </c>
      <c r="B47" s="6" t="s">
        <v>345</v>
      </c>
      <c r="C47" s="6">
        <v>493</v>
      </c>
      <c r="D47" s="6">
        <v>234</v>
      </c>
      <c r="E47" s="6">
        <v>259</v>
      </c>
    </row>
    <row r="48" spans="1:5" ht="21.75" x14ac:dyDescent="0.4">
      <c r="A48" s="6">
        <v>34</v>
      </c>
      <c r="B48" s="6" t="s">
        <v>346</v>
      </c>
      <c r="C48" s="6">
        <v>554</v>
      </c>
      <c r="D48" s="6">
        <v>264</v>
      </c>
      <c r="E48" s="6">
        <v>290</v>
      </c>
    </row>
    <row r="49" spans="1:5" ht="21.75" x14ac:dyDescent="0.4">
      <c r="A49" s="6">
        <v>35</v>
      </c>
      <c r="B49" s="6" t="s">
        <v>347</v>
      </c>
      <c r="C49" s="6">
        <v>2306</v>
      </c>
      <c r="D49" s="6">
        <v>1066</v>
      </c>
      <c r="E49" s="6">
        <v>1240</v>
      </c>
    </row>
    <row r="50" spans="1:5" ht="21.75" x14ac:dyDescent="0.4">
      <c r="A50" s="6">
        <v>36</v>
      </c>
      <c r="B50" s="6" t="s">
        <v>348</v>
      </c>
      <c r="C50" s="6">
        <v>413</v>
      </c>
      <c r="D50" s="6">
        <v>191</v>
      </c>
      <c r="E50" s="6">
        <v>222</v>
      </c>
    </row>
    <row r="51" spans="1:5" ht="21.75" x14ac:dyDescent="0.4">
      <c r="A51" s="6">
        <v>37</v>
      </c>
      <c r="B51" s="6" t="s">
        <v>349</v>
      </c>
      <c r="C51" s="6">
        <v>1350</v>
      </c>
      <c r="D51" s="6">
        <v>655</v>
      </c>
      <c r="E51" s="6">
        <v>695</v>
      </c>
    </row>
    <row r="52" spans="1:5" ht="21.75" x14ac:dyDescent="0.4">
      <c r="A52" s="6">
        <v>38</v>
      </c>
      <c r="B52" s="6" t="s">
        <v>350</v>
      </c>
      <c r="C52" s="6">
        <v>943</v>
      </c>
      <c r="D52" s="6">
        <v>442</v>
      </c>
      <c r="E52" s="6">
        <v>501</v>
      </c>
    </row>
    <row r="53" spans="1:5" ht="21.75" x14ac:dyDescent="0.4">
      <c r="A53" s="6">
        <v>39</v>
      </c>
      <c r="B53" s="6" t="s">
        <v>351</v>
      </c>
      <c r="C53" s="6">
        <v>608</v>
      </c>
      <c r="D53" s="6">
        <v>294</v>
      </c>
      <c r="E53" s="6">
        <v>314</v>
      </c>
    </row>
    <row r="54" spans="1:5" ht="21.75" x14ac:dyDescent="0.4">
      <c r="A54" s="6">
        <v>40</v>
      </c>
      <c r="B54" s="6" t="s">
        <v>352</v>
      </c>
      <c r="C54" s="6">
        <v>510</v>
      </c>
      <c r="D54" s="6">
        <v>246</v>
      </c>
      <c r="E54" s="6">
        <v>264</v>
      </c>
    </row>
    <row r="55" spans="1:5" ht="21.75" x14ac:dyDescent="0.4">
      <c r="A55" s="6">
        <v>41</v>
      </c>
      <c r="B55" s="6" t="s">
        <v>353</v>
      </c>
      <c r="C55" s="6">
        <v>599</v>
      </c>
      <c r="D55" s="6">
        <v>268</v>
      </c>
      <c r="E55" s="6">
        <v>331</v>
      </c>
    </row>
    <row r="56" spans="1:5" ht="21.75" x14ac:dyDescent="0.4">
      <c r="A56" s="6">
        <v>42</v>
      </c>
      <c r="B56" s="6" t="s">
        <v>354</v>
      </c>
      <c r="C56" s="6">
        <v>276</v>
      </c>
      <c r="D56" s="6">
        <v>141</v>
      </c>
      <c r="E56" s="6">
        <v>135</v>
      </c>
    </row>
    <row r="57" spans="1:5" ht="21.75" x14ac:dyDescent="0.4">
      <c r="A57" s="6">
        <v>43</v>
      </c>
      <c r="B57" s="6" t="s">
        <v>355</v>
      </c>
      <c r="C57" s="6">
        <v>627</v>
      </c>
      <c r="D57" s="6">
        <v>301</v>
      </c>
      <c r="E57" s="6">
        <v>326</v>
      </c>
    </row>
    <row r="58" spans="1:5" ht="21.75" x14ac:dyDescent="0.4">
      <c r="A58" s="6">
        <v>44</v>
      </c>
      <c r="B58" s="6" t="s">
        <v>356</v>
      </c>
      <c r="C58" s="6">
        <v>1698</v>
      </c>
      <c r="D58" s="6">
        <v>764</v>
      </c>
      <c r="E58" s="6">
        <v>934</v>
      </c>
    </row>
    <row r="59" spans="1:5" ht="21.75" x14ac:dyDescent="0.4">
      <c r="A59" s="6">
        <v>45</v>
      </c>
      <c r="B59" s="6" t="s">
        <v>357</v>
      </c>
      <c r="C59" s="6">
        <v>763</v>
      </c>
      <c r="D59" s="6">
        <v>362</v>
      </c>
      <c r="E59" s="6">
        <v>401</v>
      </c>
    </row>
    <row r="60" spans="1:5" ht="21.75" x14ac:dyDescent="0.4">
      <c r="A60" s="6">
        <v>46</v>
      </c>
      <c r="B60" s="6" t="s">
        <v>358</v>
      </c>
      <c r="C60" s="6">
        <v>367</v>
      </c>
      <c r="D60" s="6">
        <v>167</v>
      </c>
      <c r="E60" s="6">
        <v>200</v>
      </c>
    </row>
    <row r="61" spans="1:5" ht="21.75" x14ac:dyDescent="0.4">
      <c r="A61" s="6">
        <v>47</v>
      </c>
      <c r="B61" s="6" t="s">
        <v>359</v>
      </c>
      <c r="C61" s="6">
        <v>858</v>
      </c>
      <c r="D61" s="6">
        <v>415</v>
      </c>
      <c r="E61" s="6">
        <v>443</v>
      </c>
    </row>
    <row r="62" spans="1:5" ht="21.75" x14ac:dyDescent="0.4">
      <c r="A62" s="6">
        <v>48</v>
      </c>
      <c r="B62" s="6" t="s">
        <v>360</v>
      </c>
      <c r="C62" s="6">
        <v>355</v>
      </c>
      <c r="D62" s="6">
        <v>165</v>
      </c>
      <c r="E62" s="6">
        <v>190</v>
      </c>
    </row>
    <row r="63" spans="1:5" ht="21.75" x14ac:dyDescent="0.4">
      <c r="A63" s="8">
        <v>49</v>
      </c>
      <c r="B63" s="8" t="s">
        <v>361</v>
      </c>
      <c r="C63" s="8">
        <v>134</v>
      </c>
      <c r="D63" s="8">
        <v>63</v>
      </c>
      <c r="E63" s="8">
        <v>71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Chin State, Mindat  District,   Matupi Township"/>
  </hyperlinks>
  <pageMargins left="0.75" right="0.5" top="0.5" bottom="0.2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sqref="A1:E1"/>
    </sheetView>
  </sheetViews>
  <sheetFormatPr defaultRowHeight="24.75" customHeight="1" x14ac:dyDescent="0.4"/>
  <cols>
    <col min="1" max="1" width="6.28515625" style="1" customWidth="1"/>
    <col min="2" max="2" width="26.5703125" style="1" customWidth="1"/>
    <col min="3" max="5" width="15.7109375" style="1" customWidth="1"/>
    <col min="6" max="6" width="9.140625" style="1"/>
    <col min="7" max="7" width="27.7109375" style="1" customWidth="1"/>
    <col min="8" max="8" width="18.140625" style="1" customWidth="1"/>
    <col min="9" max="16384" width="9.140625" style="1"/>
  </cols>
  <sheetData>
    <row r="1" spans="1:10" ht="24.75" customHeight="1" x14ac:dyDescent="0.4">
      <c r="A1" s="40" t="s">
        <v>513</v>
      </c>
      <c r="B1" s="40"/>
      <c r="C1" s="40"/>
      <c r="D1" s="40"/>
      <c r="E1" s="40"/>
    </row>
    <row r="2" spans="1:10" ht="24.75" customHeight="1" x14ac:dyDescent="0.4">
      <c r="B2" s="4"/>
      <c r="C2" s="4"/>
      <c r="D2" s="4"/>
      <c r="E2" s="37" t="s">
        <v>501</v>
      </c>
    </row>
    <row r="3" spans="1:10" ht="24.75" customHeight="1" x14ac:dyDescent="0.4">
      <c r="B3" s="4"/>
      <c r="C3" s="4"/>
      <c r="D3" s="4"/>
      <c r="E3" s="37"/>
    </row>
    <row r="4" spans="1:10" ht="10.5" customHeight="1" x14ac:dyDescent="0.4"/>
    <row r="5" spans="1:10" ht="21.75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10" ht="21.75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10" ht="21.75" x14ac:dyDescent="0.4">
      <c r="A7" s="27"/>
      <c r="B7" s="5" t="s">
        <v>517</v>
      </c>
      <c r="C7" s="5">
        <f>C9+C12</f>
        <v>21493</v>
      </c>
      <c r="D7" s="5">
        <f t="shared" ref="D7:E7" si="0">D9+D12</f>
        <v>10313</v>
      </c>
      <c r="E7" s="5">
        <f t="shared" si="0"/>
        <v>11180</v>
      </c>
      <c r="H7" s="25"/>
      <c r="I7" s="25"/>
      <c r="J7" s="25"/>
    </row>
    <row r="8" spans="1:10" ht="10.5" customHeight="1" x14ac:dyDescent="0.4">
      <c r="A8" s="10"/>
      <c r="B8" s="10"/>
      <c r="C8" s="10"/>
      <c r="D8" s="10"/>
      <c r="E8" s="10"/>
      <c r="H8" s="25"/>
      <c r="I8" s="25"/>
      <c r="J8" s="25"/>
    </row>
    <row r="9" spans="1:10" ht="21.75" x14ac:dyDescent="0.4">
      <c r="A9" s="10"/>
      <c r="B9" s="15" t="s">
        <v>503</v>
      </c>
      <c r="C9" s="7">
        <f>C10+C11</f>
        <v>4159</v>
      </c>
      <c r="D9" s="7">
        <f t="shared" ref="D9:E9" si="1">D10+D11</f>
        <v>2028</v>
      </c>
      <c r="E9" s="7">
        <f t="shared" si="1"/>
        <v>2131</v>
      </c>
    </row>
    <row r="10" spans="1:10" ht="21.75" x14ac:dyDescent="0.4">
      <c r="A10" s="6">
        <v>1</v>
      </c>
      <c r="B10" s="6" t="s">
        <v>39</v>
      </c>
      <c r="C10" s="6">
        <v>1543</v>
      </c>
      <c r="D10" s="6">
        <v>772</v>
      </c>
      <c r="E10" s="6">
        <v>771</v>
      </c>
    </row>
    <row r="11" spans="1:10" ht="21.75" x14ac:dyDescent="0.4">
      <c r="A11" s="6">
        <v>2</v>
      </c>
      <c r="B11" s="6" t="s">
        <v>40</v>
      </c>
      <c r="C11" s="6">
        <v>2616</v>
      </c>
      <c r="D11" s="6">
        <v>1256</v>
      </c>
      <c r="E11" s="6">
        <v>1360</v>
      </c>
    </row>
    <row r="12" spans="1:10" ht="21.75" x14ac:dyDescent="0.4">
      <c r="A12" s="10"/>
      <c r="B12" s="15" t="s">
        <v>518</v>
      </c>
      <c r="C12" s="7">
        <f>SUM(C13:C38)</f>
        <v>17334</v>
      </c>
      <c r="D12" s="7">
        <f t="shared" ref="D12:E12" si="2">SUM(D13:D38)</f>
        <v>8285</v>
      </c>
      <c r="E12" s="7">
        <f t="shared" si="2"/>
        <v>9049</v>
      </c>
    </row>
    <row r="13" spans="1:10" ht="21.75" x14ac:dyDescent="0.4">
      <c r="A13" s="6">
        <v>1</v>
      </c>
      <c r="B13" s="6" t="s">
        <v>362</v>
      </c>
      <c r="C13" s="6">
        <v>975</v>
      </c>
      <c r="D13" s="6">
        <v>458</v>
      </c>
      <c r="E13" s="6">
        <v>517</v>
      </c>
    </row>
    <row r="14" spans="1:10" ht="21.75" x14ac:dyDescent="0.4">
      <c r="A14" s="6">
        <v>2</v>
      </c>
      <c r="B14" s="6" t="s">
        <v>363</v>
      </c>
      <c r="C14" s="6">
        <v>417</v>
      </c>
      <c r="D14" s="6">
        <v>192</v>
      </c>
      <c r="E14" s="6">
        <v>225</v>
      </c>
    </row>
    <row r="15" spans="1:10" ht="21.75" x14ac:dyDescent="0.4">
      <c r="A15" s="6">
        <v>3</v>
      </c>
      <c r="B15" s="6" t="s">
        <v>364</v>
      </c>
      <c r="C15" s="6">
        <v>1044</v>
      </c>
      <c r="D15" s="6">
        <v>491</v>
      </c>
      <c r="E15" s="6">
        <v>553</v>
      </c>
    </row>
    <row r="16" spans="1:10" ht="21.75" x14ac:dyDescent="0.4">
      <c r="A16" s="6">
        <v>4</v>
      </c>
      <c r="B16" s="6" t="s">
        <v>365</v>
      </c>
      <c r="C16" s="6">
        <v>694</v>
      </c>
      <c r="D16" s="6">
        <v>342</v>
      </c>
      <c r="E16" s="6">
        <v>352</v>
      </c>
    </row>
    <row r="17" spans="1:5" ht="21.75" x14ac:dyDescent="0.4">
      <c r="A17" s="6">
        <v>5</v>
      </c>
      <c r="B17" s="6" t="s">
        <v>366</v>
      </c>
      <c r="C17" s="6">
        <v>1241</v>
      </c>
      <c r="D17" s="6">
        <v>627</v>
      </c>
      <c r="E17" s="6">
        <v>614</v>
      </c>
    </row>
    <row r="18" spans="1:5" ht="21.75" x14ac:dyDescent="0.4">
      <c r="A18" s="6">
        <v>6</v>
      </c>
      <c r="B18" s="6" t="s">
        <v>367</v>
      </c>
      <c r="C18" s="6">
        <v>513</v>
      </c>
      <c r="D18" s="6">
        <v>237</v>
      </c>
      <c r="E18" s="6">
        <v>276</v>
      </c>
    </row>
    <row r="19" spans="1:5" ht="21.75" x14ac:dyDescent="0.4">
      <c r="A19" s="6">
        <v>7</v>
      </c>
      <c r="B19" s="6" t="s">
        <v>368</v>
      </c>
      <c r="C19" s="6">
        <v>612</v>
      </c>
      <c r="D19" s="6">
        <v>253</v>
      </c>
      <c r="E19" s="6">
        <v>359</v>
      </c>
    </row>
    <row r="20" spans="1:5" ht="21.75" x14ac:dyDescent="0.4">
      <c r="A20" s="6">
        <v>8</v>
      </c>
      <c r="B20" s="6" t="s">
        <v>369</v>
      </c>
      <c r="C20" s="6">
        <v>671</v>
      </c>
      <c r="D20" s="6">
        <v>291</v>
      </c>
      <c r="E20" s="6">
        <v>380</v>
      </c>
    </row>
    <row r="21" spans="1:5" ht="21.75" x14ac:dyDescent="0.4">
      <c r="A21" s="6">
        <v>9</v>
      </c>
      <c r="B21" s="6" t="s">
        <v>370</v>
      </c>
      <c r="C21" s="6">
        <v>354</v>
      </c>
      <c r="D21" s="6">
        <v>161</v>
      </c>
      <c r="E21" s="6">
        <v>193</v>
      </c>
    </row>
    <row r="22" spans="1:5" ht="21.75" x14ac:dyDescent="0.4">
      <c r="A22" s="6">
        <v>10</v>
      </c>
      <c r="B22" s="6" t="s">
        <v>371</v>
      </c>
      <c r="C22" s="6">
        <v>1574</v>
      </c>
      <c r="D22" s="6">
        <v>729</v>
      </c>
      <c r="E22" s="6">
        <v>845</v>
      </c>
    </row>
    <row r="23" spans="1:5" ht="21.75" x14ac:dyDescent="0.4">
      <c r="A23" s="6">
        <v>11</v>
      </c>
      <c r="B23" s="6" t="s">
        <v>372</v>
      </c>
      <c r="C23" s="6">
        <v>498</v>
      </c>
      <c r="D23" s="6">
        <v>268</v>
      </c>
      <c r="E23" s="6">
        <v>230</v>
      </c>
    </row>
    <row r="24" spans="1:5" ht="21.75" x14ac:dyDescent="0.4">
      <c r="A24" s="6">
        <v>12</v>
      </c>
      <c r="B24" s="6" t="s">
        <v>373</v>
      </c>
      <c r="C24" s="6">
        <v>408</v>
      </c>
      <c r="D24" s="6">
        <v>209</v>
      </c>
      <c r="E24" s="6">
        <v>199</v>
      </c>
    </row>
    <row r="25" spans="1:5" ht="21.75" x14ac:dyDescent="0.4">
      <c r="A25" s="6">
        <v>13</v>
      </c>
      <c r="B25" s="6" t="s">
        <v>374</v>
      </c>
      <c r="C25" s="6">
        <v>407</v>
      </c>
      <c r="D25" s="6">
        <v>204</v>
      </c>
      <c r="E25" s="6">
        <v>203</v>
      </c>
    </row>
    <row r="26" spans="1:5" ht="21.75" x14ac:dyDescent="0.4">
      <c r="A26" s="6">
        <v>14</v>
      </c>
      <c r="B26" s="6" t="s">
        <v>375</v>
      </c>
      <c r="C26" s="6">
        <v>703</v>
      </c>
      <c r="D26" s="6">
        <v>337</v>
      </c>
      <c r="E26" s="6">
        <v>366</v>
      </c>
    </row>
    <row r="27" spans="1:5" ht="21.75" x14ac:dyDescent="0.4">
      <c r="A27" s="6">
        <v>15</v>
      </c>
      <c r="B27" s="6" t="s">
        <v>376</v>
      </c>
      <c r="C27" s="6">
        <v>1595</v>
      </c>
      <c r="D27" s="6">
        <v>799</v>
      </c>
      <c r="E27" s="6">
        <v>796</v>
      </c>
    </row>
    <row r="28" spans="1:5" ht="21.75" x14ac:dyDescent="0.4">
      <c r="A28" s="6">
        <v>16</v>
      </c>
      <c r="B28" s="6" t="s">
        <v>377</v>
      </c>
      <c r="C28" s="6">
        <v>434</v>
      </c>
      <c r="D28" s="6">
        <v>218</v>
      </c>
      <c r="E28" s="6">
        <v>216</v>
      </c>
    </row>
    <row r="29" spans="1:5" ht="21.75" x14ac:dyDescent="0.4">
      <c r="A29" s="6">
        <v>17</v>
      </c>
      <c r="B29" s="6" t="s">
        <v>378</v>
      </c>
      <c r="C29" s="6">
        <v>774</v>
      </c>
      <c r="D29" s="6">
        <v>365</v>
      </c>
      <c r="E29" s="6">
        <v>409</v>
      </c>
    </row>
    <row r="30" spans="1:5" ht="21.75" x14ac:dyDescent="0.4">
      <c r="A30" s="6">
        <v>18</v>
      </c>
      <c r="B30" s="6" t="s">
        <v>379</v>
      </c>
      <c r="C30" s="6">
        <v>187</v>
      </c>
      <c r="D30" s="6">
        <v>94</v>
      </c>
      <c r="E30" s="6">
        <v>93</v>
      </c>
    </row>
    <row r="31" spans="1:5" ht="21.75" x14ac:dyDescent="0.4">
      <c r="A31" s="6">
        <v>19</v>
      </c>
      <c r="B31" s="6" t="s">
        <v>380</v>
      </c>
      <c r="C31" s="6">
        <v>311</v>
      </c>
      <c r="D31" s="6">
        <v>134</v>
      </c>
      <c r="E31" s="6">
        <v>177</v>
      </c>
    </row>
    <row r="32" spans="1:5" ht="21.75" x14ac:dyDescent="0.4">
      <c r="A32" s="6">
        <v>20</v>
      </c>
      <c r="B32" s="6" t="s">
        <v>381</v>
      </c>
      <c r="C32" s="6">
        <v>655</v>
      </c>
      <c r="D32" s="6">
        <v>304</v>
      </c>
      <c r="E32" s="6">
        <v>351</v>
      </c>
    </row>
    <row r="33" spans="1:5" ht="21.75" x14ac:dyDescent="0.4">
      <c r="A33" s="6">
        <v>21</v>
      </c>
      <c r="B33" s="6" t="s">
        <v>382</v>
      </c>
      <c r="C33" s="6">
        <v>570</v>
      </c>
      <c r="D33" s="6">
        <v>277</v>
      </c>
      <c r="E33" s="6">
        <v>293</v>
      </c>
    </row>
    <row r="34" spans="1:5" ht="21.75" x14ac:dyDescent="0.4">
      <c r="A34" s="6">
        <v>22</v>
      </c>
      <c r="B34" s="6" t="s">
        <v>383</v>
      </c>
      <c r="C34" s="6">
        <v>1053</v>
      </c>
      <c r="D34" s="6">
        <v>507</v>
      </c>
      <c r="E34" s="6">
        <v>546</v>
      </c>
    </row>
    <row r="35" spans="1:5" ht="21.75" x14ac:dyDescent="0.4">
      <c r="A35" s="6">
        <v>23</v>
      </c>
      <c r="B35" s="6" t="s">
        <v>384</v>
      </c>
      <c r="C35" s="6">
        <v>693</v>
      </c>
      <c r="D35" s="6">
        <v>326</v>
      </c>
      <c r="E35" s="6">
        <v>367</v>
      </c>
    </row>
    <row r="36" spans="1:5" ht="21.75" x14ac:dyDescent="0.4">
      <c r="A36" s="6">
        <v>24</v>
      </c>
      <c r="B36" s="6" t="s">
        <v>385</v>
      </c>
      <c r="C36" s="6">
        <v>386</v>
      </c>
      <c r="D36" s="6">
        <v>193</v>
      </c>
      <c r="E36" s="6">
        <v>193</v>
      </c>
    </row>
    <row r="37" spans="1:5" ht="21.75" x14ac:dyDescent="0.4">
      <c r="A37" s="6">
        <v>25</v>
      </c>
      <c r="B37" s="6" t="s">
        <v>386</v>
      </c>
      <c r="C37" s="6">
        <v>261</v>
      </c>
      <c r="D37" s="6">
        <v>125</v>
      </c>
      <c r="E37" s="6">
        <v>136</v>
      </c>
    </row>
    <row r="38" spans="1:5" ht="21.75" x14ac:dyDescent="0.4">
      <c r="A38" s="8">
        <v>26</v>
      </c>
      <c r="B38" s="8" t="s">
        <v>387</v>
      </c>
      <c r="C38" s="8">
        <v>304</v>
      </c>
      <c r="D38" s="8">
        <v>144</v>
      </c>
      <c r="E38" s="8">
        <v>160</v>
      </c>
    </row>
    <row r="39" spans="1:5" ht="24.75" customHeight="1" x14ac:dyDescent="0.4">
      <c r="A39" s="26"/>
      <c r="B39" s="26"/>
      <c r="C39" s="26"/>
      <c r="D39" s="26"/>
      <c r="E39" s="26"/>
    </row>
    <row r="40" spans="1:5" ht="24.75" customHeight="1" x14ac:dyDescent="0.4">
      <c r="A40" s="13"/>
      <c r="B40" s="13"/>
      <c r="C40" s="13"/>
      <c r="D40" s="13"/>
      <c r="E40" s="13"/>
    </row>
    <row r="41" spans="1:5" ht="24.75" customHeight="1" x14ac:dyDescent="0.4">
      <c r="A41" s="13"/>
      <c r="B41" s="13"/>
      <c r="C41" s="13"/>
      <c r="D41" s="13"/>
      <c r="E41" s="13"/>
    </row>
    <row r="42" spans="1:5" ht="24.75" customHeight="1" x14ac:dyDescent="0.4">
      <c r="A42" s="13"/>
      <c r="B42" s="13"/>
      <c r="C42" s="13"/>
      <c r="D42" s="13"/>
      <c r="E42" s="13"/>
    </row>
    <row r="43" spans="1:5" ht="24.75" customHeight="1" x14ac:dyDescent="0.4">
      <c r="A43" s="13"/>
      <c r="B43" s="13"/>
      <c r="C43" s="13"/>
      <c r="D43" s="13"/>
      <c r="E43" s="13"/>
    </row>
    <row r="44" spans="1:5" ht="24.75" customHeight="1" x14ac:dyDescent="0.4">
      <c r="A44" s="13"/>
      <c r="B44" s="13"/>
      <c r="C44" s="13"/>
      <c r="D44" s="13"/>
      <c r="E44" s="13"/>
    </row>
    <row r="45" spans="1:5" ht="24.75" customHeight="1" x14ac:dyDescent="0.4">
      <c r="A45" s="13"/>
      <c r="B45" s="13"/>
      <c r="C45" s="13"/>
      <c r="D45" s="13"/>
      <c r="E45" s="13"/>
    </row>
    <row r="46" spans="1:5" ht="24.75" customHeight="1" x14ac:dyDescent="0.4">
      <c r="A46" s="13"/>
      <c r="B46" s="13"/>
      <c r="C46" s="13"/>
      <c r="D46" s="13"/>
      <c r="E46" s="13"/>
    </row>
    <row r="47" spans="1:5" ht="24.75" customHeight="1" x14ac:dyDescent="0.4">
      <c r="A47" s="13"/>
      <c r="B47" s="13"/>
      <c r="C47" s="13"/>
      <c r="D47" s="13"/>
      <c r="E47" s="13"/>
    </row>
    <row r="48" spans="1:5" ht="24.75" customHeight="1" x14ac:dyDescent="0.4">
      <c r="A48" s="13"/>
      <c r="B48" s="13"/>
      <c r="C48" s="13"/>
      <c r="D48" s="13"/>
      <c r="E48" s="13"/>
    </row>
    <row r="49" spans="1:5" ht="24.75" customHeight="1" x14ac:dyDescent="0.4">
      <c r="A49" s="13"/>
      <c r="B49" s="13"/>
      <c r="C49" s="13"/>
      <c r="D49" s="13"/>
      <c r="E49" s="13"/>
    </row>
    <row r="50" spans="1:5" ht="24.75" customHeight="1" x14ac:dyDescent="0.4">
      <c r="A50" s="13"/>
      <c r="B50" s="13"/>
      <c r="C50" s="13"/>
      <c r="D50" s="13"/>
      <c r="E50" s="13"/>
    </row>
    <row r="51" spans="1:5" ht="24.75" customHeight="1" x14ac:dyDescent="0.4">
      <c r="A51" s="13"/>
      <c r="B51" s="13"/>
      <c r="C51" s="13"/>
      <c r="D51" s="13"/>
      <c r="E51" s="13"/>
    </row>
    <row r="52" spans="1:5" ht="24.75" customHeight="1" x14ac:dyDescent="0.4">
      <c r="A52" s="13"/>
      <c r="B52" s="13"/>
      <c r="C52" s="13"/>
      <c r="D52" s="13"/>
      <c r="E52" s="13"/>
    </row>
    <row r="53" spans="1:5" ht="24.75" customHeight="1" x14ac:dyDescent="0.4">
      <c r="A53" s="13"/>
      <c r="B53" s="13"/>
      <c r="C53" s="13"/>
      <c r="D53" s="13"/>
      <c r="E53" s="13"/>
    </row>
    <row r="54" spans="1:5" ht="24.75" customHeight="1" x14ac:dyDescent="0.4">
      <c r="A54" s="13"/>
      <c r="B54" s="13"/>
      <c r="C54" s="13"/>
      <c r="D54" s="13"/>
      <c r="E54" s="13"/>
    </row>
    <row r="55" spans="1:5" ht="24.75" customHeight="1" x14ac:dyDescent="0.4">
      <c r="A55" s="13"/>
      <c r="B55" s="13"/>
      <c r="C55" s="13"/>
      <c r="D55" s="13"/>
      <c r="E55" s="13"/>
    </row>
    <row r="56" spans="1:5" ht="24.75" customHeight="1" x14ac:dyDescent="0.4">
      <c r="A56" s="13"/>
      <c r="B56" s="13"/>
      <c r="C56" s="13"/>
      <c r="D56" s="13"/>
      <c r="E56" s="13"/>
    </row>
    <row r="57" spans="1:5" ht="24.75" customHeight="1" x14ac:dyDescent="0.4">
      <c r="A57" s="13"/>
      <c r="B57" s="13"/>
      <c r="C57" s="13"/>
      <c r="D57" s="13"/>
      <c r="E57" s="13"/>
    </row>
    <row r="58" spans="1:5" ht="24.75" customHeight="1" x14ac:dyDescent="0.4">
      <c r="A58" s="13"/>
      <c r="B58" s="13"/>
      <c r="C58" s="13"/>
      <c r="D58" s="13"/>
      <c r="E58" s="13"/>
    </row>
    <row r="59" spans="1:5" ht="24.75" customHeight="1" x14ac:dyDescent="0.4">
      <c r="A59" s="13"/>
      <c r="B59" s="13"/>
      <c r="C59" s="13"/>
      <c r="D59" s="13"/>
      <c r="E59" s="13"/>
    </row>
    <row r="60" spans="1:5" ht="24.75" customHeight="1" x14ac:dyDescent="0.4">
      <c r="A60" s="13"/>
      <c r="B60" s="13"/>
      <c r="C60" s="13"/>
      <c r="D60" s="13"/>
      <c r="E60" s="13"/>
    </row>
    <row r="61" spans="1:5" ht="24.75" customHeight="1" x14ac:dyDescent="0.4">
      <c r="A61" s="13"/>
      <c r="B61" s="13"/>
      <c r="C61" s="13"/>
      <c r="D61" s="13"/>
      <c r="E61" s="13"/>
    </row>
    <row r="62" spans="1:5" ht="24.75" customHeight="1" x14ac:dyDescent="0.4">
      <c r="A62" s="13"/>
      <c r="B62" s="13"/>
      <c r="C62" s="13"/>
      <c r="D62" s="13"/>
      <c r="E62" s="13"/>
    </row>
    <row r="63" spans="1:5" ht="24.75" customHeight="1" x14ac:dyDescent="0.4">
      <c r="A63" s="13"/>
      <c r="B63" s="13"/>
      <c r="C63" s="13"/>
      <c r="D63" s="13"/>
      <c r="E63" s="13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Chin State, Mindat  District,   Kanpalet Township"/>
  </hyperlinks>
  <pageMargins left="0.75" right="0.5" top="0.5" bottom="0.2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>
      <selection sqref="A1:E1"/>
    </sheetView>
  </sheetViews>
  <sheetFormatPr defaultRowHeight="24.75" customHeight="1" x14ac:dyDescent="0.4"/>
  <cols>
    <col min="1" max="1" width="5.42578125" style="1" customWidth="1"/>
    <col min="2" max="2" width="27.85546875" style="1" customWidth="1"/>
    <col min="3" max="5" width="15.7109375" style="1" customWidth="1"/>
    <col min="6" max="6" width="23.85546875" style="1" customWidth="1"/>
    <col min="7" max="7" width="13.28515625" style="1" customWidth="1"/>
    <col min="8" max="8" width="16.7109375" style="1" customWidth="1"/>
    <col min="9" max="9" width="14.28515625" style="1" customWidth="1"/>
    <col min="10" max="16384" width="9.140625" style="1"/>
  </cols>
  <sheetData>
    <row r="1" spans="1:12" ht="25.5" customHeight="1" x14ac:dyDescent="0.4">
      <c r="A1" s="40" t="s">
        <v>514</v>
      </c>
      <c r="B1" s="40"/>
      <c r="C1" s="40"/>
      <c r="D1" s="40"/>
      <c r="E1" s="40"/>
    </row>
    <row r="2" spans="1:12" ht="25.5" customHeight="1" x14ac:dyDescent="0.4">
      <c r="B2" s="4"/>
      <c r="C2" s="4"/>
      <c r="D2" s="4"/>
      <c r="E2" s="37" t="s">
        <v>501</v>
      </c>
    </row>
    <row r="3" spans="1:12" ht="25.5" customHeight="1" x14ac:dyDescent="0.4">
      <c r="B3" s="4"/>
      <c r="C3" s="4"/>
      <c r="D3" s="4"/>
      <c r="E3" s="37"/>
    </row>
    <row r="4" spans="1:12" ht="10.5" customHeight="1" x14ac:dyDescent="0.4"/>
    <row r="5" spans="1:12" ht="24.75" customHeight="1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12" ht="24" customHeight="1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12" ht="24.75" customHeight="1" x14ac:dyDescent="0.4">
      <c r="A7" s="27"/>
      <c r="B7" s="5" t="s">
        <v>517</v>
      </c>
      <c r="C7" s="5">
        <f>C9+C13</f>
        <v>64971</v>
      </c>
      <c r="D7" s="5">
        <f t="shared" ref="D7:E7" si="0">D9+D13</f>
        <v>31104</v>
      </c>
      <c r="E7" s="5">
        <f t="shared" si="0"/>
        <v>33867</v>
      </c>
      <c r="K7"/>
      <c r="L7"/>
    </row>
    <row r="8" spans="1:12" ht="10.5" customHeight="1" x14ac:dyDescent="0.4">
      <c r="A8" s="10"/>
      <c r="B8" s="10"/>
      <c r="C8" s="10"/>
      <c r="D8" s="10"/>
      <c r="E8" s="10"/>
      <c r="K8"/>
      <c r="L8"/>
    </row>
    <row r="9" spans="1:12" ht="21.75" x14ac:dyDescent="0.4">
      <c r="A9" s="10"/>
      <c r="B9" s="15" t="s">
        <v>503</v>
      </c>
      <c r="C9" s="7">
        <f>SUM(C10:C12)</f>
        <v>6374</v>
      </c>
      <c r="D9" s="7">
        <f t="shared" ref="D9:E9" si="1">SUM(D10:D12)</f>
        <v>3064</v>
      </c>
      <c r="E9" s="7">
        <f t="shared" si="1"/>
        <v>3310</v>
      </c>
      <c r="K9"/>
      <c r="L9"/>
    </row>
    <row r="10" spans="1:12" ht="21.75" x14ac:dyDescent="0.4">
      <c r="A10" s="6">
        <v>1</v>
      </c>
      <c r="B10" s="6" t="s">
        <v>164</v>
      </c>
      <c r="C10" s="6">
        <v>3502</v>
      </c>
      <c r="D10" s="6">
        <v>1732</v>
      </c>
      <c r="E10" s="6">
        <v>1770</v>
      </c>
    </row>
    <row r="11" spans="1:12" ht="21.75" x14ac:dyDescent="0.4">
      <c r="A11" s="6">
        <v>2</v>
      </c>
      <c r="B11" s="6" t="s">
        <v>388</v>
      </c>
      <c r="C11" s="6">
        <v>1088</v>
      </c>
      <c r="D11" s="6">
        <v>471</v>
      </c>
      <c r="E11" s="6">
        <v>617</v>
      </c>
    </row>
    <row r="12" spans="1:12" ht="21.75" x14ac:dyDescent="0.4">
      <c r="A12" s="6">
        <v>3</v>
      </c>
      <c r="B12" s="6" t="s">
        <v>389</v>
      </c>
      <c r="C12" s="6">
        <v>1784</v>
      </c>
      <c r="D12" s="6">
        <v>861</v>
      </c>
      <c r="E12" s="6">
        <v>923</v>
      </c>
    </row>
    <row r="13" spans="1:12" ht="21.75" x14ac:dyDescent="0.4">
      <c r="A13" s="6"/>
      <c r="B13" s="15" t="s">
        <v>518</v>
      </c>
      <c r="C13" s="7">
        <f>SUM(C14:C70)</f>
        <v>58597</v>
      </c>
      <c r="D13" s="7">
        <f t="shared" ref="D13:E13" si="2">SUM(D14:D70)</f>
        <v>28040</v>
      </c>
      <c r="E13" s="7">
        <f t="shared" si="2"/>
        <v>30557</v>
      </c>
    </row>
    <row r="14" spans="1:12" ht="21.75" x14ac:dyDescent="0.4">
      <c r="A14" s="6">
        <v>1</v>
      </c>
      <c r="B14" s="6" t="s">
        <v>390</v>
      </c>
      <c r="C14" s="6">
        <v>346</v>
      </c>
      <c r="D14" s="6">
        <v>172</v>
      </c>
      <c r="E14" s="6">
        <v>174</v>
      </c>
    </row>
    <row r="15" spans="1:12" ht="21.75" x14ac:dyDescent="0.4">
      <c r="A15" s="6">
        <v>2</v>
      </c>
      <c r="B15" s="6" t="s">
        <v>391</v>
      </c>
      <c r="C15" s="6">
        <v>1008</v>
      </c>
      <c r="D15" s="6">
        <v>460</v>
      </c>
      <c r="E15" s="6">
        <v>548</v>
      </c>
    </row>
    <row r="16" spans="1:12" ht="21.75" x14ac:dyDescent="0.4">
      <c r="A16" s="6">
        <v>3</v>
      </c>
      <c r="B16" s="6" t="s">
        <v>392</v>
      </c>
      <c r="C16" s="6">
        <v>1030</v>
      </c>
      <c r="D16" s="6">
        <v>482</v>
      </c>
      <c r="E16" s="6">
        <v>548</v>
      </c>
    </row>
    <row r="17" spans="1:5" ht="21.75" x14ac:dyDescent="0.4">
      <c r="A17" s="6">
        <v>4</v>
      </c>
      <c r="B17" s="6" t="s">
        <v>393</v>
      </c>
      <c r="C17" s="6">
        <v>1868</v>
      </c>
      <c r="D17" s="6">
        <v>902</v>
      </c>
      <c r="E17" s="6">
        <v>966</v>
      </c>
    </row>
    <row r="18" spans="1:5" ht="21.75" x14ac:dyDescent="0.4">
      <c r="A18" s="6">
        <v>5</v>
      </c>
      <c r="B18" s="6" t="s">
        <v>394</v>
      </c>
      <c r="C18" s="6">
        <v>1563</v>
      </c>
      <c r="D18" s="6">
        <v>747</v>
      </c>
      <c r="E18" s="6">
        <v>816</v>
      </c>
    </row>
    <row r="19" spans="1:5" ht="21.75" x14ac:dyDescent="0.4">
      <c r="A19" s="6">
        <v>6</v>
      </c>
      <c r="B19" s="6" t="s">
        <v>395</v>
      </c>
      <c r="C19" s="6">
        <v>1828</v>
      </c>
      <c r="D19" s="6">
        <v>826</v>
      </c>
      <c r="E19" s="6">
        <v>1002</v>
      </c>
    </row>
    <row r="20" spans="1:5" ht="21.75" x14ac:dyDescent="0.4">
      <c r="A20" s="6">
        <v>7</v>
      </c>
      <c r="B20" s="6" t="s">
        <v>396</v>
      </c>
      <c r="C20" s="6">
        <v>2062</v>
      </c>
      <c r="D20" s="6">
        <v>965</v>
      </c>
      <c r="E20" s="6">
        <v>1097</v>
      </c>
    </row>
    <row r="21" spans="1:5" ht="21.75" x14ac:dyDescent="0.4">
      <c r="A21" s="6">
        <v>8</v>
      </c>
      <c r="B21" s="6" t="s">
        <v>397</v>
      </c>
      <c r="C21" s="6">
        <v>1228</v>
      </c>
      <c r="D21" s="6">
        <v>598</v>
      </c>
      <c r="E21" s="6">
        <v>630</v>
      </c>
    </row>
    <row r="22" spans="1:5" ht="21.75" x14ac:dyDescent="0.4">
      <c r="A22" s="6">
        <v>9</v>
      </c>
      <c r="B22" s="6" t="s">
        <v>398</v>
      </c>
      <c r="C22" s="6">
        <v>623</v>
      </c>
      <c r="D22" s="6">
        <v>294</v>
      </c>
      <c r="E22" s="6">
        <v>329</v>
      </c>
    </row>
    <row r="23" spans="1:5" ht="21.75" x14ac:dyDescent="0.4">
      <c r="A23" s="6">
        <v>10</v>
      </c>
      <c r="B23" s="6" t="s">
        <v>399</v>
      </c>
      <c r="C23" s="6">
        <v>953</v>
      </c>
      <c r="D23" s="6">
        <v>439</v>
      </c>
      <c r="E23" s="6">
        <v>514</v>
      </c>
    </row>
    <row r="24" spans="1:5" ht="21.75" x14ac:dyDescent="0.4">
      <c r="A24" s="6">
        <v>11</v>
      </c>
      <c r="B24" s="6" t="s">
        <v>400</v>
      </c>
      <c r="C24" s="6">
        <v>971</v>
      </c>
      <c r="D24" s="6">
        <v>477</v>
      </c>
      <c r="E24" s="6">
        <v>494</v>
      </c>
    </row>
    <row r="25" spans="1:5" ht="21.75" x14ac:dyDescent="0.4">
      <c r="A25" s="6">
        <v>12</v>
      </c>
      <c r="B25" s="6" t="s">
        <v>401</v>
      </c>
      <c r="C25" s="6">
        <v>761</v>
      </c>
      <c r="D25" s="6">
        <v>352</v>
      </c>
      <c r="E25" s="6">
        <v>409</v>
      </c>
    </row>
    <row r="26" spans="1:5" ht="21.75" x14ac:dyDescent="0.4">
      <c r="A26" s="6">
        <v>13</v>
      </c>
      <c r="B26" s="6" t="s">
        <v>402</v>
      </c>
      <c r="C26" s="6">
        <v>1028</v>
      </c>
      <c r="D26" s="6">
        <v>480</v>
      </c>
      <c r="E26" s="6">
        <v>548</v>
      </c>
    </row>
    <row r="27" spans="1:5" ht="21.75" x14ac:dyDescent="0.4">
      <c r="A27" s="6">
        <v>14</v>
      </c>
      <c r="B27" s="6" t="s">
        <v>403</v>
      </c>
      <c r="C27" s="6">
        <v>1460</v>
      </c>
      <c r="D27" s="6">
        <v>704</v>
      </c>
      <c r="E27" s="6">
        <v>756</v>
      </c>
    </row>
    <row r="28" spans="1:5" ht="21.75" x14ac:dyDescent="0.4">
      <c r="A28" s="6">
        <v>15</v>
      </c>
      <c r="B28" s="6" t="s">
        <v>404</v>
      </c>
      <c r="C28" s="6">
        <v>461</v>
      </c>
      <c r="D28" s="6">
        <v>212</v>
      </c>
      <c r="E28" s="6">
        <v>249</v>
      </c>
    </row>
    <row r="29" spans="1:5" ht="21.75" x14ac:dyDescent="0.4">
      <c r="A29" s="6">
        <v>16</v>
      </c>
      <c r="B29" s="6" t="s">
        <v>405</v>
      </c>
      <c r="C29" s="6">
        <v>1019</v>
      </c>
      <c r="D29" s="6">
        <v>473</v>
      </c>
      <c r="E29" s="6">
        <v>546</v>
      </c>
    </row>
    <row r="30" spans="1:5" ht="21.75" x14ac:dyDescent="0.4">
      <c r="A30" s="6">
        <v>17</v>
      </c>
      <c r="B30" s="6" t="s">
        <v>406</v>
      </c>
      <c r="C30" s="6">
        <v>669</v>
      </c>
      <c r="D30" s="6">
        <v>298</v>
      </c>
      <c r="E30" s="6">
        <v>371</v>
      </c>
    </row>
    <row r="31" spans="1:5" ht="21.75" x14ac:dyDescent="0.4">
      <c r="A31" s="6">
        <v>18</v>
      </c>
      <c r="B31" s="6" t="s">
        <v>407</v>
      </c>
      <c r="C31" s="6">
        <v>1075</v>
      </c>
      <c r="D31" s="6">
        <v>520</v>
      </c>
      <c r="E31" s="6">
        <v>555</v>
      </c>
    </row>
    <row r="32" spans="1:5" ht="21.75" x14ac:dyDescent="0.4">
      <c r="A32" s="6">
        <v>19</v>
      </c>
      <c r="B32" s="6" t="s">
        <v>408</v>
      </c>
      <c r="C32" s="6">
        <v>839</v>
      </c>
      <c r="D32" s="6">
        <v>415</v>
      </c>
      <c r="E32" s="6">
        <v>424</v>
      </c>
    </row>
    <row r="33" spans="1:5" ht="21.75" x14ac:dyDescent="0.4">
      <c r="A33" s="6">
        <v>20</v>
      </c>
      <c r="B33" s="6" t="s">
        <v>409</v>
      </c>
      <c r="C33" s="6">
        <v>963</v>
      </c>
      <c r="D33" s="6">
        <v>455</v>
      </c>
      <c r="E33" s="6">
        <v>508</v>
      </c>
    </row>
    <row r="34" spans="1:5" ht="21.75" x14ac:dyDescent="0.4">
      <c r="A34" s="6">
        <v>21</v>
      </c>
      <c r="B34" s="6" t="s">
        <v>410</v>
      </c>
      <c r="C34" s="6">
        <v>1232</v>
      </c>
      <c r="D34" s="6">
        <v>600</v>
      </c>
      <c r="E34" s="6">
        <v>632</v>
      </c>
    </row>
    <row r="35" spans="1:5" ht="21.75" x14ac:dyDescent="0.4">
      <c r="A35" s="6">
        <v>22</v>
      </c>
      <c r="B35" s="6" t="s">
        <v>411</v>
      </c>
      <c r="C35" s="6">
        <v>798</v>
      </c>
      <c r="D35" s="6">
        <v>373</v>
      </c>
      <c r="E35" s="6">
        <v>425</v>
      </c>
    </row>
    <row r="36" spans="1:5" ht="21.75" x14ac:dyDescent="0.4">
      <c r="A36" s="6">
        <v>23</v>
      </c>
      <c r="B36" s="6" t="s">
        <v>412</v>
      </c>
      <c r="C36" s="6">
        <v>320</v>
      </c>
      <c r="D36" s="6">
        <v>158</v>
      </c>
      <c r="E36" s="6">
        <v>162</v>
      </c>
    </row>
    <row r="37" spans="1:5" ht="21.75" x14ac:dyDescent="0.4">
      <c r="A37" s="6">
        <v>24</v>
      </c>
      <c r="B37" s="6" t="s">
        <v>413</v>
      </c>
      <c r="C37" s="6">
        <v>742</v>
      </c>
      <c r="D37" s="6">
        <v>363</v>
      </c>
      <c r="E37" s="6">
        <v>379</v>
      </c>
    </row>
    <row r="38" spans="1:5" ht="21.75" x14ac:dyDescent="0.4">
      <c r="A38" s="6">
        <v>25</v>
      </c>
      <c r="B38" s="6" t="s">
        <v>414</v>
      </c>
      <c r="C38" s="6">
        <v>1058</v>
      </c>
      <c r="D38" s="6">
        <v>496</v>
      </c>
      <c r="E38" s="6">
        <v>562</v>
      </c>
    </row>
    <row r="39" spans="1:5" ht="21.75" x14ac:dyDescent="0.4">
      <c r="A39" s="6">
        <v>26</v>
      </c>
      <c r="B39" s="6" t="s">
        <v>415</v>
      </c>
      <c r="C39" s="6">
        <v>457</v>
      </c>
      <c r="D39" s="6">
        <v>224</v>
      </c>
      <c r="E39" s="6">
        <v>233</v>
      </c>
    </row>
    <row r="40" spans="1:5" ht="21.75" x14ac:dyDescent="0.4">
      <c r="A40" s="6">
        <v>27</v>
      </c>
      <c r="B40" s="6" t="s">
        <v>416</v>
      </c>
      <c r="C40" s="6">
        <v>772</v>
      </c>
      <c r="D40" s="6">
        <v>368</v>
      </c>
      <c r="E40" s="6">
        <v>404</v>
      </c>
    </row>
    <row r="41" spans="1:5" ht="21.75" x14ac:dyDescent="0.4">
      <c r="A41" s="6">
        <v>28</v>
      </c>
      <c r="B41" s="6" t="s">
        <v>417</v>
      </c>
      <c r="C41" s="6">
        <v>793</v>
      </c>
      <c r="D41" s="6">
        <v>378</v>
      </c>
      <c r="E41" s="6">
        <v>415</v>
      </c>
    </row>
    <row r="42" spans="1:5" ht="21.75" x14ac:dyDescent="0.4">
      <c r="A42" s="6">
        <v>29</v>
      </c>
      <c r="B42" s="6" t="s">
        <v>418</v>
      </c>
      <c r="C42" s="6">
        <v>899</v>
      </c>
      <c r="D42" s="6">
        <v>423</v>
      </c>
      <c r="E42" s="6">
        <v>476</v>
      </c>
    </row>
    <row r="43" spans="1:5" ht="21.75" x14ac:dyDescent="0.4">
      <c r="A43" s="6">
        <v>30</v>
      </c>
      <c r="B43" s="6" t="s">
        <v>419</v>
      </c>
      <c r="C43" s="6">
        <v>1201</v>
      </c>
      <c r="D43" s="6">
        <v>546</v>
      </c>
      <c r="E43" s="6">
        <v>655</v>
      </c>
    </row>
    <row r="44" spans="1:5" ht="21.75" x14ac:dyDescent="0.4">
      <c r="A44" s="6">
        <v>31</v>
      </c>
      <c r="B44" s="6" t="s">
        <v>420</v>
      </c>
      <c r="C44" s="6">
        <v>1246</v>
      </c>
      <c r="D44" s="6">
        <v>593</v>
      </c>
      <c r="E44" s="6">
        <v>653</v>
      </c>
    </row>
    <row r="45" spans="1:5" ht="21.75" x14ac:dyDescent="0.4">
      <c r="A45" s="6">
        <v>32</v>
      </c>
      <c r="B45" s="6" t="s">
        <v>421</v>
      </c>
      <c r="C45" s="6">
        <v>1426</v>
      </c>
      <c r="D45" s="6">
        <v>665</v>
      </c>
      <c r="E45" s="6">
        <v>761</v>
      </c>
    </row>
    <row r="46" spans="1:5" ht="21.75" x14ac:dyDescent="0.4">
      <c r="A46" s="6">
        <v>33</v>
      </c>
      <c r="B46" s="6" t="s">
        <v>422</v>
      </c>
      <c r="C46" s="6">
        <v>809</v>
      </c>
      <c r="D46" s="6">
        <v>376</v>
      </c>
      <c r="E46" s="6">
        <v>433</v>
      </c>
    </row>
    <row r="47" spans="1:5" ht="21.75" x14ac:dyDescent="0.4">
      <c r="A47" s="6">
        <v>34</v>
      </c>
      <c r="B47" s="6" t="s">
        <v>423</v>
      </c>
      <c r="C47" s="6">
        <v>1185</v>
      </c>
      <c r="D47" s="6">
        <v>578</v>
      </c>
      <c r="E47" s="6">
        <v>607</v>
      </c>
    </row>
    <row r="48" spans="1:5" ht="21.75" x14ac:dyDescent="0.4">
      <c r="A48" s="6">
        <v>35</v>
      </c>
      <c r="B48" s="6" t="s">
        <v>424</v>
      </c>
      <c r="C48" s="6">
        <v>1470</v>
      </c>
      <c r="D48" s="6">
        <v>743</v>
      </c>
      <c r="E48" s="6">
        <v>727</v>
      </c>
    </row>
    <row r="49" spans="1:5" ht="21.75" x14ac:dyDescent="0.4">
      <c r="A49" s="6">
        <v>36</v>
      </c>
      <c r="B49" s="6" t="s">
        <v>425</v>
      </c>
      <c r="C49" s="6">
        <v>451</v>
      </c>
      <c r="D49" s="6">
        <v>230</v>
      </c>
      <c r="E49" s="6">
        <v>221</v>
      </c>
    </row>
    <row r="50" spans="1:5" ht="21.75" x14ac:dyDescent="0.4">
      <c r="A50" s="6">
        <v>37</v>
      </c>
      <c r="B50" s="6" t="s">
        <v>426</v>
      </c>
      <c r="C50" s="6">
        <v>1492</v>
      </c>
      <c r="D50" s="6">
        <v>730</v>
      </c>
      <c r="E50" s="6">
        <v>762</v>
      </c>
    </row>
    <row r="51" spans="1:5" ht="21.75" x14ac:dyDescent="0.4">
      <c r="A51" s="6">
        <v>38</v>
      </c>
      <c r="B51" s="6" t="s">
        <v>427</v>
      </c>
      <c r="C51" s="6">
        <v>480</v>
      </c>
      <c r="D51" s="6">
        <v>213</v>
      </c>
      <c r="E51" s="6">
        <v>267</v>
      </c>
    </row>
    <row r="52" spans="1:5" ht="21.75" x14ac:dyDescent="0.4">
      <c r="A52" s="6">
        <v>39</v>
      </c>
      <c r="B52" s="6" t="s">
        <v>428</v>
      </c>
      <c r="C52" s="6">
        <v>719</v>
      </c>
      <c r="D52" s="6">
        <v>360</v>
      </c>
      <c r="E52" s="6">
        <v>359</v>
      </c>
    </row>
    <row r="53" spans="1:5" ht="21.75" x14ac:dyDescent="0.4">
      <c r="A53" s="6">
        <v>40</v>
      </c>
      <c r="B53" s="6" t="s">
        <v>429</v>
      </c>
      <c r="C53" s="6">
        <v>1602</v>
      </c>
      <c r="D53" s="6">
        <v>759</v>
      </c>
      <c r="E53" s="6">
        <v>843</v>
      </c>
    </row>
    <row r="54" spans="1:5" ht="21.75" x14ac:dyDescent="0.4">
      <c r="A54" s="6">
        <v>41</v>
      </c>
      <c r="B54" s="6" t="s">
        <v>430</v>
      </c>
      <c r="C54" s="6">
        <v>953</v>
      </c>
      <c r="D54" s="6">
        <v>464</v>
      </c>
      <c r="E54" s="6">
        <v>489</v>
      </c>
    </row>
    <row r="55" spans="1:5" ht="21.75" x14ac:dyDescent="0.4">
      <c r="A55" s="6">
        <v>42</v>
      </c>
      <c r="B55" s="6" t="s">
        <v>431</v>
      </c>
      <c r="C55" s="6">
        <v>2089</v>
      </c>
      <c r="D55" s="6">
        <v>1029</v>
      </c>
      <c r="E55" s="6">
        <v>1060</v>
      </c>
    </row>
    <row r="56" spans="1:5" ht="21.75" x14ac:dyDescent="0.4">
      <c r="A56" s="6">
        <v>43</v>
      </c>
      <c r="B56" s="6" t="s">
        <v>432</v>
      </c>
      <c r="C56" s="6">
        <v>2549</v>
      </c>
      <c r="D56" s="6">
        <v>1165</v>
      </c>
      <c r="E56" s="6">
        <v>1384</v>
      </c>
    </row>
    <row r="57" spans="1:5" ht="21.75" x14ac:dyDescent="0.4">
      <c r="A57" s="6">
        <v>44</v>
      </c>
      <c r="B57" s="6" t="s">
        <v>433</v>
      </c>
      <c r="C57" s="6">
        <v>872</v>
      </c>
      <c r="D57" s="6">
        <v>435</v>
      </c>
      <c r="E57" s="6">
        <v>437</v>
      </c>
    </row>
    <row r="58" spans="1:5" ht="21.75" x14ac:dyDescent="0.4">
      <c r="A58" s="6">
        <v>45</v>
      </c>
      <c r="B58" s="6" t="s">
        <v>434</v>
      </c>
      <c r="C58" s="6">
        <v>2380</v>
      </c>
      <c r="D58" s="6">
        <v>1150</v>
      </c>
      <c r="E58" s="6">
        <v>1230</v>
      </c>
    </row>
    <row r="59" spans="1:5" ht="21.75" x14ac:dyDescent="0.4">
      <c r="A59" s="6">
        <v>46</v>
      </c>
      <c r="B59" s="6" t="s">
        <v>435</v>
      </c>
      <c r="C59" s="6">
        <v>495</v>
      </c>
      <c r="D59" s="6">
        <v>252</v>
      </c>
      <c r="E59" s="6">
        <v>243</v>
      </c>
    </row>
    <row r="60" spans="1:5" ht="21.75" x14ac:dyDescent="0.4">
      <c r="A60" s="6">
        <v>47</v>
      </c>
      <c r="B60" s="6" t="s">
        <v>436</v>
      </c>
      <c r="C60" s="6">
        <v>545</v>
      </c>
      <c r="D60" s="6">
        <v>251</v>
      </c>
      <c r="E60" s="6">
        <v>294</v>
      </c>
    </row>
    <row r="61" spans="1:5" ht="21.75" x14ac:dyDescent="0.4">
      <c r="A61" s="6">
        <v>48</v>
      </c>
      <c r="B61" s="6" t="s">
        <v>437</v>
      </c>
      <c r="C61" s="6">
        <v>1120</v>
      </c>
      <c r="D61" s="6">
        <v>568</v>
      </c>
      <c r="E61" s="6">
        <v>552</v>
      </c>
    </row>
    <row r="62" spans="1:5" ht="21.75" x14ac:dyDescent="0.4">
      <c r="A62" s="6">
        <v>49</v>
      </c>
      <c r="B62" s="6" t="s">
        <v>438</v>
      </c>
      <c r="C62" s="6">
        <v>1657</v>
      </c>
      <c r="D62" s="6">
        <v>807</v>
      </c>
      <c r="E62" s="6">
        <v>850</v>
      </c>
    </row>
    <row r="63" spans="1:5" ht="21.75" x14ac:dyDescent="0.4">
      <c r="A63" s="6">
        <v>50</v>
      </c>
      <c r="B63" s="6" t="s">
        <v>439</v>
      </c>
      <c r="C63" s="6">
        <v>686</v>
      </c>
      <c r="D63" s="6">
        <v>330</v>
      </c>
      <c r="E63" s="6">
        <v>356</v>
      </c>
    </row>
    <row r="64" spans="1:5" ht="21.75" x14ac:dyDescent="0.4">
      <c r="A64" s="6">
        <v>51</v>
      </c>
      <c r="B64" s="6" t="s">
        <v>440</v>
      </c>
      <c r="C64" s="6">
        <v>702</v>
      </c>
      <c r="D64" s="6">
        <v>335</v>
      </c>
      <c r="E64" s="6">
        <v>367</v>
      </c>
    </row>
    <row r="65" spans="1:5" ht="21.75" x14ac:dyDescent="0.4">
      <c r="A65" s="6">
        <v>52</v>
      </c>
      <c r="B65" s="6" t="s">
        <v>441</v>
      </c>
      <c r="C65" s="6">
        <v>702</v>
      </c>
      <c r="D65" s="6">
        <v>355</v>
      </c>
      <c r="E65" s="6">
        <v>347</v>
      </c>
    </row>
    <row r="66" spans="1:5" ht="21.75" x14ac:dyDescent="0.4">
      <c r="A66" s="6">
        <v>53</v>
      </c>
      <c r="B66" s="6" t="s">
        <v>442</v>
      </c>
      <c r="C66" s="6">
        <v>168</v>
      </c>
      <c r="D66" s="6">
        <v>94</v>
      </c>
      <c r="E66" s="6">
        <v>74</v>
      </c>
    </row>
    <row r="67" spans="1:5" ht="21.75" x14ac:dyDescent="0.4">
      <c r="A67" s="6">
        <v>54</v>
      </c>
      <c r="B67" s="6" t="s">
        <v>443</v>
      </c>
      <c r="C67" s="6">
        <v>1220</v>
      </c>
      <c r="D67" s="6">
        <v>584</v>
      </c>
      <c r="E67" s="6">
        <v>636</v>
      </c>
    </row>
    <row r="68" spans="1:5" ht="21.75" x14ac:dyDescent="0.4">
      <c r="A68" s="6">
        <v>55</v>
      </c>
      <c r="B68" s="6" t="s">
        <v>444</v>
      </c>
      <c r="C68" s="6">
        <v>404</v>
      </c>
      <c r="D68" s="6">
        <v>208</v>
      </c>
      <c r="E68" s="6">
        <v>196</v>
      </c>
    </row>
    <row r="69" spans="1:5" ht="21.75" x14ac:dyDescent="0.4">
      <c r="A69" s="6">
        <v>56</v>
      </c>
      <c r="B69" s="6" t="s">
        <v>445</v>
      </c>
      <c r="C69" s="6">
        <v>176</v>
      </c>
      <c r="D69" s="6">
        <v>83</v>
      </c>
      <c r="E69" s="6">
        <v>93</v>
      </c>
    </row>
    <row r="70" spans="1:5" ht="21.75" x14ac:dyDescent="0.4">
      <c r="A70" s="8">
        <v>57</v>
      </c>
      <c r="B70" s="8" t="s">
        <v>446</v>
      </c>
      <c r="C70" s="8">
        <v>972</v>
      </c>
      <c r="D70" s="8">
        <v>483</v>
      </c>
      <c r="E70" s="8">
        <v>489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Chin State, Mindat  District,  Paletwa Township"/>
  </hyperlinks>
  <pageMargins left="0.75" right="0.5" top="0.5" bottom="0.2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selection sqref="A1:E1"/>
    </sheetView>
  </sheetViews>
  <sheetFormatPr defaultRowHeight="24.75" customHeight="1" x14ac:dyDescent="0.4"/>
  <cols>
    <col min="1" max="1" width="6.7109375" style="1" customWidth="1"/>
    <col min="2" max="2" width="27.28515625" style="1" customWidth="1"/>
    <col min="3" max="5" width="15.7109375" style="1" customWidth="1"/>
    <col min="6" max="6" width="22.42578125" style="1" customWidth="1"/>
    <col min="7" max="7" width="15.5703125" style="1" customWidth="1"/>
    <col min="8" max="16384" width="9.140625" style="1"/>
  </cols>
  <sheetData>
    <row r="1" spans="1:5" ht="24.75" customHeight="1" x14ac:dyDescent="0.4">
      <c r="A1" s="40" t="s">
        <v>515</v>
      </c>
      <c r="B1" s="40"/>
      <c r="C1" s="40"/>
      <c r="D1" s="40"/>
      <c r="E1" s="40"/>
    </row>
    <row r="2" spans="1:5" ht="24.75" customHeight="1" x14ac:dyDescent="0.4">
      <c r="B2" s="4"/>
      <c r="C2" s="4"/>
      <c r="D2" s="4"/>
      <c r="E2" s="37" t="s">
        <v>501</v>
      </c>
    </row>
    <row r="3" spans="1:5" ht="24.75" customHeight="1" x14ac:dyDescent="0.4">
      <c r="B3" s="4"/>
      <c r="C3" s="4"/>
      <c r="D3" s="4"/>
      <c r="E3" s="37"/>
    </row>
    <row r="4" spans="1:5" ht="10.5" customHeight="1" x14ac:dyDescent="0.4"/>
    <row r="5" spans="1:5" ht="24.75" customHeight="1" x14ac:dyDescent="0.4">
      <c r="A5" s="35" t="s">
        <v>502</v>
      </c>
      <c r="B5" s="35" t="s">
        <v>519</v>
      </c>
      <c r="C5" s="32" t="s">
        <v>500</v>
      </c>
      <c r="D5" s="33"/>
      <c r="E5" s="34"/>
    </row>
    <row r="6" spans="1:5" ht="24.75" customHeight="1" x14ac:dyDescent="0.4">
      <c r="A6" s="36"/>
      <c r="B6" s="36"/>
      <c r="C6" s="9" t="s">
        <v>0</v>
      </c>
      <c r="D6" s="9" t="s">
        <v>1</v>
      </c>
      <c r="E6" s="9" t="s">
        <v>2</v>
      </c>
    </row>
    <row r="7" spans="1:5" ht="21.75" x14ac:dyDescent="0.4">
      <c r="A7" s="27"/>
      <c r="B7" s="5" t="s">
        <v>517</v>
      </c>
      <c r="C7" s="5">
        <f>C9+C11</f>
        <v>12265</v>
      </c>
      <c r="D7" s="5">
        <f t="shared" ref="D7:E7" si="0">D9+D11</f>
        <v>5471</v>
      </c>
      <c r="E7" s="5">
        <f t="shared" si="0"/>
        <v>6794</v>
      </c>
    </row>
    <row r="8" spans="1:5" ht="10.5" customHeight="1" x14ac:dyDescent="0.4">
      <c r="A8" s="10"/>
      <c r="B8" s="10"/>
      <c r="C8" s="10"/>
      <c r="D8" s="10"/>
      <c r="E8" s="10"/>
    </row>
    <row r="9" spans="1:5" ht="21.75" x14ac:dyDescent="0.4">
      <c r="A9" s="10"/>
      <c r="B9" s="15" t="s">
        <v>503</v>
      </c>
      <c r="C9" s="7">
        <f>SUM(C10)</f>
        <v>2229</v>
      </c>
      <c r="D9" s="7">
        <f t="shared" ref="D9:E9" si="1">SUM(D10)</f>
        <v>986</v>
      </c>
      <c r="E9" s="7">
        <f t="shared" si="1"/>
        <v>1243</v>
      </c>
    </row>
    <row r="10" spans="1:5" ht="21.75" x14ac:dyDescent="0.4">
      <c r="A10" s="6">
        <v>1</v>
      </c>
      <c r="B10" s="6" t="s">
        <v>164</v>
      </c>
      <c r="C10" s="6">
        <v>2229</v>
      </c>
      <c r="D10" s="6">
        <v>986</v>
      </c>
      <c r="E10" s="6">
        <v>1243</v>
      </c>
    </row>
    <row r="11" spans="1:5" ht="21.75" x14ac:dyDescent="0.4">
      <c r="A11" s="6"/>
      <c r="B11" s="15" t="s">
        <v>518</v>
      </c>
      <c r="C11" s="7">
        <f>SUM(C12:C25)</f>
        <v>10036</v>
      </c>
      <c r="D11" s="7">
        <f t="shared" ref="D11:E11" si="2">SUM(D12:D25)</f>
        <v>4485</v>
      </c>
      <c r="E11" s="7">
        <f t="shared" si="2"/>
        <v>5551</v>
      </c>
    </row>
    <row r="12" spans="1:5" ht="21.75" x14ac:dyDescent="0.4">
      <c r="A12" s="6">
        <v>1</v>
      </c>
      <c r="B12" s="6" t="s">
        <v>447</v>
      </c>
      <c r="C12" s="6">
        <v>632</v>
      </c>
      <c r="D12" s="6">
        <v>290</v>
      </c>
      <c r="E12" s="6">
        <v>342</v>
      </c>
    </row>
    <row r="13" spans="1:5" ht="21.75" x14ac:dyDescent="0.4">
      <c r="A13" s="6">
        <v>2</v>
      </c>
      <c r="B13" s="6" t="s">
        <v>448</v>
      </c>
      <c r="C13" s="6">
        <v>570</v>
      </c>
      <c r="D13" s="6">
        <v>258</v>
      </c>
      <c r="E13" s="6">
        <v>312</v>
      </c>
    </row>
    <row r="14" spans="1:5" ht="21.75" x14ac:dyDescent="0.4">
      <c r="A14" s="6">
        <v>3</v>
      </c>
      <c r="B14" s="6" t="s">
        <v>449</v>
      </c>
      <c r="C14" s="6">
        <v>854</v>
      </c>
      <c r="D14" s="6">
        <v>390</v>
      </c>
      <c r="E14" s="6">
        <v>464</v>
      </c>
    </row>
    <row r="15" spans="1:5" ht="21.75" x14ac:dyDescent="0.4">
      <c r="A15" s="6">
        <v>4</v>
      </c>
      <c r="B15" s="6" t="s">
        <v>450</v>
      </c>
      <c r="C15" s="6">
        <v>778</v>
      </c>
      <c r="D15" s="6">
        <v>337</v>
      </c>
      <c r="E15" s="6">
        <v>441</v>
      </c>
    </row>
    <row r="16" spans="1:5" ht="21.75" x14ac:dyDescent="0.4">
      <c r="A16" s="6">
        <v>5</v>
      </c>
      <c r="B16" s="6" t="s">
        <v>451</v>
      </c>
      <c r="C16" s="6">
        <v>1326</v>
      </c>
      <c r="D16" s="6">
        <v>571</v>
      </c>
      <c r="E16" s="6">
        <v>755</v>
      </c>
    </row>
    <row r="17" spans="1:5" ht="21.75" x14ac:dyDescent="0.4">
      <c r="A17" s="6">
        <v>6</v>
      </c>
      <c r="B17" s="6" t="s">
        <v>452</v>
      </c>
      <c r="C17" s="6">
        <v>512</v>
      </c>
      <c r="D17" s="6">
        <v>215</v>
      </c>
      <c r="E17" s="6">
        <v>297</v>
      </c>
    </row>
    <row r="18" spans="1:5" ht="21.75" x14ac:dyDescent="0.4">
      <c r="A18" s="6">
        <v>7</v>
      </c>
      <c r="B18" s="6" t="s">
        <v>453</v>
      </c>
      <c r="C18" s="6">
        <v>800</v>
      </c>
      <c r="D18" s="6">
        <v>353</v>
      </c>
      <c r="E18" s="6">
        <v>447</v>
      </c>
    </row>
    <row r="19" spans="1:5" ht="21.75" x14ac:dyDescent="0.4">
      <c r="A19" s="6">
        <v>8</v>
      </c>
      <c r="B19" s="6" t="s">
        <v>454</v>
      </c>
      <c r="C19" s="6">
        <v>800</v>
      </c>
      <c r="D19" s="6">
        <v>361</v>
      </c>
      <c r="E19" s="6">
        <v>439</v>
      </c>
    </row>
    <row r="20" spans="1:5" ht="21.75" x14ac:dyDescent="0.4">
      <c r="A20" s="6">
        <v>9</v>
      </c>
      <c r="B20" s="6" t="s">
        <v>455</v>
      </c>
      <c r="C20" s="6">
        <v>832</v>
      </c>
      <c r="D20" s="6">
        <v>396</v>
      </c>
      <c r="E20" s="6">
        <v>436</v>
      </c>
    </row>
    <row r="21" spans="1:5" ht="21.75" x14ac:dyDescent="0.4">
      <c r="A21" s="6">
        <v>10</v>
      </c>
      <c r="B21" s="6" t="s">
        <v>456</v>
      </c>
      <c r="C21" s="6">
        <v>619</v>
      </c>
      <c r="D21" s="6">
        <v>279</v>
      </c>
      <c r="E21" s="6">
        <v>340</v>
      </c>
    </row>
    <row r="22" spans="1:5" ht="21.75" x14ac:dyDescent="0.4">
      <c r="A22" s="6">
        <v>11</v>
      </c>
      <c r="B22" s="6" t="s">
        <v>457</v>
      </c>
      <c r="C22" s="6">
        <v>502</v>
      </c>
      <c r="D22" s="6">
        <v>234</v>
      </c>
      <c r="E22" s="6">
        <v>268</v>
      </c>
    </row>
    <row r="23" spans="1:5" ht="21.75" x14ac:dyDescent="0.4">
      <c r="A23" s="6">
        <v>12</v>
      </c>
      <c r="B23" s="6" t="s">
        <v>458</v>
      </c>
      <c r="C23" s="6">
        <v>444</v>
      </c>
      <c r="D23" s="6">
        <v>186</v>
      </c>
      <c r="E23" s="6">
        <v>258</v>
      </c>
    </row>
    <row r="24" spans="1:5" ht="21.75" x14ac:dyDescent="0.4">
      <c r="A24" s="6">
        <v>13</v>
      </c>
      <c r="B24" s="6" t="s">
        <v>459</v>
      </c>
      <c r="C24" s="6">
        <v>576</v>
      </c>
      <c r="D24" s="6">
        <v>238</v>
      </c>
      <c r="E24" s="6">
        <v>338</v>
      </c>
    </row>
    <row r="25" spans="1:5" ht="21.75" x14ac:dyDescent="0.4">
      <c r="A25" s="8">
        <v>14</v>
      </c>
      <c r="B25" s="8" t="s">
        <v>460</v>
      </c>
      <c r="C25" s="8">
        <v>791</v>
      </c>
      <c r="D25" s="8">
        <v>377</v>
      </c>
      <c r="E25" s="8">
        <v>414</v>
      </c>
    </row>
    <row r="26" spans="1:5" ht="24.75" customHeight="1" x14ac:dyDescent="0.4">
      <c r="A26" s="26"/>
      <c r="B26" s="26"/>
      <c r="C26" s="26"/>
      <c r="D26" s="26"/>
      <c r="E26" s="26"/>
    </row>
    <row r="27" spans="1:5" ht="24.75" customHeight="1" x14ac:dyDescent="0.4">
      <c r="A27" s="13"/>
      <c r="B27" s="13"/>
      <c r="C27" s="13"/>
      <c r="D27" s="13"/>
      <c r="E27" s="13"/>
    </row>
    <row r="28" spans="1:5" ht="24.75" customHeight="1" x14ac:dyDescent="0.4">
      <c r="A28" s="13"/>
      <c r="B28" s="13"/>
      <c r="C28" s="13"/>
      <c r="D28" s="13"/>
      <c r="E28" s="13"/>
    </row>
    <row r="29" spans="1:5" ht="24.75" customHeight="1" x14ac:dyDescent="0.4">
      <c r="A29" s="13"/>
      <c r="B29" s="13"/>
      <c r="C29" s="13"/>
      <c r="D29" s="13"/>
      <c r="E29" s="13"/>
    </row>
    <row r="30" spans="1:5" ht="24.75" customHeight="1" x14ac:dyDescent="0.4">
      <c r="A30" s="13"/>
      <c r="B30" s="13"/>
      <c r="C30" s="13"/>
      <c r="D30" s="13"/>
      <c r="E30" s="13"/>
    </row>
    <row r="31" spans="1:5" ht="24.75" customHeight="1" x14ac:dyDescent="0.4">
      <c r="A31" s="13"/>
      <c r="B31" s="13"/>
      <c r="C31" s="13"/>
      <c r="D31" s="13"/>
      <c r="E31" s="13"/>
    </row>
    <row r="32" spans="1:5" ht="24.75" customHeight="1" x14ac:dyDescent="0.4">
      <c r="A32" s="13"/>
      <c r="B32" s="13"/>
      <c r="C32" s="13"/>
      <c r="D32" s="13"/>
      <c r="E32" s="13"/>
    </row>
    <row r="33" spans="1:5" ht="24.75" customHeight="1" x14ac:dyDescent="0.4">
      <c r="A33" s="13"/>
      <c r="B33" s="13"/>
      <c r="C33" s="13"/>
      <c r="D33" s="13"/>
      <c r="E33" s="13"/>
    </row>
    <row r="34" spans="1:5" ht="24.75" customHeight="1" x14ac:dyDescent="0.4">
      <c r="A34" s="13"/>
      <c r="B34" s="13"/>
      <c r="C34" s="13"/>
      <c r="D34" s="13"/>
      <c r="E34" s="13"/>
    </row>
    <row r="35" spans="1:5" ht="24.75" customHeight="1" x14ac:dyDescent="0.4">
      <c r="A35" s="13"/>
      <c r="B35" s="13"/>
      <c r="C35" s="13"/>
      <c r="D35" s="13"/>
      <c r="E35" s="13"/>
    </row>
    <row r="36" spans="1:5" ht="24.75" customHeight="1" x14ac:dyDescent="0.4">
      <c r="A36" s="13"/>
      <c r="B36" s="13"/>
      <c r="C36" s="13"/>
      <c r="D36" s="13"/>
      <c r="E36" s="13"/>
    </row>
    <row r="37" spans="1:5" ht="24.75" customHeight="1" x14ac:dyDescent="0.4">
      <c r="A37" s="13"/>
      <c r="B37" s="13"/>
      <c r="C37" s="13"/>
      <c r="D37" s="13"/>
      <c r="E37" s="13"/>
    </row>
    <row r="38" spans="1:5" ht="24.75" customHeight="1" x14ac:dyDescent="0.4">
      <c r="A38" s="13"/>
      <c r="B38" s="13"/>
      <c r="C38" s="13"/>
      <c r="D38" s="13"/>
      <c r="E38" s="13"/>
    </row>
    <row r="39" spans="1:5" ht="24.75" customHeight="1" x14ac:dyDescent="0.4">
      <c r="A39" s="13"/>
      <c r="B39" s="13"/>
      <c r="C39" s="13"/>
      <c r="D39" s="13"/>
      <c r="E39" s="13"/>
    </row>
    <row r="40" spans="1:5" ht="24.75" customHeight="1" x14ac:dyDescent="0.4">
      <c r="A40" s="13"/>
      <c r="B40" s="13"/>
      <c r="C40" s="13"/>
      <c r="D40" s="13"/>
      <c r="E40" s="13"/>
    </row>
    <row r="41" spans="1:5" ht="24.75" customHeight="1" x14ac:dyDescent="0.4">
      <c r="A41" s="13"/>
      <c r="B41" s="13"/>
      <c r="C41" s="13"/>
      <c r="D41" s="13"/>
      <c r="E41" s="13"/>
    </row>
    <row r="42" spans="1:5" ht="24.75" customHeight="1" x14ac:dyDescent="0.4">
      <c r="A42" s="13"/>
      <c r="B42" s="13"/>
      <c r="C42" s="13"/>
      <c r="D42" s="13"/>
      <c r="E42" s="13"/>
    </row>
    <row r="43" spans="1:5" ht="24.75" customHeight="1" x14ac:dyDescent="0.4">
      <c r="A43" s="13"/>
      <c r="B43" s="13"/>
      <c r="C43" s="13"/>
      <c r="D43" s="13"/>
      <c r="E43" s="13"/>
    </row>
    <row r="44" spans="1:5" ht="24.75" customHeight="1" x14ac:dyDescent="0.4">
      <c r="A44" s="13"/>
      <c r="B44" s="13"/>
      <c r="C44" s="13"/>
      <c r="D44" s="13"/>
      <c r="E44" s="13"/>
    </row>
    <row r="45" spans="1:5" ht="24.75" customHeight="1" x14ac:dyDescent="0.4">
      <c r="A45" s="13"/>
      <c r="B45" s="13"/>
      <c r="C45" s="13"/>
      <c r="D45" s="13"/>
      <c r="E45" s="13"/>
    </row>
    <row r="46" spans="1:5" ht="24.75" customHeight="1" x14ac:dyDescent="0.4">
      <c r="A46" s="13"/>
      <c r="B46" s="13"/>
      <c r="C46" s="13"/>
      <c r="D46" s="13"/>
      <c r="E46" s="13"/>
    </row>
    <row r="47" spans="1:5" ht="24.75" customHeight="1" x14ac:dyDescent="0.4">
      <c r="A47" s="13"/>
      <c r="B47" s="13"/>
      <c r="C47" s="13"/>
      <c r="D47" s="13"/>
      <c r="E47" s="13"/>
    </row>
    <row r="48" spans="1:5" ht="24.75" customHeight="1" x14ac:dyDescent="0.4">
      <c r="A48" s="13"/>
      <c r="B48" s="13"/>
      <c r="C48" s="13"/>
      <c r="D48" s="13"/>
      <c r="E48" s="13"/>
    </row>
    <row r="49" spans="1:5" ht="24.75" customHeight="1" x14ac:dyDescent="0.4">
      <c r="A49" s="13"/>
      <c r="B49" s="13"/>
      <c r="C49" s="13"/>
      <c r="D49" s="13"/>
      <c r="E49" s="13"/>
    </row>
    <row r="50" spans="1:5" ht="24.75" customHeight="1" x14ac:dyDescent="0.4">
      <c r="A50" s="13"/>
      <c r="B50" s="13"/>
      <c r="C50" s="13"/>
      <c r="D50" s="13"/>
      <c r="E50" s="13"/>
    </row>
    <row r="51" spans="1:5" ht="24.75" customHeight="1" x14ac:dyDescent="0.4">
      <c r="A51" s="13"/>
      <c r="B51" s="13"/>
      <c r="C51" s="13"/>
      <c r="D51" s="13"/>
      <c r="E51" s="13"/>
    </row>
    <row r="52" spans="1:5" ht="24.75" customHeight="1" x14ac:dyDescent="0.4">
      <c r="A52" s="13"/>
      <c r="B52" s="13"/>
      <c r="C52" s="13"/>
      <c r="D52" s="13"/>
      <c r="E52" s="13"/>
    </row>
    <row r="53" spans="1:5" ht="24.75" customHeight="1" x14ac:dyDescent="0.4">
      <c r="A53" s="13"/>
      <c r="B53" s="13"/>
      <c r="C53" s="13"/>
      <c r="D53" s="13"/>
      <c r="E53" s="13"/>
    </row>
    <row r="54" spans="1:5" ht="24.75" customHeight="1" x14ac:dyDescent="0.4">
      <c r="A54" s="13"/>
      <c r="B54" s="13"/>
      <c r="C54" s="13"/>
      <c r="D54" s="13"/>
      <c r="E54" s="13"/>
    </row>
    <row r="55" spans="1:5" ht="24.75" customHeight="1" x14ac:dyDescent="0.4">
      <c r="A55" s="13"/>
      <c r="B55" s="13"/>
      <c r="C55" s="13"/>
      <c r="D55" s="13"/>
      <c r="E55" s="13"/>
    </row>
    <row r="56" spans="1:5" ht="24.75" customHeight="1" x14ac:dyDescent="0.4">
      <c r="A56" s="13"/>
      <c r="B56" s="13"/>
      <c r="C56" s="13"/>
      <c r="D56" s="13"/>
      <c r="E56" s="13"/>
    </row>
    <row r="57" spans="1:5" ht="24.75" customHeight="1" x14ac:dyDescent="0.4">
      <c r="A57" s="13"/>
      <c r="B57" s="13"/>
      <c r="C57" s="13"/>
      <c r="D57" s="13"/>
      <c r="E57" s="13"/>
    </row>
    <row r="58" spans="1:5" ht="24.75" customHeight="1" x14ac:dyDescent="0.4">
      <c r="A58" s="13"/>
      <c r="B58" s="13"/>
      <c r="C58" s="13"/>
      <c r="D58" s="13"/>
      <c r="E58" s="13"/>
    </row>
    <row r="59" spans="1:5" ht="24.75" customHeight="1" x14ac:dyDescent="0.4">
      <c r="A59" s="13"/>
      <c r="B59" s="13"/>
      <c r="C59" s="13"/>
      <c r="D59" s="13"/>
      <c r="E59" s="13"/>
    </row>
    <row r="60" spans="1:5" ht="24.75" customHeight="1" x14ac:dyDescent="0.4">
      <c r="A60" s="13"/>
      <c r="B60" s="13"/>
      <c r="C60" s="13"/>
      <c r="D60" s="13"/>
      <c r="E60" s="13"/>
    </row>
    <row r="61" spans="1:5" ht="24.75" customHeight="1" x14ac:dyDescent="0.4">
      <c r="A61" s="13"/>
      <c r="B61" s="13"/>
      <c r="C61" s="13"/>
      <c r="D61" s="13"/>
      <c r="E61" s="13"/>
    </row>
    <row r="62" spans="1:5" ht="24.75" customHeight="1" x14ac:dyDescent="0.4">
      <c r="A62" s="13"/>
      <c r="B62" s="13"/>
      <c r="C62" s="13"/>
      <c r="D62" s="13"/>
      <c r="E62" s="13"/>
    </row>
    <row r="63" spans="1:5" ht="24.75" customHeight="1" x14ac:dyDescent="0.4">
      <c r="A63" s="13"/>
      <c r="B63" s="13"/>
      <c r="C63" s="13"/>
      <c r="D63" s="13"/>
      <c r="E63" s="13"/>
    </row>
    <row r="64" spans="1:5" ht="24.75" customHeight="1" x14ac:dyDescent="0.4">
      <c r="A64" s="13"/>
      <c r="B64" s="13"/>
      <c r="C64" s="13"/>
      <c r="D64" s="13"/>
      <c r="E64" s="13"/>
    </row>
    <row r="65" spans="1:5" ht="24.75" customHeight="1" x14ac:dyDescent="0.4">
      <c r="A65" s="13"/>
      <c r="B65" s="13"/>
      <c r="C65" s="13"/>
      <c r="D65" s="13"/>
      <c r="E65" s="13"/>
    </row>
    <row r="66" spans="1:5" ht="24.75" customHeight="1" x14ac:dyDescent="0.4">
      <c r="A66" s="13"/>
      <c r="B66" s="13"/>
      <c r="C66" s="13"/>
      <c r="D66" s="13"/>
      <c r="E66" s="13"/>
    </row>
    <row r="67" spans="1:5" ht="24.75" customHeight="1" x14ac:dyDescent="0.4">
      <c r="A67" s="13"/>
      <c r="B67" s="13"/>
      <c r="C67" s="13"/>
      <c r="D67" s="13"/>
      <c r="E67" s="13"/>
    </row>
    <row r="68" spans="1:5" ht="24.75" customHeight="1" x14ac:dyDescent="0.4">
      <c r="A68" s="13"/>
      <c r="B68" s="13"/>
      <c r="C68" s="13"/>
      <c r="D68" s="13"/>
      <c r="E68" s="13"/>
    </row>
    <row r="69" spans="1:5" ht="24.75" customHeight="1" x14ac:dyDescent="0.4">
      <c r="A69" s="13"/>
      <c r="B69" s="13"/>
      <c r="C69" s="13"/>
      <c r="D69" s="13"/>
      <c r="E69" s="13"/>
    </row>
    <row r="70" spans="1:5" ht="24.75" customHeight="1" x14ac:dyDescent="0.4">
      <c r="A70" s="13"/>
      <c r="B70" s="13"/>
      <c r="C70" s="13"/>
      <c r="D70" s="13"/>
      <c r="E70" s="13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Chin State, Mindat  District,  Reazu Sub- Township"/>
  </hyperlinks>
  <pageMargins left="0.75" right="0.5" top="0.5" bottom="0.2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sqref="A1:E1"/>
    </sheetView>
  </sheetViews>
  <sheetFormatPr defaultRowHeight="24.75" customHeight="1" x14ac:dyDescent="0.4"/>
  <cols>
    <col min="1" max="1" width="6" style="1" customWidth="1"/>
    <col min="2" max="2" width="29.7109375" style="1" customWidth="1"/>
    <col min="3" max="5" width="15.7109375" style="1" customWidth="1"/>
    <col min="6" max="6" width="25.85546875" style="1" customWidth="1"/>
    <col min="7" max="7" width="11.85546875" style="1" customWidth="1"/>
    <col min="8" max="8" width="13" style="1" customWidth="1"/>
    <col min="9" max="9" width="12.140625" style="1" customWidth="1"/>
    <col min="10" max="16384" width="9.140625" style="1"/>
  </cols>
  <sheetData>
    <row r="1" spans="1:10" ht="24.75" customHeight="1" x14ac:dyDescent="0.4">
      <c r="A1" s="40" t="s">
        <v>516</v>
      </c>
      <c r="B1" s="40"/>
      <c r="C1" s="40"/>
      <c r="D1" s="40"/>
      <c r="E1" s="40"/>
    </row>
    <row r="2" spans="1:10" ht="24.75" customHeight="1" x14ac:dyDescent="0.4">
      <c r="B2" s="4"/>
      <c r="C2" s="4"/>
      <c r="D2" s="4"/>
      <c r="E2" s="28" t="s">
        <v>501</v>
      </c>
    </row>
    <row r="3" spans="1:10" ht="10.5" customHeight="1" x14ac:dyDescent="0.4"/>
    <row r="4" spans="1:10" ht="21.75" x14ac:dyDescent="0.4">
      <c r="A4" s="35" t="s">
        <v>502</v>
      </c>
      <c r="B4" s="35" t="s">
        <v>519</v>
      </c>
      <c r="C4" s="32" t="s">
        <v>500</v>
      </c>
      <c r="D4" s="33"/>
      <c r="E4" s="34"/>
    </row>
    <row r="5" spans="1:10" ht="21.75" x14ac:dyDescent="0.4">
      <c r="A5" s="36"/>
      <c r="B5" s="36"/>
      <c r="C5" s="9" t="s">
        <v>0</v>
      </c>
      <c r="D5" s="9" t="s">
        <v>1</v>
      </c>
      <c r="E5" s="9" t="s">
        <v>2</v>
      </c>
    </row>
    <row r="6" spans="1:10" ht="24.75" customHeight="1" x14ac:dyDescent="0.4">
      <c r="A6" s="27"/>
      <c r="B6" s="5" t="s">
        <v>517</v>
      </c>
      <c r="C6" s="5">
        <f>C8+C12</f>
        <v>32082</v>
      </c>
      <c r="D6" s="5">
        <f t="shared" ref="D6:E6" si="0">D8+D12</f>
        <v>15666</v>
      </c>
      <c r="E6" s="5">
        <f t="shared" si="0"/>
        <v>16416</v>
      </c>
      <c r="G6"/>
      <c r="H6"/>
      <c r="I6"/>
      <c r="J6"/>
    </row>
    <row r="7" spans="1:10" ht="10.5" customHeight="1" x14ac:dyDescent="0.4">
      <c r="A7" s="10"/>
      <c r="B7" s="10"/>
      <c r="C7" s="10"/>
      <c r="D7" s="10"/>
      <c r="E7" s="10"/>
      <c r="H7"/>
      <c r="I7"/>
      <c r="J7"/>
    </row>
    <row r="8" spans="1:10" ht="21.75" x14ac:dyDescent="0.4">
      <c r="A8" s="10"/>
      <c r="B8" s="15" t="s">
        <v>503</v>
      </c>
      <c r="C8" s="7">
        <f>SUM(C9:C11)</f>
        <v>3032</v>
      </c>
      <c r="D8" s="7">
        <f t="shared" ref="D8:E8" si="1">SUM(D9:D11)</f>
        <v>1468</v>
      </c>
      <c r="E8" s="7">
        <f t="shared" si="1"/>
        <v>1564</v>
      </c>
      <c r="H8"/>
      <c r="I8"/>
      <c r="J8"/>
    </row>
    <row r="9" spans="1:10" ht="21.75" x14ac:dyDescent="0.4">
      <c r="A9" s="6">
        <v>1</v>
      </c>
      <c r="B9" s="6" t="s">
        <v>39</v>
      </c>
      <c r="C9" s="6">
        <v>1345</v>
      </c>
      <c r="D9" s="6">
        <v>634</v>
      </c>
      <c r="E9" s="6">
        <v>711</v>
      </c>
      <c r="F9"/>
      <c r="G9"/>
      <c r="H9"/>
    </row>
    <row r="10" spans="1:10" ht="21.75" x14ac:dyDescent="0.4">
      <c r="A10" s="6">
        <v>2</v>
      </c>
      <c r="B10" s="6" t="s">
        <v>40</v>
      </c>
      <c r="C10" s="6">
        <v>1280</v>
      </c>
      <c r="D10" s="6">
        <v>632</v>
      </c>
      <c r="E10" s="6">
        <v>648</v>
      </c>
      <c r="F10"/>
      <c r="G10"/>
      <c r="H10"/>
    </row>
    <row r="11" spans="1:10" ht="21.75" x14ac:dyDescent="0.4">
      <c r="A11" s="6">
        <v>3</v>
      </c>
      <c r="B11" s="6" t="s">
        <v>41</v>
      </c>
      <c r="C11" s="6">
        <v>407</v>
      </c>
      <c r="D11" s="6">
        <v>202</v>
      </c>
      <c r="E11" s="6">
        <v>205</v>
      </c>
      <c r="F11"/>
      <c r="G11"/>
      <c r="H11"/>
    </row>
    <row r="12" spans="1:10" ht="21.75" x14ac:dyDescent="0.4">
      <c r="A12" s="6"/>
      <c r="B12" s="15" t="s">
        <v>518</v>
      </c>
      <c r="C12" s="7">
        <f>SUM(C13:C51)</f>
        <v>29050</v>
      </c>
      <c r="D12" s="7">
        <f t="shared" ref="D12:E12" si="2">SUM(D13:D51)</f>
        <v>14198</v>
      </c>
      <c r="E12" s="7">
        <f t="shared" si="2"/>
        <v>14852</v>
      </c>
      <c r="F12"/>
      <c r="G12"/>
      <c r="H12"/>
    </row>
    <row r="13" spans="1:10" ht="21.75" x14ac:dyDescent="0.4">
      <c r="A13" s="6">
        <v>1</v>
      </c>
      <c r="B13" s="6" t="s">
        <v>461</v>
      </c>
      <c r="C13" s="6">
        <v>391</v>
      </c>
      <c r="D13" s="6">
        <v>176</v>
      </c>
      <c r="E13" s="6">
        <v>215</v>
      </c>
      <c r="F13"/>
      <c r="G13"/>
      <c r="H13"/>
    </row>
    <row r="14" spans="1:10" ht="21.75" x14ac:dyDescent="0.4">
      <c r="A14" s="6">
        <v>2</v>
      </c>
      <c r="B14" s="6" t="s">
        <v>462</v>
      </c>
      <c r="C14" s="6">
        <v>764</v>
      </c>
      <c r="D14" s="6">
        <v>360</v>
      </c>
      <c r="E14" s="6">
        <v>404</v>
      </c>
      <c r="F14"/>
      <c r="G14"/>
      <c r="H14"/>
    </row>
    <row r="15" spans="1:10" ht="21.75" x14ac:dyDescent="0.4">
      <c r="A15" s="6">
        <v>3</v>
      </c>
      <c r="B15" s="6" t="s">
        <v>463</v>
      </c>
      <c r="C15" s="6">
        <v>272</v>
      </c>
      <c r="D15" s="6">
        <v>125</v>
      </c>
      <c r="E15" s="6">
        <v>147</v>
      </c>
      <c r="F15"/>
      <c r="G15"/>
      <c r="H15"/>
    </row>
    <row r="16" spans="1:10" ht="21.75" x14ac:dyDescent="0.4">
      <c r="A16" s="6">
        <v>4</v>
      </c>
      <c r="B16" s="6" t="s">
        <v>464</v>
      </c>
      <c r="C16" s="6">
        <v>521</v>
      </c>
      <c r="D16" s="6">
        <v>243</v>
      </c>
      <c r="E16" s="6">
        <v>278</v>
      </c>
      <c r="F16"/>
      <c r="G16"/>
      <c r="H16"/>
    </row>
    <row r="17" spans="1:8" ht="21.75" x14ac:dyDescent="0.4">
      <c r="A17" s="6">
        <v>5</v>
      </c>
      <c r="B17" s="6" t="s">
        <v>465</v>
      </c>
      <c r="C17" s="6">
        <v>1129</v>
      </c>
      <c r="D17" s="6">
        <v>535</v>
      </c>
      <c r="E17" s="6">
        <v>594</v>
      </c>
      <c r="F17"/>
      <c r="G17"/>
      <c r="H17"/>
    </row>
    <row r="18" spans="1:8" ht="21.75" x14ac:dyDescent="0.4">
      <c r="A18" s="6">
        <v>6</v>
      </c>
      <c r="B18" s="6" t="s">
        <v>466</v>
      </c>
      <c r="C18" s="6">
        <v>1676</v>
      </c>
      <c r="D18" s="6">
        <v>827</v>
      </c>
      <c r="E18" s="6">
        <v>849</v>
      </c>
      <c r="F18"/>
      <c r="G18"/>
      <c r="H18"/>
    </row>
    <row r="19" spans="1:8" ht="21.75" x14ac:dyDescent="0.4">
      <c r="A19" s="6">
        <v>7</v>
      </c>
      <c r="B19" s="6" t="s">
        <v>467</v>
      </c>
      <c r="C19" s="6">
        <v>1149</v>
      </c>
      <c r="D19" s="6">
        <v>562</v>
      </c>
      <c r="E19" s="6">
        <v>587</v>
      </c>
      <c r="F19"/>
      <c r="G19"/>
      <c r="H19"/>
    </row>
    <row r="20" spans="1:8" ht="21.75" x14ac:dyDescent="0.4">
      <c r="A20" s="6">
        <v>8</v>
      </c>
      <c r="B20" s="6" t="s">
        <v>468</v>
      </c>
      <c r="C20" s="6">
        <v>1358</v>
      </c>
      <c r="D20" s="6">
        <v>648</v>
      </c>
      <c r="E20" s="6">
        <v>710</v>
      </c>
      <c r="F20"/>
      <c r="G20"/>
      <c r="H20"/>
    </row>
    <row r="21" spans="1:8" ht="21.75" x14ac:dyDescent="0.4">
      <c r="A21" s="6">
        <v>9</v>
      </c>
      <c r="B21" s="6" t="s">
        <v>469</v>
      </c>
      <c r="C21" s="6">
        <v>520</v>
      </c>
      <c r="D21" s="6">
        <v>258</v>
      </c>
      <c r="E21" s="6">
        <v>262</v>
      </c>
      <c r="F21"/>
      <c r="G21"/>
      <c r="H21"/>
    </row>
    <row r="22" spans="1:8" ht="21.75" x14ac:dyDescent="0.4">
      <c r="A22" s="6">
        <v>10</v>
      </c>
      <c r="B22" s="6" t="s">
        <v>470</v>
      </c>
      <c r="C22" s="6">
        <v>537</v>
      </c>
      <c r="D22" s="6">
        <v>257</v>
      </c>
      <c r="E22" s="6">
        <v>280</v>
      </c>
      <c r="F22"/>
      <c r="G22"/>
      <c r="H22"/>
    </row>
    <row r="23" spans="1:8" ht="21.75" x14ac:dyDescent="0.4">
      <c r="A23" s="6">
        <v>11</v>
      </c>
      <c r="B23" s="6" t="s">
        <v>471</v>
      </c>
      <c r="C23" s="6">
        <v>789</v>
      </c>
      <c r="D23" s="6">
        <v>356</v>
      </c>
      <c r="E23" s="6">
        <v>433</v>
      </c>
      <c r="F23"/>
      <c r="G23"/>
      <c r="H23"/>
    </row>
    <row r="24" spans="1:8" ht="21.75" x14ac:dyDescent="0.4">
      <c r="A24" s="6">
        <v>12</v>
      </c>
      <c r="B24" s="6" t="s">
        <v>472</v>
      </c>
      <c r="C24" s="6">
        <v>554</v>
      </c>
      <c r="D24" s="6">
        <v>256</v>
      </c>
      <c r="E24" s="6">
        <v>298</v>
      </c>
      <c r="F24"/>
      <c r="G24"/>
      <c r="H24"/>
    </row>
    <row r="25" spans="1:8" ht="21.75" x14ac:dyDescent="0.4">
      <c r="A25" s="6">
        <v>13</v>
      </c>
      <c r="B25" s="6" t="s">
        <v>473</v>
      </c>
      <c r="C25" s="6">
        <v>510</v>
      </c>
      <c r="D25" s="6">
        <v>241</v>
      </c>
      <c r="E25" s="6">
        <v>269</v>
      </c>
      <c r="F25"/>
      <c r="G25"/>
      <c r="H25"/>
    </row>
    <row r="26" spans="1:8" ht="21.75" x14ac:dyDescent="0.4">
      <c r="A26" s="6">
        <v>14</v>
      </c>
      <c r="B26" s="6" t="s">
        <v>474</v>
      </c>
      <c r="C26" s="6">
        <v>272</v>
      </c>
      <c r="D26" s="6">
        <v>131</v>
      </c>
      <c r="E26" s="6">
        <v>141</v>
      </c>
      <c r="F26"/>
      <c r="G26"/>
      <c r="H26"/>
    </row>
    <row r="27" spans="1:8" ht="21.75" x14ac:dyDescent="0.4">
      <c r="A27" s="6">
        <v>15</v>
      </c>
      <c r="B27" s="6" t="s">
        <v>475</v>
      </c>
      <c r="C27" s="6">
        <v>2116</v>
      </c>
      <c r="D27" s="6">
        <v>1039</v>
      </c>
      <c r="E27" s="6">
        <v>1077</v>
      </c>
      <c r="F27"/>
      <c r="G27"/>
      <c r="H27"/>
    </row>
    <row r="28" spans="1:8" ht="21.75" x14ac:dyDescent="0.4">
      <c r="A28" s="6">
        <v>16</v>
      </c>
      <c r="B28" s="6" t="s">
        <v>476</v>
      </c>
      <c r="C28" s="6">
        <v>516</v>
      </c>
      <c r="D28" s="6">
        <v>245</v>
      </c>
      <c r="E28" s="6">
        <v>271</v>
      </c>
      <c r="F28"/>
      <c r="G28"/>
      <c r="H28"/>
    </row>
    <row r="29" spans="1:8" ht="21.75" x14ac:dyDescent="0.4">
      <c r="A29" s="6">
        <v>17</v>
      </c>
      <c r="B29" s="6" t="s">
        <v>477</v>
      </c>
      <c r="C29" s="6">
        <v>727</v>
      </c>
      <c r="D29" s="6">
        <v>359</v>
      </c>
      <c r="E29" s="6">
        <v>368</v>
      </c>
      <c r="F29"/>
      <c r="G29"/>
      <c r="H29"/>
    </row>
    <row r="30" spans="1:8" ht="21.75" x14ac:dyDescent="0.4">
      <c r="A30" s="6">
        <v>18</v>
      </c>
      <c r="B30" s="6" t="s">
        <v>478</v>
      </c>
      <c r="C30" s="6">
        <v>1060</v>
      </c>
      <c r="D30" s="6">
        <v>508</v>
      </c>
      <c r="E30" s="6">
        <v>552</v>
      </c>
      <c r="F30"/>
      <c r="G30"/>
      <c r="H30"/>
    </row>
    <row r="31" spans="1:8" ht="21.75" x14ac:dyDescent="0.4">
      <c r="A31" s="6">
        <v>19</v>
      </c>
      <c r="B31" s="6" t="s">
        <v>479</v>
      </c>
      <c r="C31" s="6">
        <v>675</v>
      </c>
      <c r="D31" s="6">
        <v>325</v>
      </c>
      <c r="E31" s="6">
        <v>350</v>
      </c>
      <c r="F31"/>
      <c r="G31"/>
      <c r="H31"/>
    </row>
    <row r="32" spans="1:8" ht="21.75" x14ac:dyDescent="0.4">
      <c r="A32" s="6">
        <v>20</v>
      </c>
      <c r="B32" s="6" t="s">
        <v>480</v>
      </c>
      <c r="C32" s="6">
        <v>667</v>
      </c>
      <c r="D32" s="6">
        <v>332</v>
      </c>
      <c r="E32" s="6">
        <v>335</v>
      </c>
      <c r="F32"/>
      <c r="G32"/>
      <c r="H32"/>
    </row>
    <row r="33" spans="1:8" ht="21.75" x14ac:dyDescent="0.4">
      <c r="A33" s="6">
        <v>21</v>
      </c>
      <c r="B33" s="6" t="s">
        <v>481</v>
      </c>
      <c r="C33" s="6">
        <v>1690</v>
      </c>
      <c r="D33" s="6">
        <v>857</v>
      </c>
      <c r="E33" s="6">
        <v>833</v>
      </c>
      <c r="F33"/>
      <c r="G33"/>
      <c r="H33"/>
    </row>
    <row r="34" spans="1:8" ht="21.75" x14ac:dyDescent="0.4">
      <c r="A34" s="6">
        <v>22</v>
      </c>
      <c r="B34" s="6" t="s">
        <v>482</v>
      </c>
      <c r="C34" s="6">
        <v>672</v>
      </c>
      <c r="D34" s="6">
        <v>334</v>
      </c>
      <c r="E34" s="6">
        <v>338</v>
      </c>
      <c r="F34"/>
      <c r="G34"/>
      <c r="H34"/>
    </row>
    <row r="35" spans="1:8" ht="21.75" x14ac:dyDescent="0.4">
      <c r="A35" s="6">
        <v>23</v>
      </c>
      <c r="B35" s="6" t="s">
        <v>483</v>
      </c>
      <c r="C35" s="6">
        <v>1129</v>
      </c>
      <c r="D35" s="6">
        <v>562</v>
      </c>
      <c r="E35" s="6">
        <v>567</v>
      </c>
      <c r="F35"/>
      <c r="G35"/>
      <c r="H35"/>
    </row>
    <row r="36" spans="1:8" ht="21.75" x14ac:dyDescent="0.4">
      <c r="A36" s="6">
        <v>24</v>
      </c>
      <c r="B36" s="6" t="s">
        <v>484</v>
      </c>
      <c r="C36" s="6">
        <v>510</v>
      </c>
      <c r="D36" s="6">
        <v>256</v>
      </c>
      <c r="E36" s="6">
        <v>254</v>
      </c>
      <c r="F36"/>
      <c r="G36"/>
      <c r="H36"/>
    </row>
    <row r="37" spans="1:8" ht="21.75" x14ac:dyDescent="0.4">
      <c r="A37" s="6">
        <v>25</v>
      </c>
      <c r="B37" s="6" t="s">
        <v>485</v>
      </c>
      <c r="C37" s="6">
        <v>1280</v>
      </c>
      <c r="D37" s="6">
        <v>628</v>
      </c>
      <c r="E37" s="6">
        <v>652</v>
      </c>
      <c r="F37"/>
      <c r="G37"/>
      <c r="H37"/>
    </row>
    <row r="38" spans="1:8" ht="21.75" x14ac:dyDescent="0.4">
      <c r="A38" s="6">
        <v>26</v>
      </c>
      <c r="B38" s="6" t="s">
        <v>486</v>
      </c>
      <c r="C38" s="6">
        <v>532</v>
      </c>
      <c r="D38" s="6">
        <v>263</v>
      </c>
      <c r="E38" s="6">
        <v>269</v>
      </c>
      <c r="F38"/>
      <c r="G38"/>
      <c r="H38"/>
    </row>
    <row r="39" spans="1:8" ht="21.75" x14ac:dyDescent="0.4">
      <c r="A39" s="6">
        <v>27</v>
      </c>
      <c r="B39" s="6" t="s">
        <v>487</v>
      </c>
      <c r="C39" s="6">
        <v>921</v>
      </c>
      <c r="D39" s="6">
        <v>436</v>
      </c>
      <c r="E39" s="6">
        <v>485</v>
      </c>
      <c r="F39"/>
      <c r="G39"/>
      <c r="H39"/>
    </row>
    <row r="40" spans="1:8" ht="21.75" x14ac:dyDescent="0.4">
      <c r="A40" s="6">
        <v>28</v>
      </c>
      <c r="B40" s="6" t="s">
        <v>488</v>
      </c>
      <c r="C40" s="6">
        <v>438</v>
      </c>
      <c r="D40" s="6">
        <v>207</v>
      </c>
      <c r="E40" s="6">
        <v>231</v>
      </c>
      <c r="F40"/>
      <c r="G40"/>
      <c r="H40"/>
    </row>
    <row r="41" spans="1:8" ht="21.75" x14ac:dyDescent="0.4">
      <c r="A41" s="6">
        <v>29</v>
      </c>
      <c r="B41" s="6" t="s">
        <v>489</v>
      </c>
      <c r="C41" s="6">
        <v>395</v>
      </c>
      <c r="D41" s="6">
        <v>191</v>
      </c>
      <c r="E41" s="6">
        <v>204</v>
      </c>
      <c r="F41"/>
      <c r="G41"/>
      <c r="H41"/>
    </row>
    <row r="42" spans="1:8" ht="21.75" x14ac:dyDescent="0.4">
      <c r="A42" s="6">
        <v>30</v>
      </c>
      <c r="B42" s="6" t="s">
        <v>490</v>
      </c>
      <c r="C42" s="6">
        <v>269</v>
      </c>
      <c r="D42" s="6">
        <v>131</v>
      </c>
      <c r="E42" s="6">
        <v>138</v>
      </c>
      <c r="F42"/>
      <c r="G42"/>
      <c r="H42"/>
    </row>
    <row r="43" spans="1:8" ht="21.75" x14ac:dyDescent="0.4">
      <c r="A43" s="6">
        <v>31</v>
      </c>
      <c r="B43" s="6" t="s">
        <v>491</v>
      </c>
      <c r="C43" s="6">
        <v>973</v>
      </c>
      <c r="D43" s="6">
        <v>478</v>
      </c>
      <c r="E43" s="6">
        <v>495</v>
      </c>
      <c r="F43"/>
      <c r="G43"/>
      <c r="H43"/>
    </row>
    <row r="44" spans="1:8" ht="21.75" x14ac:dyDescent="0.4">
      <c r="A44" s="6">
        <v>32</v>
      </c>
      <c r="B44" s="6" t="s">
        <v>492</v>
      </c>
      <c r="C44" s="6">
        <v>407</v>
      </c>
      <c r="D44" s="6">
        <v>203</v>
      </c>
      <c r="E44" s="6">
        <v>204</v>
      </c>
      <c r="F44"/>
      <c r="G44"/>
      <c r="H44"/>
    </row>
    <row r="45" spans="1:8" ht="21.75" x14ac:dyDescent="0.4">
      <c r="A45" s="6">
        <v>33</v>
      </c>
      <c r="B45" s="6" t="s">
        <v>493</v>
      </c>
      <c r="C45" s="6">
        <v>407</v>
      </c>
      <c r="D45" s="6">
        <v>212</v>
      </c>
      <c r="E45" s="6">
        <v>195</v>
      </c>
      <c r="F45"/>
      <c r="G45"/>
      <c r="H45"/>
    </row>
    <row r="46" spans="1:8" ht="21.75" x14ac:dyDescent="0.4">
      <c r="A46" s="6">
        <v>34</v>
      </c>
      <c r="B46" s="6" t="s">
        <v>494</v>
      </c>
      <c r="C46" s="6">
        <v>980</v>
      </c>
      <c r="D46" s="6">
        <v>527</v>
      </c>
      <c r="E46" s="6">
        <v>453</v>
      </c>
      <c r="F46"/>
      <c r="G46"/>
      <c r="H46"/>
    </row>
    <row r="47" spans="1:8" ht="21.75" x14ac:dyDescent="0.4">
      <c r="A47" s="6">
        <v>35</v>
      </c>
      <c r="B47" s="6" t="s">
        <v>495</v>
      </c>
      <c r="C47" s="6">
        <v>844</v>
      </c>
      <c r="D47" s="6">
        <v>395</v>
      </c>
      <c r="E47" s="6">
        <v>449</v>
      </c>
      <c r="F47"/>
      <c r="G47"/>
      <c r="H47"/>
    </row>
    <row r="48" spans="1:8" ht="21.75" x14ac:dyDescent="0.4">
      <c r="A48" s="6">
        <v>36</v>
      </c>
      <c r="B48" s="6" t="s">
        <v>496</v>
      </c>
      <c r="C48" s="6">
        <v>428</v>
      </c>
      <c r="D48" s="6">
        <v>240</v>
      </c>
      <c r="E48" s="6">
        <v>188</v>
      </c>
      <c r="F48"/>
      <c r="G48"/>
      <c r="H48"/>
    </row>
    <row r="49" spans="1:8" ht="21.75" x14ac:dyDescent="0.4">
      <c r="A49" s="6">
        <v>37</v>
      </c>
      <c r="B49" s="6" t="s">
        <v>497</v>
      </c>
      <c r="C49" s="6">
        <v>188</v>
      </c>
      <c r="D49" s="6">
        <v>99</v>
      </c>
      <c r="E49" s="6">
        <v>89</v>
      </c>
      <c r="F49"/>
      <c r="G49"/>
      <c r="H49"/>
    </row>
    <row r="50" spans="1:8" ht="21.75" x14ac:dyDescent="0.4">
      <c r="A50" s="6">
        <v>38</v>
      </c>
      <c r="B50" s="6" t="s">
        <v>498</v>
      </c>
      <c r="C50" s="6">
        <v>81</v>
      </c>
      <c r="D50" s="6">
        <v>43</v>
      </c>
      <c r="E50" s="6">
        <v>38</v>
      </c>
      <c r="F50"/>
      <c r="G50"/>
      <c r="H50"/>
    </row>
    <row r="51" spans="1:8" ht="21.75" x14ac:dyDescent="0.4">
      <c r="A51" s="8">
        <v>39</v>
      </c>
      <c r="B51" s="8" t="s">
        <v>499</v>
      </c>
      <c r="C51" s="8">
        <v>703</v>
      </c>
      <c r="D51" s="8">
        <v>353</v>
      </c>
      <c r="E51" s="8">
        <v>350</v>
      </c>
      <c r="F51"/>
      <c r="G51"/>
      <c r="H51"/>
    </row>
  </sheetData>
  <mergeCells count="4">
    <mergeCell ref="A1:E1"/>
    <mergeCell ref="A4:A5"/>
    <mergeCell ref="B4:B5"/>
    <mergeCell ref="C4:E4"/>
  </mergeCells>
  <hyperlinks>
    <hyperlink ref="A1:E1" location="'List of Township'!A1" display="Chin State, Mindat  District,  Sami  Sub- Township"/>
  </hyperlinks>
  <pageMargins left="0.75" right="0.5" top="0.5" bottom="0.2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List of Township</vt:lpstr>
      <vt:lpstr>Haka</vt:lpstr>
      <vt:lpstr>Thantlang</vt:lpstr>
      <vt:lpstr>Falam</vt:lpstr>
      <vt:lpstr>Tedim</vt:lpstr>
      <vt:lpstr>Tonzaung</vt:lpstr>
      <vt:lpstr>Rihkhuadal(S)</vt:lpstr>
      <vt:lpstr>Cikha(S)</vt:lpstr>
      <vt:lpstr>Mindat</vt:lpstr>
      <vt:lpstr>Matupi</vt:lpstr>
      <vt:lpstr>Kanpalet</vt:lpstr>
      <vt:lpstr>Paletwa</vt:lpstr>
      <vt:lpstr>Reazu(S)</vt:lpstr>
      <vt:lpstr>Sami(S)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2015-08-25T06:45:37Z</cp:lastPrinted>
  <dcterms:created xsi:type="dcterms:W3CDTF">2015-06-01T07:27:03Z</dcterms:created>
  <dcterms:modified xsi:type="dcterms:W3CDTF">2015-09-02T05:15:55Z</dcterms:modified>
</cp:coreProperties>
</file>