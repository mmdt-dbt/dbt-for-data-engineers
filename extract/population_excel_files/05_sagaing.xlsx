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21075" windowHeight="9390" tabRatio="946"/>
  </bookViews>
  <sheets>
    <sheet name="List of Township" sheetId="48" r:id="rId1"/>
    <sheet name="Sagaing" sheetId="4" r:id="rId2"/>
    <sheet name="Myinmu" sheetId="5" r:id="rId3"/>
    <sheet name="Myaung" sheetId="6" r:id="rId4"/>
    <sheet name="Shwebo" sheetId="7" r:id="rId5"/>
    <sheet name="KhinU" sheetId="8" r:id="rId6"/>
    <sheet name="Wetlet" sheetId="9" r:id="rId7"/>
    <sheet name="Kambalu" sheetId="10" r:id="rId8"/>
    <sheet name="Kunhla" sheetId="11" r:id="rId9"/>
    <sheet name="Ye U" sheetId="12" r:id="rId10"/>
    <sheet name="Depayin" sheetId="13" r:id="rId11"/>
    <sheet name="Tasei" sheetId="14" r:id="rId12"/>
    <sheet name="Kyaukmyaung" sheetId="15" r:id="rId13"/>
    <sheet name="Momnywa" sheetId="16" r:id="rId14"/>
    <sheet name="Butalin" sheetId="17" r:id="rId15"/>
    <sheet name="Ayartaw" sheetId="18" r:id="rId16"/>
    <sheet name="Chaung Oo" sheetId="19" r:id="rId17"/>
    <sheet name="Katha" sheetId="20" r:id="rId18"/>
    <sheet name="Indaw" sheetId="21" r:id="rId19"/>
    <sheet name="Tigyaing" sheetId="22" r:id="rId20"/>
    <sheet name="Banmauk" sheetId="23" r:id="rId21"/>
    <sheet name="Kawlin" sheetId="24" r:id="rId22"/>
    <sheet name="Wuntho" sheetId="25" r:id="rId23"/>
    <sheet name="Pinlebu" sheetId="26" r:id="rId24"/>
    <sheet name="Kalay" sheetId="27" r:id="rId25"/>
    <sheet name="Kalewa" sheetId="28" r:id="rId26"/>
    <sheet name="Mingin" sheetId="29" r:id="rId27"/>
    <sheet name="Tamu" sheetId="30" r:id="rId28"/>
    <sheet name="Myothit(S)" sheetId="2" r:id="rId29"/>
    <sheet name="Khampat(S)" sheetId="3" r:id="rId30"/>
    <sheet name="Mawlaik" sheetId="31" r:id="rId31"/>
    <sheet name="Phaungpyin" sheetId="32" r:id="rId32"/>
    <sheet name="Hkamti" sheetId="33" r:id="rId33"/>
    <sheet name="Homalin" sheetId="34" r:id="rId34"/>
    <sheet name="Leshi" sheetId="35" r:id="rId35"/>
    <sheet name="Lahe" sheetId="36" r:id="rId36"/>
    <sheet name="Nanyun" sheetId="37" r:id="rId37"/>
    <sheet name="Mobaingluk(S)" sheetId="38" r:id="rId38"/>
    <sheet name="Sonemara(S)" sheetId="39" r:id="rId39"/>
    <sheet name="Htanparkway(S)" sheetId="40" r:id="rId40"/>
    <sheet name="Pansaung(S)" sheetId="41" r:id="rId41"/>
    <sheet name="Donhee(S)" sheetId="42" r:id="rId42"/>
    <sheet name="Yin MarPin" sheetId="43" r:id="rId43"/>
    <sheet name="Salingyi" sheetId="44" r:id="rId44"/>
    <sheet name="Palae" sheetId="45" r:id="rId45"/>
    <sheet name="Kani" sheetId="46" r:id="rId46"/>
    <sheet name="Sheet2" sheetId="47" r:id="rId47"/>
  </sheets>
  <definedNames>
    <definedName name="_xlnm.Print_Titles" localSheetId="24">Kalay!$1:$6</definedName>
    <definedName name="_xlnm.Print_Titles" localSheetId="7">Kambalu!$1:$6</definedName>
    <definedName name="_xlnm.Print_Titles" localSheetId="45">Kani!$1:$6</definedName>
    <definedName name="_xlnm.Print_Titles" localSheetId="12">Kyaukmyaung!$1:$6</definedName>
    <definedName name="_xlnm.Print_Titles" localSheetId="2">Myinmu!$1:$6</definedName>
    <definedName name="_xlnm.Print_Titles" localSheetId="44">Palae!$1:$6</definedName>
    <definedName name="_xlnm.Print_Titles" localSheetId="1">Sagaing!$1:$6</definedName>
    <definedName name="_xlnm.Print_Titles" localSheetId="43">Salingyi!$1:$6</definedName>
    <definedName name="_xlnm.Print_Titles" localSheetId="9">'Ye U'!$1:$6</definedName>
  </definedNames>
  <calcPr calcId="145621"/>
</workbook>
</file>

<file path=xl/calcChain.xml><?xml version="1.0" encoding="utf-8"?>
<calcChain xmlns="http://schemas.openxmlformats.org/spreadsheetml/2006/main">
  <c r="B46" i="48" l="1"/>
  <c r="B45" i="48"/>
  <c r="B44" i="48"/>
  <c r="B43" i="48"/>
  <c r="B42" i="48"/>
  <c r="B41" i="48"/>
  <c r="B40" i="48"/>
  <c r="B39" i="48"/>
  <c r="B38" i="48"/>
  <c r="B37" i="48"/>
  <c r="B36" i="48"/>
  <c r="B35" i="48"/>
  <c r="B34" i="48"/>
  <c r="B33" i="48"/>
  <c r="B32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B17" i="48"/>
  <c r="B16" i="48"/>
  <c r="B15" i="48"/>
  <c r="B14" i="48"/>
  <c r="B13" i="48"/>
  <c r="B12" i="48"/>
  <c r="B11" i="48"/>
  <c r="B10" i="48"/>
  <c r="B9" i="48"/>
  <c r="B8" i="48"/>
  <c r="B7" i="48"/>
  <c r="B6" i="48"/>
  <c r="B5" i="48"/>
  <c r="B4" i="48"/>
  <c r="B3" i="48" l="1"/>
  <c r="B2" i="48"/>
  <c r="D13" i="46" l="1"/>
  <c r="E13" i="46"/>
  <c r="E7" i="46" s="1"/>
  <c r="C13" i="46"/>
  <c r="D9" i="46"/>
  <c r="E9" i="46"/>
  <c r="C9" i="46"/>
  <c r="C7" i="45"/>
  <c r="D12" i="45"/>
  <c r="E12" i="45"/>
  <c r="C12" i="45"/>
  <c r="D9" i="45"/>
  <c r="D7" i="45" s="1"/>
  <c r="E9" i="45"/>
  <c r="C9" i="45"/>
  <c r="C7" i="44"/>
  <c r="D13" i="44"/>
  <c r="E13" i="44"/>
  <c r="C13" i="44"/>
  <c r="D9" i="44"/>
  <c r="E9" i="44"/>
  <c r="E7" i="44" s="1"/>
  <c r="C9" i="44"/>
  <c r="D14" i="43"/>
  <c r="E14" i="43"/>
  <c r="C14" i="43"/>
  <c r="D9" i="43"/>
  <c r="E9" i="43"/>
  <c r="C9" i="43"/>
  <c r="D13" i="42"/>
  <c r="E13" i="42"/>
  <c r="C13" i="42"/>
  <c r="D9" i="42"/>
  <c r="E9" i="42"/>
  <c r="C9" i="42"/>
  <c r="D9" i="41"/>
  <c r="E9" i="41"/>
  <c r="D13" i="41"/>
  <c r="E13" i="41"/>
  <c r="C13" i="41"/>
  <c r="C9" i="41"/>
  <c r="C7" i="41" s="1"/>
  <c r="C7" i="43" l="1"/>
  <c r="D7" i="46"/>
  <c r="C7" i="46"/>
  <c r="D7" i="41"/>
  <c r="C7" i="42"/>
  <c r="D7" i="42"/>
  <c r="E7" i="43"/>
  <c r="E7" i="45"/>
  <c r="D7" i="44"/>
  <c r="D7" i="43"/>
  <c r="E7" i="42"/>
  <c r="E7" i="41"/>
  <c r="D11" i="40"/>
  <c r="E11" i="40"/>
  <c r="C11" i="40"/>
  <c r="C7" i="40" s="1"/>
  <c r="D9" i="40"/>
  <c r="E9" i="40"/>
  <c r="C9" i="40"/>
  <c r="D13" i="39"/>
  <c r="E13" i="39"/>
  <c r="C13" i="39"/>
  <c r="D9" i="39"/>
  <c r="E9" i="39"/>
  <c r="C9" i="39"/>
  <c r="C7" i="39" s="1"/>
  <c r="C12" i="38"/>
  <c r="D12" i="38"/>
  <c r="E12" i="38"/>
  <c r="D9" i="38"/>
  <c r="E9" i="38"/>
  <c r="C9" i="38"/>
  <c r="C7" i="38" s="1"/>
  <c r="D13" i="37"/>
  <c r="E13" i="37"/>
  <c r="C13" i="37"/>
  <c r="D9" i="37"/>
  <c r="E9" i="37"/>
  <c r="C9" i="37"/>
  <c r="D14" i="36"/>
  <c r="E14" i="36"/>
  <c r="C14" i="36"/>
  <c r="D9" i="36"/>
  <c r="E9" i="36"/>
  <c r="C9" i="36"/>
  <c r="D12" i="35"/>
  <c r="E12" i="35"/>
  <c r="C12" i="35"/>
  <c r="D9" i="35"/>
  <c r="E9" i="35"/>
  <c r="C9" i="35"/>
  <c r="C7" i="35" s="1"/>
  <c r="D9" i="34"/>
  <c r="E9" i="34"/>
  <c r="C9" i="34"/>
  <c r="D18" i="34"/>
  <c r="E18" i="34"/>
  <c r="C18" i="34"/>
  <c r="D13" i="33"/>
  <c r="E13" i="33"/>
  <c r="C13" i="33"/>
  <c r="D9" i="33"/>
  <c r="E9" i="33"/>
  <c r="E7" i="33" s="1"/>
  <c r="C9" i="33"/>
  <c r="C7" i="33" s="1"/>
  <c r="D12" i="32"/>
  <c r="E12" i="32"/>
  <c r="C12" i="32"/>
  <c r="D9" i="32"/>
  <c r="E9" i="32"/>
  <c r="C9" i="32"/>
  <c r="D12" i="31"/>
  <c r="E12" i="31"/>
  <c r="C12" i="31"/>
  <c r="D9" i="31"/>
  <c r="E9" i="31"/>
  <c r="C9" i="31"/>
  <c r="C7" i="31" s="1"/>
  <c r="D15" i="3"/>
  <c r="E15" i="3"/>
  <c r="C15" i="3"/>
  <c r="D9" i="3"/>
  <c r="E9" i="3"/>
  <c r="C9" i="3"/>
  <c r="C7" i="2"/>
  <c r="D13" i="2"/>
  <c r="E13" i="2"/>
  <c r="C13" i="2"/>
  <c r="D9" i="2"/>
  <c r="E9" i="2"/>
  <c r="E7" i="2" s="1"/>
  <c r="C9" i="2"/>
  <c r="D9" i="30"/>
  <c r="D7" i="30" s="1"/>
  <c r="E9" i="30"/>
  <c r="C9" i="30"/>
  <c r="D14" i="30"/>
  <c r="E14" i="30"/>
  <c r="C14" i="30"/>
  <c r="C7" i="30" s="1"/>
  <c r="D13" i="29"/>
  <c r="E13" i="29"/>
  <c r="C13" i="29"/>
  <c r="D9" i="29"/>
  <c r="E9" i="29"/>
  <c r="C9" i="29"/>
  <c r="D13" i="28"/>
  <c r="E13" i="28"/>
  <c r="C13" i="28"/>
  <c r="D9" i="28"/>
  <c r="E9" i="28"/>
  <c r="C9" i="28"/>
  <c r="D29" i="27"/>
  <c r="E29" i="27"/>
  <c r="C29" i="27"/>
  <c r="D9" i="27"/>
  <c r="E9" i="27"/>
  <c r="C9" i="27"/>
  <c r="E7" i="26"/>
  <c r="C7" i="26"/>
  <c r="D12" i="26"/>
  <c r="E12" i="26"/>
  <c r="C12" i="26"/>
  <c r="D9" i="26"/>
  <c r="D7" i="26" s="1"/>
  <c r="E9" i="26"/>
  <c r="C9" i="26"/>
  <c r="D7" i="35" l="1"/>
  <c r="C7" i="29"/>
  <c r="D7" i="34"/>
  <c r="D7" i="27"/>
  <c r="E7" i="28"/>
  <c r="E7" i="29"/>
  <c r="E7" i="30"/>
  <c r="C7" i="3"/>
  <c r="E7" i="31"/>
  <c r="C7" i="32"/>
  <c r="C7" i="36"/>
  <c r="C7" i="37"/>
  <c r="E7" i="40"/>
  <c r="D7" i="40"/>
  <c r="E7" i="39"/>
  <c r="D7" i="39"/>
  <c r="E7" i="38"/>
  <c r="D7" i="38"/>
  <c r="E7" i="37"/>
  <c r="D7" i="37"/>
  <c r="E7" i="36"/>
  <c r="D7" i="36"/>
  <c r="E7" i="35"/>
  <c r="E7" i="34"/>
  <c r="C7" i="34"/>
  <c r="D7" i="33"/>
  <c r="E7" i="32"/>
  <c r="D7" i="32"/>
  <c r="D7" i="31"/>
  <c r="E7" i="3"/>
  <c r="D7" i="3"/>
  <c r="D7" i="2"/>
  <c r="D7" i="29"/>
  <c r="C7" i="28"/>
  <c r="D7" i="28"/>
  <c r="C7" i="27"/>
  <c r="E7" i="27"/>
  <c r="D14" i="25"/>
  <c r="E14" i="25"/>
  <c r="D9" i="25"/>
  <c r="E9" i="25"/>
  <c r="C9" i="25"/>
  <c r="C14" i="25"/>
  <c r="E7" i="25" l="1"/>
  <c r="D7" i="25"/>
  <c r="C7" i="25"/>
  <c r="D16" i="24"/>
  <c r="E16" i="24"/>
  <c r="C16" i="24"/>
  <c r="D9" i="24"/>
  <c r="E9" i="24"/>
  <c r="E7" i="24" s="1"/>
  <c r="C9" i="24"/>
  <c r="D13" i="23"/>
  <c r="E13" i="23"/>
  <c r="C13" i="23"/>
  <c r="D9" i="23"/>
  <c r="E9" i="23"/>
  <c r="C9" i="23"/>
  <c r="D14" i="22"/>
  <c r="E14" i="22"/>
  <c r="C14" i="22"/>
  <c r="D9" i="22"/>
  <c r="D7" i="22" s="1"/>
  <c r="E9" i="22"/>
  <c r="E7" i="22" s="1"/>
  <c r="C9" i="22"/>
  <c r="D14" i="21"/>
  <c r="E14" i="21"/>
  <c r="C14" i="21"/>
  <c r="D9" i="21"/>
  <c r="D7" i="21" s="1"/>
  <c r="E9" i="21"/>
  <c r="E7" i="21" s="1"/>
  <c r="C9" i="21"/>
  <c r="D20" i="20"/>
  <c r="E20" i="20"/>
  <c r="C20" i="20"/>
  <c r="D9" i="20"/>
  <c r="D7" i="20" s="1"/>
  <c r="E9" i="20"/>
  <c r="C9" i="20"/>
  <c r="D16" i="19"/>
  <c r="E16" i="19"/>
  <c r="C16" i="19"/>
  <c r="D9" i="19"/>
  <c r="E9" i="19"/>
  <c r="E7" i="19" s="1"/>
  <c r="C9" i="19"/>
  <c r="D13" i="18"/>
  <c r="E13" i="18"/>
  <c r="C13" i="18"/>
  <c r="D9" i="18"/>
  <c r="E9" i="18"/>
  <c r="C9" i="18"/>
  <c r="C7" i="17"/>
  <c r="D13" i="17"/>
  <c r="E13" i="17"/>
  <c r="C13" i="17"/>
  <c r="D9" i="17"/>
  <c r="D7" i="17" s="1"/>
  <c r="E9" i="17"/>
  <c r="E7" i="17" s="1"/>
  <c r="C9" i="17"/>
  <c r="D36" i="16"/>
  <c r="E36" i="16"/>
  <c r="C36" i="16"/>
  <c r="D9" i="16"/>
  <c r="E9" i="16"/>
  <c r="C9" i="16"/>
  <c r="D14" i="15"/>
  <c r="E14" i="15"/>
  <c r="C14" i="15"/>
  <c r="D9" i="15"/>
  <c r="E9" i="15"/>
  <c r="E7" i="15" s="1"/>
  <c r="C9" i="15"/>
  <c r="D14" i="14"/>
  <c r="E14" i="14"/>
  <c r="C14" i="14"/>
  <c r="D9" i="14"/>
  <c r="E9" i="14"/>
  <c r="C9" i="14"/>
  <c r="C7" i="14" s="1"/>
  <c r="D12" i="13"/>
  <c r="E12" i="13"/>
  <c r="C12" i="13"/>
  <c r="C7" i="13" s="1"/>
  <c r="D9" i="13"/>
  <c r="D7" i="13" s="1"/>
  <c r="E9" i="13"/>
  <c r="E7" i="13" s="1"/>
  <c r="C9" i="13"/>
  <c r="D9" i="12"/>
  <c r="E9" i="12"/>
  <c r="C9" i="12"/>
  <c r="D15" i="12"/>
  <c r="E15" i="12"/>
  <c r="C15" i="12"/>
  <c r="D14" i="11"/>
  <c r="E14" i="11"/>
  <c r="C14" i="11"/>
  <c r="D9" i="11"/>
  <c r="D7" i="11" s="1"/>
  <c r="E9" i="11"/>
  <c r="E7" i="11" s="1"/>
  <c r="C9" i="11"/>
  <c r="D15" i="10"/>
  <c r="E15" i="10"/>
  <c r="C15" i="10"/>
  <c r="D9" i="10"/>
  <c r="E9" i="10"/>
  <c r="C9" i="10"/>
  <c r="D13" i="9"/>
  <c r="E13" i="9"/>
  <c r="C13" i="9"/>
  <c r="D9" i="9"/>
  <c r="E9" i="9"/>
  <c r="C9" i="9"/>
  <c r="D14" i="8"/>
  <c r="E14" i="8"/>
  <c r="C14" i="8"/>
  <c r="D9" i="8"/>
  <c r="E9" i="8"/>
  <c r="C9" i="8"/>
  <c r="D20" i="7"/>
  <c r="E20" i="7"/>
  <c r="C20" i="7"/>
  <c r="D9" i="7"/>
  <c r="D7" i="7" s="1"/>
  <c r="E9" i="7"/>
  <c r="E7" i="7" s="1"/>
  <c r="C9" i="7"/>
  <c r="D14" i="6"/>
  <c r="E14" i="6"/>
  <c r="C14" i="6"/>
  <c r="D9" i="6"/>
  <c r="E9" i="6"/>
  <c r="C9" i="6"/>
  <c r="D14" i="5"/>
  <c r="E14" i="5"/>
  <c r="C14" i="5"/>
  <c r="D9" i="5"/>
  <c r="D7" i="5" s="1"/>
  <c r="E9" i="5"/>
  <c r="C9" i="5"/>
  <c r="E7" i="8" l="1"/>
  <c r="E7" i="10"/>
  <c r="E7" i="14"/>
  <c r="D7" i="15"/>
  <c r="D7" i="19"/>
  <c r="E7" i="23"/>
  <c r="C7" i="12"/>
  <c r="D7" i="18"/>
  <c r="E7" i="16"/>
  <c r="E7" i="5"/>
  <c r="D7" i="6"/>
  <c r="D7" i="8"/>
  <c r="D7" i="10"/>
  <c r="D7" i="12"/>
  <c r="D7" i="14"/>
  <c r="D7" i="16"/>
  <c r="E7" i="18"/>
  <c r="E7" i="20"/>
  <c r="D7" i="23"/>
  <c r="D7" i="24"/>
  <c r="C7" i="24"/>
  <c r="C7" i="23"/>
  <c r="C7" i="22"/>
  <c r="C7" i="21"/>
  <c r="C7" i="20"/>
  <c r="C7" i="19"/>
  <c r="C7" i="18"/>
  <c r="C7" i="16"/>
  <c r="C7" i="15"/>
  <c r="E7" i="12"/>
  <c r="C7" i="11"/>
  <c r="C7" i="10"/>
  <c r="D7" i="9"/>
  <c r="C7" i="9"/>
  <c r="E7" i="9"/>
  <c r="C7" i="8"/>
  <c r="C7" i="7"/>
  <c r="C7" i="6"/>
  <c r="E7" i="6"/>
  <c r="C7" i="5"/>
  <c r="E28" i="4"/>
  <c r="F28" i="4"/>
  <c r="D28" i="4"/>
  <c r="E9" i="4"/>
  <c r="F9" i="4"/>
  <c r="D9" i="4"/>
  <c r="D7" i="4" l="1"/>
  <c r="F7" i="4"/>
  <c r="E7" i="4"/>
</calcChain>
</file>

<file path=xl/sharedStrings.xml><?xml version="1.0" encoding="utf-8"?>
<sst xmlns="http://schemas.openxmlformats.org/spreadsheetml/2006/main" count="2475" uniqueCount="1777">
  <si>
    <t>Total</t>
  </si>
  <si>
    <t>Male</t>
  </si>
  <si>
    <t>Female</t>
  </si>
  <si>
    <t xml:space="preserve">            Dawei Zay(W)</t>
  </si>
  <si>
    <t xml:space="preserve">            Aye Mya Wa Di(W)</t>
  </si>
  <si>
    <t xml:space="preserve">            Nan Da Wun Kwet Thit (W)</t>
  </si>
  <si>
    <t xml:space="preserve">            Moe Zar(W)</t>
  </si>
  <si>
    <t xml:space="preserve">            Myo Thit(W)</t>
  </si>
  <si>
    <t xml:space="preserve">            Pan Be Dan(W)</t>
  </si>
  <si>
    <t xml:space="preserve">            Poe Tan(W)</t>
  </si>
  <si>
    <t xml:space="preserve">            Min Lan(W)</t>
  </si>
  <si>
    <t xml:space="preserve">            Ta Kaung (W)</t>
  </si>
  <si>
    <t xml:space="preserve">            Sein Kone(W)</t>
  </si>
  <si>
    <t xml:space="preserve">            Htone Bo (W)</t>
  </si>
  <si>
    <t xml:space="preserve">            Zay Yar Kwet Thit(W)</t>
  </si>
  <si>
    <t xml:space="preserve">            Ywar Htaung(W)</t>
  </si>
  <si>
    <t xml:space="preserve">            Mee Ya Htar(W)</t>
  </si>
  <si>
    <t xml:space="preserve">            Pa Da Myar(W)</t>
  </si>
  <si>
    <t xml:space="preserve">            Ni Lar(W)</t>
  </si>
  <si>
    <t xml:space="preserve">            Shwe Min Wun(W)</t>
  </si>
  <si>
    <t xml:space="preserve">            Par Ra Mi(W)</t>
  </si>
  <si>
    <t xml:space="preserve">            Thaw Tar Pan(VT)</t>
  </si>
  <si>
    <t xml:space="preserve">            Nyaung Pin Zin(VT)</t>
  </si>
  <si>
    <t xml:space="preserve">            Pe Ka Toe(VT)</t>
  </si>
  <si>
    <t xml:space="preserve">            Tin Teik(VT)</t>
  </si>
  <si>
    <t xml:space="preserve">            Si Tee(VT)</t>
  </si>
  <si>
    <t xml:space="preserve">            Sin Tat(VT)</t>
  </si>
  <si>
    <t xml:space="preserve">            Byea Ta Yaw(VT)</t>
  </si>
  <si>
    <t xml:space="preserve">            Kywei Lu(VT)</t>
  </si>
  <si>
    <t xml:space="preserve">            Nauk Kyi Kyun(VT)</t>
  </si>
  <si>
    <t xml:space="preserve">            Te Gyi Ah Shey Tar(VT)</t>
  </si>
  <si>
    <t xml:space="preserve">            Zee Chaung(VT)</t>
  </si>
  <si>
    <t xml:space="preserve">            Daung Ma(VT)</t>
  </si>
  <si>
    <t xml:space="preserve">            Sin Myay(VT)</t>
  </si>
  <si>
    <t xml:space="preserve">            Ma Au Pin(VT)</t>
  </si>
  <si>
    <t xml:space="preserve">            War Chet(VT)</t>
  </si>
  <si>
    <t xml:space="preserve">            Kyauk Tar(VT)</t>
  </si>
  <si>
    <t xml:space="preserve">            Ahr Laung(VT)</t>
  </si>
  <si>
    <t xml:space="preserve">            Myay Taing(VT)</t>
  </si>
  <si>
    <t xml:space="preserve">            Htan Taw(VT)</t>
  </si>
  <si>
    <t xml:space="preserve">            Chaung Pauk(VT)</t>
  </si>
  <si>
    <t xml:space="preserve">            Yae Khar(VT)</t>
  </si>
  <si>
    <t xml:space="preserve">            Yae Myet(VT)</t>
  </si>
  <si>
    <t xml:space="preserve">            Ta Ein Te(VT)</t>
  </si>
  <si>
    <t xml:space="preserve">            Sa Kyin(VT)</t>
  </si>
  <si>
    <t xml:space="preserve">            Sar Yay(VT)</t>
  </si>
  <si>
    <t xml:space="preserve">            Sar Taung(VT)</t>
  </si>
  <si>
    <t xml:space="preserve">            Taung Kyar(VT)</t>
  </si>
  <si>
    <t xml:space="preserve">            Inn Sa(VT)</t>
  </si>
  <si>
    <t xml:space="preserve">            Taung Myo(VT)</t>
  </si>
  <si>
    <t xml:space="preserve">            Bauk Thauk(VT)</t>
  </si>
  <si>
    <t xml:space="preserve">            Pauk Ma(VT)</t>
  </si>
  <si>
    <t xml:space="preserve">            Min(VT)</t>
  </si>
  <si>
    <t xml:space="preserve">            Thar Pyauk Kone(VT)</t>
  </si>
  <si>
    <t xml:space="preserve">            Thar Zin(VT)</t>
  </si>
  <si>
    <t xml:space="preserve">            Lin Ta Lu(VT)</t>
  </si>
  <si>
    <t xml:space="preserve">            Yin Ma Kyin(VT)</t>
  </si>
  <si>
    <t xml:space="preserve">            Kyar Min Gyi(VT)</t>
  </si>
  <si>
    <t xml:space="preserve">            Mar Le Taw(VT)</t>
  </si>
  <si>
    <t xml:space="preserve">            Mu Thar(VT)</t>
  </si>
  <si>
    <t xml:space="preserve">            Htan Taw Seik(VT)</t>
  </si>
  <si>
    <t xml:space="preserve">            Ta Laing Kyun(VT)</t>
  </si>
  <si>
    <t xml:space="preserve">            Nyaung Pin Shey(VT)</t>
  </si>
  <si>
    <t xml:space="preserve">            Nyaung Pin Wun(VT)</t>
  </si>
  <si>
    <t xml:space="preserve">            Nyaung Pin Thar(VT)</t>
  </si>
  <si>
    <t xml:space="preserve">            Lel Gyi(VT)</t>
  </si>
  <si>
    <t xml:space="preserve">            Shwe Hlay(VT)</t>
  </si>
  <si>
    <t xml:space="preserve">            Kaing Pyin(VT)</t>
  </si>
  <si>
    <t xml:space="preserve">            Myin Se(VT)</t>
  </si>
  <si>
    <t xml:space="preserve">            Maung Htaung(VT)</t>
  </si>
  <si>
    <t xml:space="preserve">            Te Gyi Let Pan Thar(VT)</t>
  </si>
  <si>
    <t xml:space="preserve">            Tha Hpan Thar(VT)</t>
  </si>
  <si>
    <t xml:space="preserve">            None Twin(VT)</t>
  </si>
  <si>
    <t xml:space="preserve">            Tabayin Khwe(VT)</t>
  </si>
  <si>
    <t xml:space="preserve">            Kywei Pon(VT)</t>
  </si>
  <si>
    <t xml:space="preserve">            Pa Du(VT)</t>
  </si>
  <si>
    <t xml:space="preserve">            Kan Gyi Kone(VT)</t>
  </si>
  <si>
    <t xml:space="preserve">            Taung Yin(VT)</t>
  </si>
  <si>
    <t xml:space="preserve">            Kyauk Pa Nan(VT)</t>
  </si>
  <si>
    <t xml:space="preserve">            Khet Kha(VT)</t>
  </si>
  <si>
    <t xml:space="preserve">            Sa Mun(VT)</t>
  </si>
  <si>
    <t xml:space="preserve">            Kya Khat(VT)</t>
  </si>
  <si>
    <t xml:space="preserve">            Yae Twin Gaung(VT)</t>
  </si>
  <si>
    <t xml:space="preserve">            Ywar Thit Gyi(VT)</t>
  </si>
  <si>
    <t xml:space="preserve">            Ywar Ma(VT)</t>
  </si>
  <si>
    <t xml:space="preserve">            Nga Ta Yaw(VT)</t>
  </si>
  <si>
    <t xml:space="preserve">            Shan Tat(VT)</t>
  </si>
  <si>
    <t xml:space="preserve">            Yone Pin Kan(VT)</t>
  </si>
  <si>
    <t xml:space="preserve">            Pyi Taw Thar(VT)</t>
  </si>
  <si>
    <t xml:space="preserve">            Nat Kha Yaing(VT)</t>
  </si>
  <si>
    <t xml:space="preserve">            Ohn Taw(VT)</t>
  </si>
  <si>
    <t xml:space="preserve">            Kyauk Se(VT)</t>
  </si>
  <si>
    <t xml:space="preserve">            Aung Thar(VT)</t>
  </si>
  <si>
    <t xml:space="preserve">            Pan Chi(VT)</t>
  </si>
  <si>
    <t xml:space="preserve">            Min Kun(VT)</t>
  </si>
  <si>
    <t xml:space="preserve">            Kin(VT)</t>
  </si>
  <si>
    <t xml:space="preserve">            Let Pan(VT)</t>
  </si>
  <si>
    <t xml:space="preserve">            Sint Kaing(VT)</t>
  </si>
  <si>
    <t xml:space="preserve">            Kyaung Hpyu(VT)</t>
  </si>
  <si>
    <t xml:space="preserve">            Ta Laing(VT)</t>
  </si>
  <si>
    <t xml:space="preserve">            Me Za Li Chaung(VT)</t>
  </si>
  <si>
    <t xml:space="preserve">            Htone Bo(VT)</t>
  </si>
  <si>
    <t xml:space="preserve">            Ah Nauk Paing (W)</t>
  </si>
  <si>
    <t xml:space="preserve">            Myauk Paing (W)</t>
  </si>
  <si>
    <t xml:space="preserve">            Taung Paing (W)</t>
  </si>
  <si>
    <t xml:space="preserve">            Ah Shey Paing (W)</t>
  </si>
  <si>
    <t xml:space="preserve">            Wan Pyayt(VT)</t>
  </si>
  <si>
    <t xml:space="preserve">            Sat Pan Kone(VT)</t>
  </si>
  <si>
    <t xml:space="preserve">            Kywe Yaik(VT)</t>
  </si>
  <si>
    <t xml:space="preserve">            Kyawt Min(VT)</t>
  </si>
  <si>
    <t xml:space="preserve">            Chay Yar Taw(VT)</t>
  </si>
  <si>
    <t xml:space="preserve">            Gway Pin Taw(VT)</t>
  </si>
  <si>
    <t xml:space="preserve">            Boe Min Gyi Kin(VT)</t>
  </si>
  <si>
    <t xml:space="preserve">            Twin Gyi(VT)</t>
  </si>
  <si>
    <t xml:space="preserve">            Si Pin(VT)</t>
  </si>
  <si>
    <t xml:space="preserve">            Ma Gyi Su(VT)</t>
  </si>
  <si>
    <t xml:space="preserve">            San Tin Kin(VT)</t>
  </si>
  <si>
    <t xml:space="preserve">            Ahr Lar Kat Pa(VT)</t>
  </si>
  <si>
    <t xml:space="preserve">            Let Htoke Taw(VT)</t>
  </si>
  <si>
    <t xml:space="preserve">            Ku Lar Pyan(VT)</t>
  </si>
  <si>
    <t xml:space="preserve">            Htee Saung(VT)</t>
  </si>
  <si>
    <t xml:space="preserve">            Pe Ku(VT)</t>
  </si>
  <si>
    <t xml:space="preserve">            Nyaung Yin(VT)</t>
  </si>
  <si>
    <t xml:space="preserve">            Gon Hnyin Seik(VT)</t>
  </si>
  <si>
    <t xml:space="preserve">            Nyaung Myit(VT)</t>
  </si>
  <si>
    <t xml:space="preserve">            Pon Nyar(VT)</t>
  </si>
  <si>
    <t xml:space="preserve">            Tha Pyay Thar(VT)</t>
  </si>
  <si>
    <t xml:space="preserve">            Mu Mandalay(VT)</t>
  </si>
  <si>
    <t xml:space="preserve">            Shwe Kyaung Kan(VT)</t>
  </si>
  <si>
    <t xml:space="preserve">            Inn Ma(VT)</t>
  </si>
  <si>
    <t xml:space="preserve">            Ngar Kin(VT)</t>
  </si>
  <si>
    <t xml:space="preserve">            Khwet Khwin(VT)</t>
  </si>
  <si>
    <t xml:space="preserve">            Htein Kan(VT)</t>
  </si>
  <si>
    <t xml:space="preserve">            Kan Taw(VT)</t>
  </si>
  <si>
    <t xml:space="preserve">            Kan Pyar(VT)</t>
  </si>
  <si>
    <t xml:space="preserve">            Sat Pyar Kyin(VT)</t>
  </si>
  <si>
    <t xml:space="preserve">            Na Be Kyu(VT)</t>
  </si>
  <si>
    <t xml:space="preserve">            Pyawt(VT)</t>
  </si>
  <si>
    <t xml:space="preserve">            Ma Gyi Kan(VT)</t>
  </si>
  <si>
    <t xml:space="preserve">            Mu Wa Ywar Htaung (VT)</t>
  </si>
  <si>
    <t xml:space="preserve">            Taw Chaung U(VT)</t>
  </si>
  <si>
    <t xml:space="preserve">            Ga Yu(VT)</t>
  </si>
  <si>
    <t xml:space="preserve">            Me Naw(VT)</t>
  </si>
  <si>
    <t xml:space="preserve">            Shwe Yin Mar(VT)</t>
  </si>
  <si>
    <t xml:space="preserve">            Yone Kar(VT)</t>
  </si>
  <si>
    <t xml:space="preserve">            Nyaung Pin Kan(VT)</t>
  </si>
  <si>
    <t xml:space="preserve">            Pa Dat Taing(VT)</t>
  </si>
  <si>
    <t xml:space="preserve">            Let Pa Kyin(VT)</t>
  </si>
  <si>
    <t xml:space="preserve">            Tha Man Taw(VT)</t>
  </si>
  <si>
    <t xml:space="preserve">            Pyin Sar Kone(VT)</t>
  </si>
  <si>
    <t xml:space="preserve">            Kone(VT)</t>
  </si>
  <si>
    <t xml:space="preserve">            Pe Taung(VT)</t>
  </si>
  <si>
    <t xml:space="preserve">            Pale Tan(VT)</t>
  </si>
  <si>
    <t xml:space="preserve">            Myo Thit (W)</t>
  </si>
  <si>
    <t xml:space="preserve">            Myauk (W)</t>
  </si>
  <si>
    <t xml:space="preserve">            Ah Lel (W)</t>
  </si>
  <si>
    <t xml:space="preserve">            Taung(W)</t>
  </si>
  <si>
    <t xml:space="preserve">            Hpwar Saw(VT)</t>
  </si>
  <si>
    <t xml:space="preserve">            Let Yet Ma(VT)</t>
  </si>
  <si>
    <t xml:space="preserve">            Kyauk Yit(VT)</t>
  </si>
  <si>
    <t xml:space="preserve">            Koe Pin(VT)</t>
  </si>
  <si>
    <t xml:space="preserve">            Tha Nat Kone(VT)</t>
  </si>
  <si>
    <t xml:space="preserve">            Na Gar Pauk(VT)</t>
  </si>
  <si>
    <t xml:space="preserve">            Mei Ma Thaw(VT)</t>
  </si>
  <si>
    <t xml:space="preserve">            Pan Nyo(VT)</t>
  </si>
  <si>
    <t xml:space="preserve">            Nyaung Kar Yar(VT)</t>
  </si>
  <si>
    <t xml:space="preserve">            Kyauk Tan(VT)</t>
  </si>
  <si>
    <t xml:space="preserve">            Shwe Ta Chaung(VT)</t>
  </si>
  <si>
    <t xml:space="preserve">            Su Lay Kone(VT)</t>
  </si>
  <si>
    <t xml:space="preserve">            Shwe Pan(VT)</t>
  </si>
  <si>
    <t xml:space="preserve">            Shwe Pan Kyun(VT)</t>
  </si>
  <si>
    <t xml:space="preserve">            Kyar Oh(VT)</t>
  </si>
  <si>
    <t xml:space="preserve">            Bu Kaing(VT)</t>
  </si>
  <si>
    <t xml:space="preserve">            Tha Yet Thar(VT)</t>
  </si>
  <si>
    <t xml:space="preserve">            Zee Kyun(VT)</t>
  </si>
  <si>
    <t xml:space="preserve">            Na Bet(VT)</t>
  </si>
  <si>
    <t xml:space="preserve">            Ta Ma Say Kan(VT)</t>
  </si>
  <si>
    <t xml:space="preserve">            Za Yat Kone(VT)</t>
  </si>
  <si>
    <t xml:space="preserve">            Thar Dun(VT)</t>
  </si>
  <si>
    <t xml:space="preserve">            Min Tan(VT)</t>
  </si>
  <si>
    <t xml:space="preserve">            Nay Pu Kone(VT)</t>
  </si>
  <si>
    <t xml:space="preserve">            Pa Rein Ma Kyun(VT)</t>
  </si>
  <si>
    <t xml:space="preserve">            Pa Rein Ma(VT)</t>
  </si>
  <si>
    <t xml:space="preserve">            Oke Hne Boke(VT)</t>
  </si>
  <si>
    <t xml:space="preserve">            Ma Yoe Kone(VT)</t>
  </si>
  <si>
    <t xml:space="preserve">            Shwe Pauk Pin(VT)</t>
  </si>
  <si>
    <t xml:space="preserve">            Ku Toet Kone(VT)</t>
  </si>
  <si>
    <t xml:space="preserve">            Pauk Taw(VT)</t>
  </si>
  <si>
    <t xml:space="preserve">            Kyauk Hpu Kone(VT)</t>
  </si>
  <si>
    <t xml:space="preserve">            Thaung Gyi</t>
  </si>
  <si>
    <t xml:space="preserve">            Kin Ywar(VT)</t>
  </si>
  <si>
    <t xml:space="preserve">            Shwe Bon Thar(VT)</t>
  </si>
  <si>
    <t xml:space="preserve">            Gaung Kwe(VT)</t>
  </si>
  <si>
    <t xml:space="preserve">            Ngar Pei(VT)</t>
  </si>
  <si>
    <t xml:space="preserve">            Myit Thar(VT)</t>
  </si>
  <si>
    <t xml:space="preserve">            Ma Gyi Boke(VT)</t>
  </si>
  <si>
    <t xml:space="preserve">            Aing Thar(VT)</t>
  </si>
  <si>
    <t xml:space="preserve">            Chaung Zin(VT)</t>
  </si>
  <si>
    <t xml:space="preserve">            Pauk Chaung(VT)</t>
  </si>
  <si>
    <t xml:space="preserve">            Ywar Pale(VT)</t>
  </si>
  <si>
    <t xml:space="preserve">            Bone Khaung(VT)</t>
  </si>
  <si>
    <t xml:space="preserve">            Nga Yant Oh(VT)</t>
  </si>
  <si>
    <t xml:space="preserve">            Myit Son(VT)</t>
  </si>
  <si>
    <t xml:space="preserve">            No (1)(W)</t>
  </si>
  <si>
    <t xml:space="preserve">            No (2)(W)</t>
  </si>
  <si>
    <t xml:space="preserve">            No (3)(W)</t>
  </si>
  <si>
    <t xml:space="preserve">            No (4)(W)</t>
  </si>
  <si>
    <t xml:space="preserve">            No (5)(W)</t>
  </si>
  <si>
    <t xml:space="preserve">            No (6)(W)</t>
  </si>
  <si>
    <t xml:space="preserve">            No (7)(W)</t>
  </si>
  <si>
    <t xml:space="preserve">            No (8)(W)</t>
  </si>
  <si>
    <t xml:space="preserve">            No (9)(W)</t>
  </si>
  <si>
    <t xml:space="preserve">            No (10)(W)</t>
  </si>
  <si>
    <t xml:space="preserve">            Ta Ga Nan(VT)</t>
  </si>
  <si>
    <t xml:space="preserve">            Zee Taw(VT)</t>
  </si>
  <si>
    <t xml:space="preserve">            Aung Chan Thar(VT)</t>
  </si>
  <si>
    <t xml:space="preserve">            Bone Bweit(VT)</t>
  </si>
  <si>
    <t xml:space="preserve">            Yin Bar(VT)</t>
  </si>
  <si>
    <t xml:space="preserve">            Pa Daung(VT)</t>
  </si>
  <si>
    <t xml:space="preserve">            Taung Tin(VT)</t>
  </si>
  <si>
    <t xml:space="preserve">            Shar Taw(VT)</t>
  </si>
  <si>
    <t xml:space="preserve">            Min Kone(VT)</t>
  </si>
  <si>
    <t xml:space="preserve">            Oke Shit Kan(VT)</t>
  </si>
  <si>
    <t xml:space="preserve">            Chi Par(VT)</t>
  </si>
  <si>
    <t xml:space="preserve">            Lone Taw(VT)</t>
  </si>
  <si>
    <t xml:space="preserve">            Pa Laing(VT)</t>
  </si>
  <si>
    <t xml:space="preserve">            Kun Seik(VT)</t>
  </si>
  <si>
    <t xml:space="preserve">            Wun Si(VT)</t>
  </si>
  <si>
    <t xml:space="preserve">            Tet Tu(VT)</t>
  </si>
  <si>
    <t xml:space="preserve">            Htan Sin(VT)</t>
  </si>
  <si>
    <t xml:space="preserve">            Hta Naung Wun(VT)</t>
  </si>
  <si>
    <t xml:space="preserve">            Pi Tauk Khaung(VT)</t>
  </si>
  <si>
    <t xml:space="preserve">            Khun Taung Nge(VT)</t>
  </si>
  <si>
    <t xml:space="preserve">            Si Thar(VT)</t>
  </si>
  <si>
    <t xml:space="preserve">            Hpoke Kone(VT)</t>
  </si>
  <si>
    <t xml:space="preserve">            Ta Ohn(VT)</t>
  </si>
  <si>
    <t xml:space="preserve">            Kyoe Kyar(VT)</t>
  </si>
  <si>
    <t xml:space="preserve">            Ta Kan Thar(VT)</t>
  </si>
  <si>
    <t xml:space="preserve">            Thit Cho Pin(VT)</t>
  </si>
  <si>
    <t xml:space="preserve">            Chaung Son(VT)</t>
  </si>
  <si>
    <t xml:space="preserve">            Pauk Tone(VT)</t>
  </si>
  <si>
    <t xml:space="preserve">            Ta Khun Taing(VT)</t>
  </si>
  <si>
    <t xml:space="preserve">            Tha Pyay Thit Cho(VT)</t>
  </si>
  <si>
    <t xml:space="preserve">            Min Kyaung(VT)</t>
  </si>
  <si>
    <t xml:space="preserve">            Kan Hpyu(VT)</t>
  </si>
  <si>
    <t xml:space="preserve">            Sil Kwet(VT)</t>
  </si>
  <si>
    <t xml:space="preserve">            Kawt(VT)</t>
  </si>
  <si>
    <t xml:space="preserve">            Na Maw(VT)</t>
  </si>
  <si>
    <t xml:space="preserve">            Boe Daw Taw(VT)</t>
  </si>
  <si>
    <t xml:space="preserve">            Sin Inn(VT)</t>
  </si>
  <si>
    <t xml:space="preserve">            Tha But Taw(VT)</t>
  </si>
  <si>
    <t xml:space="preserve">            Ku Toet Seik(VT)</t>
  </si>
  <si>
    <t xml:space="preserve">            Myin See(VT)</t>
  </si>
  <si>
    <t xml:space="preserve">            Tha Yet Pin Wun(VT)</t>
  </si>
  <si>
    <t xml:space="preserve">            Nyaung Kaing(VT)</t>
  </si>
  <si>
    <t xml:space="preserve">            Yone Taw(VT)</t>
  </si>
  <si>
    <t xml:space="preserve">            Tei Pin(VT)</t>
  </si>
  <si>
    <t xml:space="preserve">            Ywar Soe(VT)</t>
  </si>
  <si>
    <t xml:space="preserve">            War Yon Kan(VT)</t>
  </si>
  <si>
    <t xml:space="preserve">            Saung Tan(VT)</t>
  </si>
  <si>
    <t xml:space="preserve">            Seik Khun(VT)</t>
  </si>
  <si>
    <t xml:space="preserve">            Tint Tei(VT)</t>
  </si>
  <si>
    <t xml:space="preserve">            Myin Chin(VT)</t>
  </si>
  <si>
    <t xml:space="preserve">            Tha Lone(VT)</t>
  </si>
  <si>
    <t xml:space="preserve">            Ywar Taw(VT)</t>
  </si>
  <si>
    <t xml:space="preserve">            Pan Yan(VT)</t>
  </si>
  <si>
    <t xml:space="preserve">            Zee Hpyu Kone(VT)</t>
  </si>
  <si>
    <t xml:space="preserve">            Hna Ma Sar Yit(VT)</t>
  </si>
  <si>
    <t xml:space="preserve">            Leik Chin(VT)</t>
  </si>
  <si>
    <t xml:space="preserve">            Kyar(VT)</t>
  </si>
  <si>
    <t xml:space="preserve">            Khun Taung Gyi(VT)</t>
  </si>
  <si>
    <t xml:space="preserve">            Nyaung Kan(VT)</t>
  </si>
  <si>
    <t xml:space="preserve">            Sint Ton(VT)</t>
  </si>
  <si>
    <t xml:space="preserve">            Kyet Tet(VT)</t>
  </si>
  <si>
    <t xml:space="preserve">            Mya Kan Thar(W)</t>
  </si>
  <si>
    <t xml:space="preserve">            Aung Chan Thar(W)</t>
  </si>
  <si>
    <t xml:space="preserve">            Aung Thi Ri Ward(W)</t>
  </si>
  <si>
    <t xml:space="preserve">            Min Ga Lar Yan Aung(W)</t>
  </si>
  <si>
    <t xml:space="preserve">            Mon Hla(VT)</t>
  </si>
  <si>
    <t xml:space="preserve">            Ngar Yon Gyi(VT)</t>
  </si>
  <si>
    <t xml:space="preserve">            Shin Min Dway(VT)</t>
  </si>
  <si>
    <t xml:space="preserve">            Tha Yet Kone(VT)</t>
  </si>
  <si>
    <t xml:space="preserve">            Thar Wut Hti(VT)</t>
  </si>
  <si>
    <t xml:space="preserve">            Kin Pyit(VT)</t>
  </si>
  <si>
    <t xml:space="preserve">            In Daing Gyi(VT)</t>
  </si>
  <si>
    <t xml:space="preserve">            Pyin Htaung(VT)</t>
  </si>
  <si>
    <t xml:space="preserve">            Ma Gyi Oke(VT)</t>
  </si>
  <si>
    <t xml:space="preserve">            In Daing Lay(VT)</t>
  </si>
  <si>
    <t xml:space="preserve">            Inn Pat(VT)</t>
  </si>
  <si>
    <t xml:space="preserve">            Mya Kan(VT)</t>
  </si>
  <si>
    <t xml:space="preserve">            Mon Taw (North)(VT)</t>
  </si>
  <si>
    <t xml:space="preserve">            Se Gyi(VT)</t>
  </si>
  <si>
    <t xml:space="preserve">            Thet Pay(VT)</t>
  </si>
  <si>
    <t xml:space="preserve">            Yone Su (South)(VT)</t>
  </si>
  <si>
    <t xml:space="preserve">            Kyun Lel(VT)</t>
  </si>
  <si>
    <t xml:space="preserve">            Tei Bo Pin(VT)</t>
  </si>
  <si>
    <t xml:space="preserve">            Myo Thit(VT)</t>
  </si>
  <si>
    <t xml:space="preserve">            Ta Pin Kaung(VT)</t>
  </si>
  <si>
    <t xml:space="preserve">            Paung Hle Kone(VT)</t>
  </si>
  <si>
    <t xml:space="preserve">            Kan Thit(VT)</t>
  </si>
  <si>
    <t xml:space="preserve">            Gway Kone(VT)</t>
  </si>
  <si>
    <t xml:space="preserve">            Ba Oe(VT)</t>
  </si>
  <si>
    <t xml:space="preserve">            Kan Thar Yar(VT)</t>
  </si>
  <si>
    <t xml:space="preserve">            Si Poke Ta Yar(VT)</t>
  </si>
  <si>
    <t xml:space="preserve">            Gya Poet(VT)</t>
  </si>
  <si>
    <t xml:space="preserve">            Ma Daung Gyi(VT)</t>
  </si>
  <si>
    <t xml:space="preserve">            Ma Daung Hla(VT)</t>
  </si>
  <si>
    <t xml:space="preserve">            Pi Tauk Kone(VT)</t>
  </si>
  <si>
    <t xml:space="preserve">            Saw Gyi(VT)</t>
  </si>
  <si>
    <t xml:space="preserve">            Aing Pauk Gyi(VT)</t>
  </si>
  <si>
    <t xml:space="preserve">            Pin Din(VT)</t>
  </si>
  <si>
    <t xml:space="preserve">            Oke Sar Twin(VT)</t>
  </si>
  <si>
    <t xml:space="preserve">            Laung Shey(VT)</t>
  </si>
  <si>
    <t xml:space="preserve">            Let Pan Hla(VT)</t>
  </si>
  <si>
    <t xml:space="preserve">            Let Pan Gyi(VT)</t>
  </si>
  <si>
    <t xml:space="preserve">            Ya Than /Ywar Than(VT)</t>
  </si>
  <si>
    <t xml:space="preserve">            Kyee Kan(VT)</t>
  </si>
  <si>
    <t xml:space="preserve">            Than Bo(VT)</t>
  </si>
  <si>
    <t xml:space="preserve">            Ma Gyi Kone(VT)</t>
  </si>
  <si>
    <t xml:space="preserve">            Kun Taing(VT)</t>
  </si>
  <si>
    <t xml:space="preserve">            Ah Lel Sho(VT)</t>
  </si>
  <si>
    <t xml:space="preserve">            Yauk Thwar Aing(VT)</t>
  </si>
  <si>
    <t xml:space="preserve">            Ngar Inn Gyi(VT)</t>
  </si>
  <si>
    <t xml:space="preserve">            Shar Lwin(VT)</t>
  </si>
  <si>
    <t xml:space="preserve">            Ywar Zin(VT)</t>
  </si>
  <si>
    <t xml:space="preserve">            Kyun Pin Kan(VT)</t>
  </si>
  <si>
    <t xml:space="preserve">            Kyoet Kan(VT)</t>
  </si>
  <si>
    <t xml:space="preserve">            Ywar Thit(VT)</t>
  </si>
  <si>
    <t xml:space="preserve">            Ywar Thar(VT)</t>
  </si>
  <si>
    <t xml:space="preserve">            Su Htat(VT)</t>
  </si>
  <si>
    <t xml:space="preserve">            Kone Gyi(VT)</t>
  </si>
  <si>
    <t xml:space="preserve">            Ka Bwet(VT)</t>
  </si>
  <si>
    <t xml:space="preserve">            Hta Naung Kaing(VT)</t>
  </si>
  <si>
    <t xml:space="preserve">            Thin Paung(VT)</t>
  </si>
  <si>
    <t xml:space="preserve">            Koke Tet(VT)</t>
  </si>
  <si>
    <t xml:space="preserve">            Myin Taw(VT)</t>
  </si>
  <si>
    <t xml:space="preserve">            Ma Gyi Ton(VT)</t>
  </si>
  <si>
    <t xml:space="preserve">            Mu Gyi(VT)</t>
  </si>
  <si>
    <t xml:space="preserve">            Lein Pin(VT)</t>
  </si>
  <si>
    <t xml:space="preserve">            Tha Khut Taw(VT)</t>
  </si>
  <si>
    <t xml:space="preserve">            Yone Thar(VT)</t>
  </si>
  <si>
    <t xml:space="preserve">            Pin Zin(VT)</t>
  </si>
  <si>
    <t xml:space="preserve">            Ta Kaung Min(VT)</t>
  </si>
  <si>
    <t xml:space="preserve">            Khaw Taw(VT)</t>
  </si>
  <si>
    <t xml:space="preserve">            Tha Yaing(VT)</t>
  </si>
  <si>
    <t xml:space="preserve">            Han Lin(VT)</t>
  </si>
  <si>
    <t xml:space="preserve">            Moke Soe Chon(VT)</t>
  </si>
  <si>
    <t xml:space="preserve">            Yin Mar Kan(VT)</t>
  </si>
  <si>
    <t xml:space="preserve">            Min Thar Kan(VT)</t>
  </si>
  <si>
    <t xml:space="preserve">            Hput Hlaing(VT)</t>
  </si>
  <si>
    <t xml:space="preserve">            Sin Ta Wea(VT)</t>
  </si>
  <si>
    <t xml:space="preserve">            Kyay Thee Kone(VT)</t>
  </si>
  <si>
    <t xml:space="preserve">            Yin Taw(VT)</t>
  </si>
  <si>
    <t xml:space="preserve">            Sint Bar(VT)</t>
  </si>
  <si>
    <t xml:space="preserve">            Kyee Pin Kan(VT)</t>
  </si>
  <si>
    <t xml:space="preserve">            Ohn Hne Boke(VT)</t>
  </si>
  <si>
    <t xml:space="preserve">            Ta Nin Thar(VT)</t>
  </si>
  <si>
    <t xml:space="preserve">            Shwe Pan Kone(VT)</t>
  </si>
  <si>
    <t xml:space="preserve">            Ywar Thar Gyi(VT)</t>
  </si>
  <si>
    <t xml:space="preserve">            Tha Yet Gyi(VT)</t>
  </si>
  <si>
    <t xml:space="preserve">            Ta Kaung Htaunt(VT)</t>
  </si>
  <si>
    <t xml:space="preserve">            Hpa Yar Pyan(VT)</t>
  </si>
  <si>
    <t xml:space="preserve">            Tha Ma Yoe(VT)</t>
  </si>
  <si>
    <t xml:space="preserve">            Kaing(VT)</t>
  </si>
  <si>
    <t xml:space="preserve">            Hla Htway(VT)</t>
  </si>
  <si>
    <t xml:space="preserve">            Me Kone(VT)</t>
  </si>
  <si>
    <t xml:space="preserve">            Min Chi(VT)</t>
  </si>
  <si>
    <t xml:space="preserve">            Kywe Zin(VT)</t>
  </si>
  <si>
    <t xml:space="preserve">            Oke Pon(VT)</t>
  </si>
  <si>
    <t xml:space="preserve">            Kyauk Taing(VT)</t>
  </si>
  <si>
    <t xml:space="preserve">            Myin Thei(VT)</t>
  </si>
  <si>
    <t xml:space="preserve">            Hla Taw(VT)</t>
  </si>
  <si>
    <t xml:space="preserve">            Swei Kwayt(VT)</t>
  </si>
  <si>
    <t xml:space="preserve">            Tha Man Thar(VT)</t>
  </si>
  <si>
    <t xml:space="preserve">            Yae Htwet(VT)</t>
  </si>
  <si>
    <t xml:space="preserve">            Shwe Kyin(VT)</t>
  </si>
  <si>
    <t xml:space="preserve">            Mauk Kyoe(VT)</t>
  </si>
  <si>
    <t xml:space="preserve">            Tha Na(VT)</t>
  </si>
  <si>
    <t xml:space="preserve">            Saing Naing Lay(VT)</t>
  </si>
  <si>
    <t xml:space="preserve">            Saing Naing Gyi(VT)</t>
  </si>
  <si>
    <t xml:space="preserve">            Shein Ma Kar(VT)</t>
  </si>
  <si>
    <t xml:space="preserve">            In Daung(VT)</t>
  </si>
  <si>
    <t xml:space="preserve">            Bu Ba Kan(VT)</t>
  </si>
  <si>
    <t xml:space="preserve">            Tat(VT)</t>
  </si>
  <si>
    <t xml:space="preserve">            Inn Be(VT)</t>
  </si>
  <si>
    <t xml:space="preserve">            Thar Laing(VT)</t>
  </si>
  <si>
    <t xml:space="preserve">            Yone Pin Kone(VT)</t>
  </si>
  <si>
    <t xml:space="preserve">            Htan Gyi(VT)</t>
  </si>
  <si>
    <t xml:space="preserve">            Sin Kut(VT)</t>
  </si>
  <si>
    <t xml:space="preserve">            Ku Kaung(VT)</t>
  </si>
  <si>
    <t xml:space="preserve">            Ta Chan Thar(VT)</t>
  </si>
  <si>
    <t xml:space="preserve">            Ywar Nan(VT)</t>
  </si>
  <si>
    <t xml:space="preserve">            Pauk Kan(VT)</t>
  </si>
  <si>
    <t xml:space="preserve">            Nyaung Pin Gyi Taw(VT)</t>
  </si>
  <si>
    <t xml:space="preserve">            Thit Seint Gyi(VT)</t>
  </si>
  <si>
    <t xml:space="preserve">            Shar Kwe(VT)</t>
  </si>
  <si>
    <t xml:space="preserve">            Kan Pauk(VT)</t>
  </si>
  <si>
    <t xml:space="preserve">            In Gyin Pin(VT)</t>
  </si>
  <si>
    <t xml:space="preserve">            Ma Gyi Hpyu(VT)</t>
  </si>
  <si>
    <t xml:space="preserve">            Kya Khat Aing(Kya Khet Aik)(VT)</t>
  </si>
  <si>
    <t xml:space="preserve">            Koe Taung Boet(VT)</t>
  </si>
  <si>
    <t xml:space="preserve">            Meik Tha Lin Kone(VT)</t>
  </si>
  <si>
    <t xml:space="preserve">            Zee Ka Nar(VT)</t>
  </si>
  <si>
    <t xml:space="preserve">            Thin Taw(VT)</t>
  </si>
  <si>
    <t xml:space="preserve">            Kan Gyi(VT)</t>
  </si>
  <si>
    <t xml:space="preserve">            Auk Te(VT)</t>
  </si>
  <si>
    <t xml:space="preserve">            Chat Thin(VT)</t>
  </si>
  <si>
    <t xml:space="preserve">            Tin Maw(VT)</t>
  </si>
  <si>
    <t xml:space="preserve">            Sar Kyin(VT)</t>
  </si>
  <si>
    <t xml:space="preserve">            Nyaung Kan Thar(VT)</t>
  </si>
  <si>
    <t xml:space="preserve">            Myauk Pay Kone(VT)</t>
  </si>
  <si>
    <t xml:space="preserve">            Zin(VT)</t>
  </si>
  <si>
    <t xml:space="preserve">            Zee Kone (North)(VT)</t>
  </si>
  <si>
    <t xml:space="preserve">            Nyo Pin Sho(VT)</t>
  </si>
  <si>
    <t xml:space="preserve">            Pint Thar Gyi(VT)</t>
  </si>
  <si>
    <t xml:space="preserve">            Chat Gyi(VT)</t>
  </si>
  <si>
    <t xml:space="preserve">            Na Gar Paw(VT)</t>
  </si>
  <si>
    <t xml:space="preserve">            Nyaung Kone(VT)</t>
  </si>
  <si>
    <t xml:space="preserve">            Hin Thaw(VT)</t>
  </si>
  <si>
    <t xml:space="preserve">            Nat Pay(VT)</t>
  </si>
  <si>
    <t xml:space="preserve">            Wet Toe (North)(VT)</t>
  </si>
  <si>
    <t xml:space="preserve">            Tauk Ka Shat(VT)</t>
  </si>
  <si>
    <t xml:space="preserve">            Gar Tar(VT)</t>
  </si>
  <si>
    <t xml:space="preserve">            Sa Bai Nant Thar(VT)</t>
  </si>
  <si>
    <t xml:space="preserve">            Inn Lel Gyi(VT)</t>
  </si>
  <si>
    <t xml:space="preserve">            Nyaung Pin Gyi(VT)</t>
  </si>
  <si>
    <t xml:space="preserve">            Kha Tauk Yin(VT)</t>
  </si>
  <si>
    <t xml:space="preserve">            Htan Kone(VT)</t>
  </si>
  <si>
    <t xml:space="preserve">            Oke Hpo(VT)</t>
  </si>
  <si>
    <t xml:space="preserve">            Khaw Than Ti(VT)</t>
  </si>
  <si>
    <t xml:space="preserve">            San Da Yar(VT)</t>
  </si>
  <si>
    <t xml:space="preserve">            Myay Du(VT)</t>
  </si>
  <si>
    <t xml:space="preserve">            Boke Taw(VT)</t>
  </si>
  <si>
    <t xml:space="preserve">            Leik Tu(VT)</t>
  </si>
  <si>
    <t xml:space="preserve">            Thin Pan Taw(VT)</t>
  </si>
  <si>
    <t xml:space="preserve">            Pay Kone (South)(VT)</t>
  </si>
  <si>
    <t xml:space="preserve">            Ywet Kyan(VT)</t>
  </si>
  <si>
    <t xml:space="preserve">            Tin Ngoke Gyi(VT)</t>
  </si>
  <si>
    <t xml:space="preserve">            Tha But Kone(VT)</t>
  </si>
  <si>
    <t xml:space="preserve">            Nyaung Zin Lay(VT)</t>
  </si>
  <si>
    <t xml:space="preserve">            Su Poke Kone(VT)</t>
  </si>
  <si>
    <t xml:space="preserve">            Htein Taw(VT)</t>
  </si>
  <si>
    <t xml:space="preserve">            Me Thei(VT)</t>
  </si>
  <si>
    <t xml:space="preserve">            Kyun Pin Kone(VT)</t>
  </si>
  <si>
    <t xml:space="preserve">            Kaing Yoe(VT)</t>
  </si>
  <si>
    <t xml:space="preserve">            Tha Yet Kan Gyi(VT)</t>
  </si>
  <si>
    <t xml:space="preserve">            Zee Kone (South)(VT)</t>
  </si>
  <si>
    <t xml:space="preserve">            Kar Boe(VT)</t>
  </si>
  <si>
    <t xml:space="preserve">            Ngar Yar Ne(VT)</t>
  </si>
  <si>
    <t xml:space="preserve">            Wet Toe (South)(VT)</t>
  </si>
  <si>
    <t xml:space="preserve">            Kyi Kone(VT)</t>
  </si>
  <si>
    <t xml:space="preserve">            Bu Gyi(VT)</t>
  </si>
  <si>
    <t xml:space="preserve">            Hpa Lon Chaing(VT)</t>
  </si>
  <si>
    <t xml:space="preserve">            Chin Myit Kyin(VT)</t>
  </si>
  <si>
    <t xml:space="preserve">            Nyaung Pin Seik(VT)</t>
  </si>
  <si>
    <t xml:space="preserve">            Kyi Su(VT)</t>
  </si>
  <si>
    <t xml:space="preserve">            Ma Lel(VT)</t>
  </si>
  <si>
    <t xml:space="preserve">            Mei Za Taw(VT)</t>
  </si>
  <si>
    <t xml:space="preserve">            Si Son Gyi(VT)</t>
  </si>
  <si>
    <t xml:space="preserve">            Hnget Pyaw Taing(VT)</t>
  </si>
  <si>
    <t xml:space="preserve">            Kha Ohn Tar(VT)</t>
  </si>
  <si>
    <t xml:space="preserve">            Pa Zi Gyi(VT)</t>
  </si>
  <si>
    <t xml:space="preserve">            Chaung Shey(VT)</t>
  </si>
  <si>
    <t xml:space="preserve">            Poke Par(VT)</t>
  </si>
  <si>
    <t xml:space="preserve">            Chaung Kan</t>
  </si>
  <si>
    <t xml:space="preserve">            Htan Ta Pin(VT)</t>
  </si>
  <si>
    <t xml:space="preserve">            Ngar Myaung(VT)</t>
  </si>
  <si>
    <t xml:space="preserve">            Kyauk Se Kan(VT)</t>
  </si>
  <si>
    <t xml:space="preserve">            Tha Le U(VT)</t>
  </si>
  <si>
    <t xml:space="preserve">            Myay Mun(VT)</t>
  </si>
  <si>
    <t xml:space="preserve">            Bu Kone(VT)</t>
  </si>
  <si>
    <t xml:space="preserve">            Thauk Kan(VT)</t>
  </si>
  <si>
    <t xml:space="preserve">            Yae Shin(VT)</t>
  </si>
  <si>
    <t xml:space="preserve">            Ya Thar(VT)</t>
  </si>
  <si>
    <t xml:space="preserve">            Dan Pin(VT)</t>
  </si>
  <si>
    <t xml:space="preserve">            Pi Tauk Myaing(W)</t>
  </si>
  <si>
    <t xml:space="preserve">            Thit Yar Myaing(W)</t>
  </si>
  <si>
    <t xml:space="preserve">            In Gyin Myaing(W)</t>
  </si>
  <si>
    <t xml:space="preserve">            Pyin Ma Myaing(W)</t>
  </si>
  <si>
    <t xml:space="preserve">            In Daing(VT)</t>
  </si>
  <si>
    <t xml:space="preserve">            Kyauk Aing(VT)</t>
  </si>
  <si>
    <t xml:space="preserve">            Ywar Thi(VT)</t>
  </si>
  <si>
    <t xml:space="preserve">            Ma Gyi Inn(VT)</t>
  </si>
  <si>
    <t xml:space="preserve">            Tin Tein Yan(VT)</t>
  </si>
  <si>
    <t xml:space="preserve">            Lel Hla(VT)</t>
  </si>
  <si>
    <t xml:space="preserve">            Koke Ko Kone(VT)</t>
  </si>
  <si>
    <t xml:space="preserve">            Inn Gaung(VT)</t>
  </si>
  <si>
    <t xml:space="preserve">            Thet Kei Kyin(VT)</t>
  </si>
  <si>
    <t xml:space="preserve">            Kone See(VT)</t>
  </si>
  <si>
    <t xml:space="preserve">            Maw Kei(VT)</t>
  </si>
  <si>
    <t xml:space="preserve">            Naung Kauk(VT)</t>
  </si>
  <si>
    <t xml:space="preserve">            Tha Yet Pin(VT)</t>
  </si>
  <si>
    <t xml:space="preserve">            Leik Sin Taung(VT)</t>
  </si>
  <si>
    <t xml:space="preserve">            Pay Kone(VT)</t>
  </si>
  <si>
    <t xml:space="preserve">            Yae Yein(VT)</t>
  </si>
  <si>
    <t xml:space="preserve">            In Hla(VT)</t>
  </si>
  <si>
    <t xml:space="preserve">            Nwar Lel Boet(VT)</t>
  </si>
  <si>
    <t xml:space="preserve">            Ein Chay(VT)</t>
  </si>
  <si>
    <t xml:space="preserve">            Taung Yar Seik(VT)</t>
  </si>
  <si>
    <t xml:space="preserve">            Hlut Taik(VT)</t>
  </si>
  <si>
    <t xml:space="preserve">            Shan Kone(VT)</t>
  </si>
  <si>
    <t xml:space="preserve">            Naung U(VT)</t>
  </si>
  <si>
    <t xml:space="preserve">            Thit Cho(VT)</t>
  </si>
  <si>
    <t xml:space="preserve">            Nyaung Pin Yoe(VT)</t>
  </si>
  <si>
    <t xml:space="preserve">            Chaung Zauk(VT)</t>
  </si>
  <si>
    <t xml:space="preserve">            Ma Yar Thar(VT)</t>
  </si>
  <si>
    <t xml:space="preserve">            Shan Su(VT)</t>
  </si>
  <si>
    <t xml:space="preserve">            Htan Pin Kone(VT)</t>
  </si>
  <si>
    <t xml:space="preserve">            Myintharoo(VT)</t>
  </si>
  <si>
    <t xml:space="preserve">            Aung Min Ga Lar(W)</t>
  </si>
  <si>
    <t xml:space="preserve">            Bo Aung Zay Ya(W)</t>
  </si>
  <si>
    <t xml:space="preserve">            Aung San (W)</t>
  </si>
  <si>
    <t xml:space="preserve">            Shwe Pyi Thar (W)</t>
  </si>
  <si>
    <t xml:space="preserve">            Hnaw Kone(VT)</t>
  </si>
  <si>
    <t xml:space="preserve">            Me Oe(VT)</t>
  </si>
  <si>
    <t xml:space="preserve">            Myin Pauk(VT)</t>
  </si>
  <si>
    <t xml:space="preserve">            Hpa Lan Khon(VT)</t>
  </si>
  <si>
    <t xml:space="preserve">            Ywar Nge(VT)</t>
  </si>
  <si>
    <t xml:space="preserve">            Nyaung Lel(VT)</t>
  </si>
  <si>
    <t xml:space="preserve">            Aung Keit Zin(VT)</t>
  </si>
  <si>
    <t xml:space="preserve">            Ywar Meik Thar(VT)</t>
  </si>
  <si>
    <t xml:space="preserve">            Moke Si(VT)</t>
  </si>
  <si>
    <t xml:space="preserve">            Yae U Kone(VT)</t>
  </si>
  <si>
    <t xml:space="preserve">            Than Thei(VT)</t>
  </si>
  <si>
    <t xml:space="preserve">            Chan Thar(VT)</t>
  </si>
  <si>
    <t xml:space="preserve">            Taung Kwin(VT)</t>
  </si>
  <si>
    <t xml:space="preserve">            Boke(VT)</t>
  </si>
  <si>
    <t xml:space="preserve">            Chon(VT)</t>
  </si>
  <si>
    <t xml:space="preserve">            In Taw(VT)</t>
  </si>
  <si>
    <t xml:space="preserve">            Inn Gyi(VT)</t>
  </si>
  <si>
    <t xml:space="preserve">            Kyar Pan Nyo(VT)</t>
  </si>
  <si>
    <t xml:space="preserve">            Kyaung Pan Taw(VT)</t>
  </si>
  <si>
    <t xml:space="preserve">            Koke Ko Su(VT)</t>
  </si>
  <si>
    <t xml:space="preserve">            Kone Thar(VT)</t>
  </si>
  <si>
    <t xml:space="preserve">            Khin Pin(VT)</t>
  </si>
  <si>
    <t xml:space="preserve">            Khaung Nwet(VT)</t>
  </si>
  <si>
    <t xml:space="preserve">            Lein Taw(VT)</t>
  </si>
  <si>
    <t xml:space="preserve">            Wet Thea(VT)</t>
  </si>
  <si>
    <t xml:space="preserve">            Lay(VT)</t>
  </si>
  <si>
    <t xml:space="preserve">            Mon Taing Pin(VT)</t>
  </si>
  <si>
    <t xml:space="preserve">            In Pin(VT)</t>
  </si>
  <si>
    <t xml:space="preserve">            Ywar Pu Gyi(VT)</t>
  </si>
  <si>
    <t xml:space="preserve">            Pone Ta Kar(VT)</t>
  </si>
  <si>
    <t xml:space="preserve">            Lin Hpyu(VT)</t>
  </si>
  <si>
    <t xml:space="preserve">            Tar Taing(VT)</t>
  </si>
  <si>
    <t xml:space="preserve">            Nyaung Ni Kan(VT)</t>
  </si>
  <si>
    <t xml:space="preserve">            Zay Ya Wa Di(VT)</t>
  </si>
  <si>
    <t xml:space="preserve">            Ma Gyi Taw(VT)</t>
  </si>
  <si>
    <t xml:space="preserve">            Ma Gyi Ni(VT)</t>
  </si>
  <si>
    <t xml:space="preserve">            Si Thar Myay(VT)</t>
  </si>
  <si>
    <t xml:space="preserve">            Meik Hti Lar(VT)</t>
  </si>
  <si>
    <t xml:space="preserve">            Myo Gyi(VT)</t>
  </si>
  <si>
    <t xml:space="preserve">            Kun Ohn(VT)</t>
  </si>
  <si>
    <t xml:space="preserve">            Win Wa(VT)</t>
  </si>
  <si>
    <t xml:space="preserve">            Nga Yoke Ton(VT)</t>
  </si>
  <si>
    <t xml:space="preserve">            Pa Lu Za Wa(VT)</t>
  </si>
  <si>
    <t xml:space="preserve">            Hpan Khar Sin(VT)</t>
  </si>
  <si>
    <t xml:space="preserve">            Hpein Kar(VT)</t>
  </si>
  <si>
    <t xml:space="preserve">            Tu Maung(VT)</t>
  </si>
  <si>
    <t xml:space="preserve">            Taung Pyin Nge(VT)</t>
  </si>
  <si>
    <t xml:space="preserve">            Pay Gyi(VT)</t>
  </si>
  <si>
    <t xml:space="preserve">            Ta Mar Taw(VT)</t>
  </si>
  <si>
    <t xml:space="preserve">            Zein Zun(VT)</t>
  </si>
  <si>
    <t xml:space="preserve">            Shaw Hpyu(VT)</t>
  </si>
  <si>
    <t xml:space="preserve">            Tabayin (W)</t>
  </si>
  <si>
    <t xml:space="preserve">            Taung Pyin(W)</t>
  </si>
  <si>
    <t xml:space="preserve">            Ywar Shey(VT)</t>
  </si>
  <si>
    <t xml:space="preserve">            Khun Taung(VT)</t>
  </si>
  <si>
    <t xml:space="preserve">            Ta Nei(VT)</t>
  </si>
  <si>
    <t xml:space="preserve">            Bagan(VT)</t>
  </si>
  <si>
    <t xml:space="preserve">            Let Tee(VT)</t>
  </si>
  <si>
    <t xml:space="preserve">            Yin Dway(VT)</t>
  </si>
  <si>
    <t xml:space="preserve">            Kyi(VT)</t>
  </si>
  <si>
    <t xml:space="preserve">            Wa Bar(VT)</t>
  </si>
  <si>
    <t xml:space="preserve">            Taw Kyaung(VT)</t>
  </si>
  <si>
    <t xml:space="preserve">            In Taing Lay(VT)</t>
  </si>
  <si>
    <t xml:space="preserve">            In Boke(VT)</t>
  </si>
  <si>
    <t xml:space="preserve">            Paung Taw Ku(VT)</t>
  </si>
  <si>
    <t xml:space="preserve">            Na Gar Twin(VT)</t>
  </si>
  <si>
    <t xml:space="preserve">            In Taing Gyi(VT)</t>
  </si>
  <si>
    <t xml:space="preserve">            Tha Yet Kyin(VT)</t>
  </si>
  <si>
    <t xml:space="preserve">            Saing Pyin(VT)</t>
  </si>
  <si>
    <t xml:space="preserve">            Pyan Kya(VT)</t>
  </si>
  <si>
    <t xml:space="preserve">            Min Te Kone(VT)</t>
  </si>
  <si>
    <t xml:space="preserve">            Min Swe Hnit(VT)</t>
  </si>
  <si>
    <t xml:space="preserve">            Tha Peik Le(VT)</t>
  </si>
  <si>
    <t xml:space="preserve">            Ma Gyi Zauk(VT)</t>
  </si>
  <si>
    <t xml:space="preserve">            Ein Yar(VT)</t>
  </si>
  <si>
    <t xml:space="preserve">            Thein Bar(VT)</t>
  </si>
  <si>
    <t xml:space="preserve">            Mu Kan(VT)</t>
  </si>
  <si>
    <t xml:space="preserve">            Su Tat(VT)</t>
  </si>
  <si>
    <t xml:space="preserve">            Tei Taw(VT)</t>
  </si>
  <si>
    <t xml:space="preserve">            Taik(VT)</t>
  </si>
  <si>
    <t xml:space="preserve">            Mi Chaung Aing(VT)</t>
  </si>
  <si>
    <t xml:space="preserve">            Let Hloke(VT)</t>
  </si>
  <si>
    <t xml:space="preserve">            Tha Yet Kan(VT)</t>
  </si>
  <si>
    <t xml:space="preserve">            Nyaung Hla(VT)</t>
  </si>
  <si>
    <t xml:space="preserve">            Na Myar(VT)</t>
  </si>
  <si>
    <t xml:space="preserve">            Ma Ya Kan(VT)</t>
  </si>
  <si>
    <t xml:space="preserve">            Let Yet Kone(VT)</t>
  </si>
  <si>
    <t xml:space="preserve">            Daing Nat(VT)</t>
  </si>
  <si>
    <t xml:space="preserve">            Kaing Kan(VT)</t>
  </si>
  <si>
    <t xml:space="preserve">            Htaung Tan(VT)</t>
  </si>
  <si>
    <t xml:space="preserve">            Na Gar Bo (VT)</t>
  </si>
  <si>
    <t xml:space="preserve">            Tet Khaung(VT)</t>
  </si>
  <si>
    <t xml:space="preserve">            Ohn Ta Pin(VT)</t>
  </si>
  <si>
    <t xml:space="preserve">            Thit Yar Aik(VT)</t>
  </si>
  <si>
    <t xml:space="preserve">            Sat Lu(VT)</t>
  </si>
  <si>
    <t xml:space="preserve">            Se Taw(VT)</t>
  </si>
  <si>
    <t xml:space="preserve">            In Kyin Pin(VT)</t>
  </si>
  <si>
    <t xml:space="preserve">            In Kyin Tha Poe(VT)</t>
  </si>
  <si>
    <t xml:space="preserve">            Chon Ywar(VT)</t>
  </si>
  <si>
    <t xml:space="preserve">            Tha Yet Taw(VT)</t>
  </si>
  <si>
    <t xml:space="preserve">            Bo Mya (W)</t>
  </si>
  <si>
    <t xml:space="preserve">            Paw-U (W)</t>
  </si>
  <si>
    <t xml:space="preserve">            MahaMyaing(W)</t>
  </si>
  <si>
    <t xml:space="preserve">            MittaMyaing(W)</t>
  </si>
  <si>
    <t xml:space="preserve">            Nyan Thar(VT)</t>
  </si>
  <si>
    <t xml:space="preserve">            Aung Swar(VT)</t>
  </si>
  <si>
    <t xml:space="preserve">            Chaung Yoe(VT)</t>
  </si>
  <si>
    <t xml:space="preserve">            Chaung Son (South)(VT)</t>
  </si>
  <si>
    <t xml:space="preserve">            Chaung Son (North)(VT)</t>
  </si>
  <si>
    <t xml:space="preserve">            Dei Yauk(VT)</t>
  </si>
  <si>
    <t xml:space="preserve">            Et Taw(VT)</t>
  </si>
  <si>
    <t xml:space="preserve">            Nga Tan(VT)</t>
  </si>
  <si>
    <t xml:space="preserve">            In Taing(VT)</t>
  </si>
  <si>
    <t xml:space="preserve">            Daung Gyi(VT)</t>
  </si>
  <si>
    <t xml:space="preserve">            In Koke Kar(VT)</t>
  </si>
  <si>
    <t xml:space="preserve">            Kyun Taw Kone(VT)</t>
  </si>
  <si>
    <t xml:space="preserve">            Ka La Zin(VT)</t>
  </si>
  <si>
    <t xml:space="preserve">            Kha Paung Kyaing(VT)</t>
  </si>
  <si>
    <t xml:space="preserve">            Kone Yoe(VT)</t>
  </si>
  <si>
    <t xml:space="preserve">            Kon Swar (Kone Ywar)(VT)</t>
  </si>
  <si>
    <t xml:space="preserve">            Kyaung Sin Aing(VT)</t>
  </si>
  <si>
    <t xml:space="preserve">            Kan Htu Ma(VT)</t>
  </si>
  <si>
    <t xml:space="preserve">            Kha Yan Chan(VT)</t>
  </si>
  <si>
    <t xml:space="preserve">            Kar Paung Kya(VT)</t>
  </si>
  <si>
    <t xml:space="preserve">            Lel Tee(VT)</t>
  </si>
  <si>
    <t xml:space="preserve">            Mauk Tet(VT)</t>
  </si>
  <si>
    <t xml:space="preserve">            Bay Yin(VT)</t>
  </si>
  <si>
    <t xml:space="preserve">            Nga Nu Chaung/Nga Dar Chaung(VT)</t>
  </si>
  <si>
    <t xml:space="preserve">            Na Bet Gyi(VT)</t>
  </si>
  <si>
    <t xml:space="preserve">            Na Nwin Taw(VT)</t>
  </si>
  <si>
    <t xml:space="preserve">            Nyaung Zee Kone(VT)</t>
  </si>
  <si>
    <t xml:space="preserve">            Na Bet Nge(VT)</t>
  </si>
  <si>
    <t xml:space="preserve">            Oke Hpo Aing(VT)</t>
  </si>
  <si>
    <t xml:space="preserve">            Pa Kar(VT)</t>
  </si>
  <si>
    <t xml:space="preserve">            Pu Tee(VT)</t>
  </si>
  <si>
    <t xml:space="preserve">            Hpa Lan Chaing(VT)</t>
  </si>
  <si>
    <t xml:space="preserve">            Shwe Ka Taw(VT)</t>
  </si>
  <si>
    <t xml:space="preserve">            Shwe Ku(VT)</t>
  </si>
  <si>
    <t xml:space="preserve">            San Swea(VT)</t>
  </si>
  <si>
    <t xml:space="preserve">            Sin Nge(VT)</t>
  </si>
  <si>
    <t xml:space="preserve">            Sein Nan(VT)</t>
  </si>
  <si>
    <t xml:space="preserve">            Shwe Ta Kyay(VT)</t>
  </si>
  <si>
    <t xml:space="preserve">            Toke Ta Loke(VT)</t>
  </si>
  <si>
    <t xml:space="preserve">            Ta Poe(VT)</t>
  </si>
  <si>
    <t xml:space="preserve">            Thit Taw Pauk(VT)</t>
  </si>
  <si>
    <t xml:space="preserve">            Thit Say Kone(VT)</t>
  </si>
  <si>
    <t xml:space="preserve">            Thea Sar(VT)</t>
  </si>
  <si>
    <t xml:space="preserve">            War Ya Nge(VT)</t>
  </si>
  <si>
    <t xml:space="preserve">            Chaung U(VT)</t>
  </si>
  <si>
    <t xml:space="preserve">            Ywar Shey (South)(VT)</t>
  </si>
  <si>
    <t xml:space="preserve">            Ywar Thar Yar(VT)</t>
  </si>
  <si>
    <t xml:space="preserve">            Ywar Mon Taung(VT)</t>
  </si>
  <si>
    <t xml:space="preserve">            Ywar Shey (North)(VT)</t>
  </si>
  <si>
    <t xml:space="preserve">            Zee Pauk(VT)</t>
  </si>
  <si>
    <t xml:space="preserve">            No(1)(W)</t>
  </si>
  <si>
    <t xml:space="preserve">            No(2)(W)</t>
  </si>
  <si>
    <t xml:space="preserve">            No(3)(W)</t>
  </si>
  <si>
    <t xml:space="preserve">            No(4)(W)</t>
  </si>
  <si>
    <t xml:space="preserve">            Ma Au(VT)</t>
  </si>
  <si>
    <t xml:space="preserve">            Shwe Gun (VT)</t>
  </si>
  <si>
    <t xml:space="preserve">            Ma Lar(VT)</t>
  </si>
  <si>
    <t xml:space="preserve">            Ma Khauk(VT)</t>
  </si>
  <si>
    <t xml:space="preserve">            Se Pin Kyun(VT)</t>
  </si>
  <si>
    <t xml:space="preserve">            Ku Lar Ma(VT)</t>
  </si>
  <si>
    <t xml:space="preserve">            Ohn Pauk(VT)</t>
  </si>
  <si>
    <t xml:space="preserve">            Kan Gyi Taw(VT)</t>
  </si>
  <si>
    <t xml:space="preserve">            Gway Pin Kone(VT)</t>
  </si>
  <si>
    <t xml:space="preserve">            Kwayt Gyi(W)</t>
  </si>
  <si>
    <t xml:space="preserve">            Daw Na Chan(W)</t>
  </si>
  <si>
    <t xml:space="preserve">            Lel Di(W)</t>
  </si>
  <si>
    <t xml:space="preserve">            Hpone Soe(W)</t>
  </si>
  <si>
    <t xml:space="preserve">            Ya Da Nar Bon(W)</t>
  </si>
  <si>
    <t xml:space="preserve">            Chan Mya Thar Zi(W)</t>
  </si>
  <si>
    <t xml:space="preserve">            Aye Thar Yar(W)</t>
  </si>
  <si>
    <t xml:space="preserve">            Yan Kin(W)</t>
  </si>
  <si>
    <t xml:space="preserve">            Thar Lar(W)</t>
  </si>
  <si>
    <t xml:space="preserve">            Ah Lel(W)</t>
  </si>
  <si>
    <t xml:space="preserve">            Htan Taw(W)</t>
  </si>
  <si>
    <t xml:space="preserve">            Monywa (South)(W)</t>
  </si>
  <si>
    <t xml:space="preserve">            Mya Wa Di(W)</t>
  </si>
  <si>
    <t xml:space="preserve">            Hpa Yar Gyi(W)</t>
  </si>
  <si>
    <t xml:space="preserve">            Yone Gyi(W)</t>
  </si>
  <si>
    <t xml:space="preserve">            Sue Lay Gone(W)</t>
  </si>
  <si>
    <t xml:space="preserve">            Sit Pin(W)</t>
  </si>
  <si>
    <t xml:space="preserve">            Ah Lone(W)</t>
  </si>
  <si>
    <t xml:space="preserve">            Oe Bo(South)(W)</t>
  </si>
  <si>
    <t xml:space="preserve">            Nan Da Wun(W)</t>
  </si>
  <si>
    <t xml:space="preserve">            Nat Lu Hteik Pan(W)</t>
  </si>
  <si>
    <t xml:space="preserve">            Set Hmu Zon(W)</t>
  </si>
  <si>
    <t xml:space="preserve">            Inn Ywar Thit(W)</t>
  </si>
  <si>
    <t xml:space="preserve">            Koe Shin Kyun(VT)</t>
  </si>
  <si>
    <t xml:space="preserve">            Lel Zin(VT)</t>
  </si>
  <si>
    <t xml:space="preserve">            Nyaung Hpyu Pin(VT)</t>
  </si>
  <si>
    <t xml:space="preserve">            Bu Taung Kan(VT)</t>
  </si>
  <si>
    <t xml:space="preserve">            Bon Ma Noe(VT)</t>
  </si>
  <si>
    <t xml:space="preserve">            Pon Nar Maw(VT)</t>
  </si>
  <si>
    <t xml:space="preserve">            Kyun Ywar Thit(VT)</t>
  </si>
  <si>
    <t xml:space="preserve">            Kya Paing(VT)</t>
  </si>
  <si>
    <t xml:space="preserve">            Taw Pu(VT)</t>
  </si>
  <si>
    <t xml:space="preserve">            Mon Yway(VT)</t>
  </si>
  <si>
    <t xml:space="preserve">            Kyay Mon(VT)</t>
  </si>
  <si>
    <t xml:space="preserve">            Kyee Oke(VT)</t>
  </si>
  <si>
    <t xml:space="preserve">            Kha Tet Kan (North)(VT)</t>
  </si>
  <si>
    <t xml:space="preserve">            Kha Tet Kan (South)(VT)</t>
  </si>
  <si>
    <t xml:space="preserve">            Ywar Ton(VT)</t>
  </si>
  <si>
    <t xml:space="preserve">            Hta Naung Win(VT)</t>
  </si>
  <si>
    <t xml:space="preserve">            Za Loke(VT)</t>
  </si>
  <si>
    <t xml:space="preserve">            Thar Si(VT)</t>
  </si>
  <si>
    <t xml:space="preserve">            Kyaung Kone(VT)</t>
  </si>
  <si>
    <t xml:space="preserve">            Nat Gyi Kyun(VT)</t>
  </si>
  <si>
    <t xml:space="preserve">            Yaung Taw Tone(VT)</t>
  </si>
  <si>
    <t xml:space="preserve">            Ma Yoe Taw(VT)</t>
  </si>
  <si>
    <t xml:space="preserve">            Myin Mee Laung(VT)</t>
  </si>
  <si>
    <t xml:space="preserve">            Thit Seint(VT)</t>
  </si>
  <si>
    <t xml:space="preserve">            Hta Naung Taw(VT)</t>
  </si>
  <si>
    <t xml:space="preserve">            Pa Lin Kone(VT)</t>
  </si>
  <si>
    <t xml:space="preserve">            Khoe Than(VT)</t>
  </si>
  <si>
    <t xml:space="preserve">            Kyauk Kar (North)(VT)</t>
  </si>
  <si>
    <t xml:space="preserve">            Kyauk Kar (South)(VT)</t>
  </si>
  <si>
    <t xml:space="preserve">            Kyoe Kyar Kan(VT)</t>
  </si>
  <si>
    <t xml:space="preserve">            Kywe Ye(VT)</t>
  </si>
  <si>
    <t xml:space="preserve">            Kaw La Pya(VT)</t>
  </si>
  <si>
    <t xml:space="preserve">            Te Gyi Kone(VT)</t>
  </si>
  <si>
    <t xml:space="preserve">            Kha Wea Kyin(VT)</t>
  </si>
  <si>
    <t xml:space="preserve">            Hpan Khar Kyin(VT)</t>
  </si>
  <si>
    <t xml:space="preserve">            Dan Pin Te(VT)</t>
  </si>
  <si>
    <t xml:space="preserve">            Se Gyi Taw(VT)</t>
  </si>
  <si>
    <t xml:space="preserve">            Pu Yit Kone(VT)</t>
  </si>
  <si>
    <t xml:space="preserve">            Min Ywar(VT)</t>
  </si>
  <si>
    <t xml:space="preserve">            Myay Ne(VT)</t>
  </si>
  <si>
    <t xml:space="preserve">            Kyauk Sit Pon (North)(VT)</t>
  </si>
  <si>
    <t xml:space="preserve">            Kyauk Sit Pon (South)(VT)</t>
  </si>
  <si>
    <t xml:space="preserve">            Yae Kan Su(VT)</t>
  </si>
  <si>
    <t xml:space="preserve">            Taung Mar Taw(VT)</t>
  </si>
  <si>
    <t xml:space="preserve">            Nyaung Pin(VT)</t>
  </si>
  <si>
    <t xml:space="preserve">            Pauk Pin(VT)</t>
  </si>
  <si>
    <t xml:space="preserve">            Bu Ba(VT)</t>
  </si>
  <si>
    <t xml:space="preserve">            Kyun Gyi(VT)</t>
  </si>
  <si>
    <t xml:space="preserve">            Ma Har Ban Du La(W)</t>
  </si>
  <si>
    <t xml:space="preserve">            Khon Min Gyi(W)</t>
  </si>
  <si>
    <t xml:space="preserve">            Kyee Pin Chaung(VT)</t>
  </si>
  <si>
    <t xml:space="preserve">            Son Kone(VT)</t>
  </si>
  <si>
    <t xml:space="preserve">            Hta Naung Kone(VT)</t>
  </si>
  <si>
    <t xml:space="preserve">            Myo Paw(VT)</t>
  </si>
  <si>
    <t xml:space="preserve">            Taw Way(VT)</t>
  </si>
  <si>
    <t xml:space="preserve">            Ma Gway Pyin(VT)</t>
  </si>
  <si>
    <t xml:space="preserve">            Hlwe Te(VT)</t>
  </si>
  <si>
    <t xml:space="preserve">            Myo Thit Chaung(VT)</t>
  </si>
  <si>
    <t xml:space="preserve">            Thar Hpan(VT)</t>
  </si>
  <si>
    <t xml:space="preserve">            Tha Pyay Pin(VT)</t>
  </si>
  <si>
    <t xml:space="preserve">            Si Par(VT)</t>
  </si>
  <si>
    <t xml:space="preserve">            Wet Lu Aing(VT)</t>
  </si>
  <si>
    <t xml:space="preserve">            Ywar Thit Shwe Let(VT)</t>
  </si>
  <si>
    <t xml:space="preserve">            Taung Kone(VT)</t>
  </si>
  <si>
    <t xml:space="preserve">            Se Wa(VT)</t>
  </si>
  <si>
    <t xml:space="preserve">            Gway Pin Kyin(VT)</t>
  </si>
  <si>
    <t xml:space="preserve">            Khoe Chaung(VT)</t>
  </si>
  <si>
    <t xml:space="preserve">            Tha Khut Ta Nei(VT)</t>
  </si>
  <si>
    <t xml:space="preserve">            Ku Taw(VT)</t>
  </si>
  <si>
    <t xml:space="preserve">            Kyaung(VT)</t>
  </si>
  <si>
    <t xml:space="preserve">            Nga Yae Win(VT)</t>
  </si>
  <si>
    <t xml:space="preserve">            Ka Toe(VT)</t>
  </si>
  <si>
    <t xml:space="preserve">            Chin Twin(VT)</t>
  </si>
  <si>
    <t xml:space="preserve">            Wet Poke(VT)</t>
  </si>
  <si>
    <t xml:space="preserve">            Sin Yan(VT)</t>
  </si>
  <si>
    <t xml:space="preserve">            Nga Pu Yin(VT)</t>
  </si>
  <si>
    <t xml:space="preserve">            Ye Htwet(VT)</t>
  </si>
  <si>
    <t xml:space="preserve">            Kyoet Kone(VT)</t>
  </si>
  <si>
    <t xml:space="preserve">            Kin San(VT)</t>
  </si>
  <si>
    <t xml:space="preserve">            Kan Swei(VT)</t>
  </si>
  <si>
    <t xml:space="preserve">            Kun Chan(VT)</t>
  </si>
  <si>
    <t xml:space="preserve">            Yon Hlay Kone(VT)</t>
  </si>
  <si>
    <t xml:space="preserve">            Yae Bu Ta Lin(VT)</t>
  </si>
  <si>
    <t xml:space="preserve">            Lay Myay(VT)</t>
  </si>
  <si>
    <t xml:space="preserve">            Wun Bo(VT)</t>
  </si>
  <si>
    <t xml:space="preserve">            Thee Pin Aing(VT)</t>
  </si>
  <si>
    <t xml:space="preserve">            Twin(VT)</t>
  </si>
  <si>
    <t xml:space="preserve">            Dan Taing(VT)</t>
  </si>
  <si>
    <t xml:space="preserve">            Myauk Taw(VT)</t>
  </si>
  <si>
    <t xml:space="preserve">            Hnaw Pin Gyi(VT)</t>
  </si>
  <si>
    <t xml:space="preserve">            Kan Thar(VT)</t>
  </si>
  <si>
    <t xml:space="preserve">            War Tan(VT)</t>
  </si>
  <si>
    <t xml:space="preserve">            Kyauk Pyauk(VT)</t>
  </si>
  <si>
    <t xml:space="preserve">            War Yaung(VT)</t>
  </si>
  <si>
    <t xml:space="preserve">            Tha Khut Pin Lel(VT)</t>
  </si>
  <si>
    <t xml:space="preserve">            Ma Le Thar(VT)</t>
  </si>
  <si>
    <t xml:space="preserve">            Naung Gyi Aing(VT)</t>
  </si>
  <si>
    <t xml:space="preserve">            War Taw Ma(VT)</t>
  </si>
  <si>
    <t xml:space="preserve">            Hmaw Taw(VT)</t>
  </si>
  <si>
    <t xml:space="preserve">            Thit Kyin Gyi(VT)</t>
  </si>
  <si>
    <t xml:space="preserve">            Hgnet Pyaw Chan(VT)</t>
  </si>
  <si>
    <t xml:space="preserve">            Chin Pin(VT)</t>
  </si>
  <si>
    <t xml:space="preserve">            Yae Yo(VT)</t>
  </si>
  <si>
    <t xml:space="preserve">            Ya Thit(VT)</t>
  </si>
  <si>
    <t xml:space="preserve">            Myay Net(VT)</t>
  </si>
  <si>
    <t xml:space="preserve">            Ngwe Twin(VT)</t>
  </si>
  <si>
    <t xml:space="preserve">            Nyaung Chay Htauk(VT)</t>
  </si>
  <si>
    <t xml:space="preserve">            Za Yit(VT)</t>
  </si>
  <si>
    <t xml:space="preserve">            Don Dit(VT)</t>
  </si>
  <si>
    <t xml:space="preserve">            Wet Khe(VT)</t>
  </si>
  <si>
    <t xml:space="preserve">            Tha Le Bar(VT)</t>
  </si>
  <si>
    <t xml:space="preserve">            Sin Ta Lel(VT)</t>
  </si>
  <si>
    <t xml:space="preserve">            Ye Chin(VT)</t>
  </si>
  <si>
    <t xml:space="preserve">            Oke Shin Gyi(VT)</t>
  </si>
  <si>
    <t xml:space="preserve">            Khin Thar(VT)</t>
  </si>
  <si>
    <t xml:space="preserve">            Taung Hmwar(VT)</t>
  </si>
  <si>
    <t xml:space="preserve">            Kyun Taw(VT)</t>
  </si>
  <si>
    <t xml:space="preserve">            Baung Kya(VT)</t>
  </si>
  <si>
    <t xml:space="preserve">            Shar Kone(VT)</t>
  </si>
  <si>
    <t xml:space="preserve">            Oke Shit Gyi(VT)</t>
  </si>
  <si>
    <t xml:space="preserve">            Nay Yar Khin(VT)</t>
  </si>
  <si>
    <t xml:space="preserve">            Lein Hla(VT)</t>
  </si>
  <si>
    <t xml:space="preserve">            Myo Ma(W)</t>
  </si>
  <si>
    <t xml:space="preserve">            Yan Aung Myay(W)</t>
  </si>
  <si>
    <t xml:space="preserve">            Chaung-U  (North)(W)</t>
  </si>
  <si>
    <t xml:space="preserve">            Ta Mar Myaing(W)</t>
  </si>
  <si>
    <t xml:space="preserve">            Chaung-U (South)(W)</t>
  </si>
  <si>
    <t xml:space="preserve">            Ngar Shan(VT)</t>
  </si>
  <si>
    <t xml:space="preserve">            Bu Tar(VT)</t>
  </si>
  <si>
    <t xml:space="preserve">            War Yar(VT)</t>
  </si>
  <si>
    <t xml:space="preserve">            Khin Mun(VT)</t>
  </si>
  <si>
    <t xml:space="preserve">            Nwe Khway(VT)</t>
  </si>
  <si>
    <t xml:space="preserve">            Nat Yae Kan(VT)</t>
  </si>
  <si>
    <t xml:space="preserve">            Than Pin Kan(VT)</t>
  </si>
  <si>
    <t xml:space="preserve">            Ba Lway(VT)</t>
  </si>
  <si>
    <t xml:space="preserve">            Nga Lone Tin(VT)</t>
  </si>
  <si>
    <t xml:space="preserve">            Ma Gyi Gwa(VT)</t>
  </si>
  <si>
    <t xml:space="preserve">            Shwe Gu(VT)</t>
  </si>
  <si>
    <t xml:space="preserve">            Taw Kyaung Lay(VT)</t>
  </si>
  <si>
    <t xml:space="preserve">            Kin Mun Thaw(VT)</t>
  </si>
  <si>
    <t xml:space="preserve">            Ku Lar Gyi(VT)</t>
  </si>
  <si>
    <t xml:space="preserve">            Ah Myint(VT)</t>
  </si>
  <si>
    <t xml:space="preserve">            Chaung Ma Nar (Kaing Se)(VT)</t>
  </si>
  <si>
    <t xml:space="preserve">            Htu Ni(VT)</t>
  </si>
  <si>
    <t xml:space="preserve">            Ah Neint (Thone Pan Hla)(VT)</t>
  </si>
  <si>
    <t xml:space="preserve">            Hman Cho(VT)</t>
  </si>
  <si>
    <t xml:space="preserve">            Kyauk Sit Kan(VT)</t>
  </si>
  <si>
    <t xml:space="preserve">            Myauk Paing(W)</t>
  </si>
  <si>
    <t xml:space="preserve">            Ah Lel Paing(W)</t>
  </si>
  <si>
    <t xml:space="preserve">            Taung Paing(W)</t>
  </si>
  <si>
    <t xml:space="preserve">            Thu Htay Gone(W)</t>
  </si>
  <si>
    <t xml:space="preserve">            Zay Yar Chaung(W)</t>
  </si>
  <si>
    <t xml:space="preserve">            Set Pan(W)</t>
  </si>
  <si>
    <t xml:space="preserve">            Hlyat Sit Kone(W)</t>
  </si>
  <si>
    <t xml:space="preserve">            Pein Hne Kone(W)</t>
  </si>
  <si>
    <t xml:space="preserve">            Tha Hpan Saing(W)</t>
  </si>
  <si>
    <t xml:space="preserve">            Auk Wea Gyi(VT)</t>
  </si>
  <si>
    <t xml:space="preserve">            Tone Paw(VT)</t>
  </si>
  <si>
    <t xml:space="preserve">            Pa Lway Shwe(VT)</t>
  </si>
  <si>
    <t xml:space="preserve">            Kyan Taw(VT)</t>
  </si>
  <si>
    <t xml:space="preserve">            Lan Gwa(VT)</t>
  </si>
  <si>
    <t xml:space="preserve">            Meik Tha Lin(VT)</t>
  </si>
  <si>
    <t xml:space="preserve">            Sa Kar Kone(VT)</t>
  </si>
  <si>
    <t xml:space="preserve">            Kyauk Htone Gyi(VT)</t>
  </si>
  <si>
    <t xml:space="preserve">            Done Awt(VT)</t>
  </si>
  <si>
    <t xml:space="preserve">            Chaung Wa(VT)</t>
  </si>
  <si>
    <t xml:space="preserve">            Hmat Taing(VT)</t>
  </si>
  <si>
    <t xml:space="preserve">            He Nar(VT)</t>
  </si>
  <si>
    <t xml:space="preserve">            Ka Kar(VT)</t>
  </si>
  <si>
    <t xml:space="preserve">            Man Lwe(VT)</t>
  </si>
  <si>
    <t xml:space="preserve">            Moe Dar Gyi(VT)</t>
  </si>
  <si>
    <t xml:space="preserve">            Naung Pin(VT)</t>
  </si>
  <si>
    <t xml:space="preserve">            Mei Za Li/ Myay Nu(VT)</t>
  </si>
  <si>
    <t xml:space="preserve">            Moe Dar (Ah Lel)(VT)</t>
  </si>
  <si>
    <t xml:space="preserve">            Toke Gyi(VT)</t>
  </si>
  <si>
    <t xml:space="preserve">            Ah Htet Wea Gyi(VT)</t>
  </si>
  <si>
    <t xml:space="preserve">            Min Lel(VT)</t>
  </si>
  <si>
    <t xml:space="preserve">            Ngar Te(VT)</t>
  </si>
  <si>
    <t xml:space="preserve">            Seik Thar(VT)</t>
  </si>
  <si>
    <t xml:space="preserve">            Wet Tu(VT)</t>
  </si>
  <si>
    <t xml:space="preserve">            Doe Pin(VT)</t>
  </si>
  <si>
    <t xml:space="preserve">            Inn(VT)</t>
  </si>
  <si>
    <t xml:space="preserve">            Ka Lon(VT)</t>
  </si>
  <si>
    <t xml:space="preserve">            Than Pu Yar(VT)</t>
  </si>
  <si>
    <t xml:space="preserve">            Bwet(VT)</t>
  </si>
  <si>
    <t xml:space="preserve">            Ku Kar(VT)</t>
  </si>
  <si>
    <t xml:space="preserve">            Aung Zay Yar(W)</t>
  </si>
  <si>
    <t xml:space="preserve">            Aung Myit Tar(W)</t>
  </si>
  <si>
    <t xml:space="preserve">            Nant Khin(VT)</t>
  </si>
  <si>
    <t xml:space="preserve">            Nat Ma Hoke(VT)</t>
  </si>
  <si>
    <t xml:space="preserve">            Se(VT)</t>
  </si>
  <si>
    <t xml:space="preserve">            Lel Pyin(VT)</t>
  </si>
  <si>
    <t xml:space="preserve">            Na Bar(VT)</t>
  </si>
  <si>
    <t xml:space="preserve">            Myauk Kone (Man Lel)(VT)</t>
  </si>
  <si>
    <t xml:space="preserve">            Me Zar(VT)</t>
  </si>
  <si>
    <t xml:space="preserve">            Oke Shit Kone(VT)</t>
  </si>
  <si>
    <t xml:space="preserve">            Kha Yan Sat Kone(VT)</t>
  </si>
  <si>
    <t xml:space="preserve">            Nat Yae Twin(VT)</t>
  </si>
  <si>
    <t xml:space="preserve">            Ah Lel Seik(VT)</t>
  </si>
  <si>
    <t xml:space="preserve">            Lel Naung(VT)</t>
  </si>
  <si>
    <t xml:space="preserve">            Ma Gyi Pin(VT)</t>
  </si>
  <si>
    <t xml:space="preserve">            Gyone Gyone Kya(VT)</t>
  </si>
  <si>
    <t xml:space="preserve">            Let Pan Tan(VT)</t>
  </si>
  <si>
    <t xml:space="preserve">            Thaung Myin(VT)</t>
  </si>
  <si>
    <t xml:space="preserve">            Ma Au Kone(VT)</t>
  </si>
  <si>
    <t xml:space="preserve">            Maw Teik(VT)</t>
  </si>
  <si>
    <t xml:space="preserve">            Nant Thar(VT)</t>
  </si>
  <si>
    <t xml:space="preserve">            Tar Paw(VT)</t>
  </si>
  <si>
    <t xml:space="preserve">            Thoke Khar(VT)</t>
  </si>
  <si>
    <t xml:space="preserve">            Man Hton(VT)</t>
  </si>
  <si>
    <t xml:space="preserve">            Ah Lel Kyun(VT)</t>
  </si>
  <si>
    <t xml:space="preserve">            Maw Lu(VT)</t>
  </si>
  <si>
    <t xml:space="preserve">            See Maw(VT)</t>
  </si>
  <si>
    <t xml:space="preserve">            Pone Hon(VT)</t>
  </si>
  <si>
    <t xml:space="preserve">            Haung Tone(VT)</t>
  </si>
  <si>
    <t xml:space="preserve">            Na Mee(VT)</t>
  </si>
  <si>
    <t xml:space="preserve">            Kone Khar(VT)</t>
  </si>
  <si>
    <t xml:space="preserve">            Gwayt Gyi(VT)</t>
  </si>
  <si>
    <t xml:space="preserve">            Thu Yaung(VT)</t>
  </si>
  <si>
    <t xml:space="preserve">            Man He(VT)</t>
  </si>
  <si>
    <t xml:space="preserve">            Pin Wei(VT)</t>
  </si>
  <si>
    <t xml:space="preserve">            San Pya(Aun San San Pya )(W)</t>
  </si>
  <si>
    <t xml:space="preserve">            Wi Thar Khar(W)</t>
  </si>
  <si>
    <t xml:space="preserve">            Ba Yint Naung(W)</t>
  </si>
  <si>
    <t xml:space="preserve">            Kun Baung (Kwin Baung)(VT)</t>
  </si>
  <si>
    <t xml:space="preserve">            Kyauk Aik(VT)</t>
  </si>
  <si>
    <t xml:space="preserve">            Ah Lel Taw(VT)</t>
  </si>
  <si>
    <t xml:space="preserve">            Lay Thar(VT)</t>
  </si>
  <si>
    <t xml:space="preserve">            Zee Thaung(VT)</t>
  </si>
  <si>
    <t xml:space="preserve">            Kwin Gyi(VT)</t>
  </si>
  <si>
    <t xml:space="preserve">            Sin Hpyu Seik(VT)</t>
  </si>
  <si>
    <t xml:space="preserve">            Me Hin(VT)</t>
  </si>
  <si>
    <t xml:space="preserve">            Kyet Ta Kaung(VT)</t>
  </si>
  <si>
    <t xml:space="preserve">            Kan Ni(VT)</t>
  </si>
  <si>
    <t xml:space="preserve">            Cheik Thin(VT)</t>
  </si>
  <si>
    <t xml:space="preserve">            Sat Kya(VT)</t>
  </si>
  <si>
    <t xml:space="preserve">            Kyauk Hmaw(VT)</t>
  </si>
  <si>
    <t xml:space="preserve">            Kyet Thun Khin(VT)</t>
  </si>
  <si>
    <t xml:space="preserve">            Yae Wa(VT)</t>
  </si>
  <si>
    <t xml:space="preserve">            Taw Ma(VT)</t>
  </si>
  <si>
    <t xml:space="preserve">            Ma Ra Thein(VT)</t>
  </si>
  <si>
    <t xml:space="preserve">            Hpet Te(VT)</t>
  </si>
  <si>
    <t xml:space="preserve">            Chun Taung(VT)</t>
  </si>
  <si>
    <t xml:space="preserve">            Ni Tar(VT)</t>
  </si>
  <si>
    <t xml:space="preserve">            Pauk Net(VT)</t>
  </si>
  <si>
    <t xml:space="preserve">            Mya Taung(VT)</t>
  </si>
  <si>
    <t xml:space="preserve">            Maung Kone(VT)</t>
  </si>
  <si>
    <t xml:space="preserve">            Sit Tan(VT)</t>
  </si>
  <si>
    <t xml:space="preserve">            Mya Nan Dar(W)</t>
  </si>
  <si>
    <t xml:space="preserve">            Myo Ma (W)</t>
  </si>
  <si>
    <t xml:space="preserve">            Hlwa Sin Kone(W)</t>
  </si>
  <si>
    <t xml:space="preserve">            Forest EA</t>
  </si>
  <si>
    <t xml:space="preserve">            Aung Thar Kone(VT)</t>
  </si>
  <si>
    <t xml:space="preserve">            Let Net Gyi(VT)</t>
  </si>
  <si>
    <t xml:space="preserve">            Set Taw(VT)</t>
  </si>
  <si>
    <t xml:space="preserve">            Kan(VT)</t>
  </si>
  <si>
    <t xml:space="preserve">            Kho Nan(VT)</t>
  </si>
  <si>
    <t xml:space="preserve">            Pin Hin Khar(VT)</t>
  </si>
  <si>
    <t xml:space="preserve">            Lay Thi(VT)</t>
  </si>
  <si>
    <t xml:space="preserve">            Kywe Kaw Gyi(VT)</t>
  </si>
  <si>
    <t xml:space="preserve">            Lone Kin Shwe Kyaung(VT)</t>
  </si>
  <si>
    <t xml:space="preserve">            Tone Hlaw(VT)</t>
  </si>
  <si>
    <t xml:space="preserve">            Kaing Gyi(VT)</t>
  </si>
  <si>
    <t xml:space="preserve">            Ohn Hmin(VT)</t>
  </si>
  <si>
    <t xml:space="preserve">            Pan Taw(VT)</t>
  </si>
  <si>
    <t xml:space="preserve">            He Chein(VT)</t>
  </si>
  <si>
    <t xml:space="preserve">            Inn Pauk(VT)</t>
  </si>
  <si>
    <t xml:space="preserve">            Pin Pon(VT)</t>
  </si>
  <si>
    <t xml:space="preserve">            Man Laung Pay Pin(VT)</t>
  </si>
  <si>
    <t xml:space="preserve">            Man Lu(VT)</t>
  </si>
  <si>
    <t xml:space="preserve">            Naung Kan(VT)</t>
  </si>
  <si>
    <t xml:space="preserve">            Si Ka Taung(VT)</t>
  </si>
  <si>
    <t xml:space="preserve">            Da Yu(VT)</t>
  </si>
  <si>
    <t xml:space="preserve">            Leik Saw Min Kone(VT)</t>
  </si>
  <si>
    <t xml:space="preserve">            Sone Taw(VT)</t>
  </si>
  <si>
    <t xml:space="preserve">            Pin Sin Te(VT)</t>
  </si>
  <si>
    <t xml:space="preserve">            Yae Twin Kone(VT)</t>
  </si>
  <si>
    <t xml:space="preserve">            Man Kat(VT)</t>
  </si>
  <si>
    <t xml:space="preserve">            Sar Khan(VT)</t>
  </si>
  <si>
    <t xml:space="preserve">            Nan Tat(VT)</t>
  </si>
  <si>
    <t xml:space="preserve">            Yar Yu(VT)</t>
  </si>
  <si>
    <t xml:space="preserve">            Man Yu Gyi(VT)</t>
  </si>
  <si>
    <t xml:space="preserve">            Man Yu Pay Kone(VT)</t>
  </si>
  <si>
    <t xml:space="preserve">            Man Si Gyi(VT)</t>
  </si>
  <si>
    <t xml:space="preserve">            Naung Pat(VT)</t>
  </si>
  <si>
    <t xml:space="preserve">            Nant Mar(VT)</t>
  </si>
  <si>
    <t xml:space="preserve">            Man In(VT)</t>
  </si>
  <si>
    <t xml:space="preserve">            Nar Nant Tun(VT)</t>
  </si>
  <si>
    <t xml:space="preserve">            Ga Nan Shwe Kyaung(VT)</t>
  </si>
  <si>
    <t xml:space="preserve">            Ga Nan Nan Zar(VT)</t>
  </si>
  <si>
    <t xml:space="preserve">            Ga Nan He Kwee(VT)</t>
  </si>
  <si>
    <t xml:space="preserve">            Ga Nan Leik Saw(VT)</t>
  </si>
  <si>
    <t xml:space="preserve">            Ga Nan NanHnyin(VT)</t>
  </si>
  <si>
    <t xml:space="preserve">            Ga Nan Ma Gyi Kone(VT)</t>
  </si>
  <si>
    <t xml:space="preserve">            Ga Nan Nan Mu Thar(VT)</t>
  </si>
  <si>
    <t xml:space="preserve">            Myauk Inn(W)</t>
  </si>
  <si>
    <t xml:space="preserve">            Yae Kyaw(W)</t>
  </si>
  <si>
    <t xml:space="preserve">            Zay Yon Bo Te(W)</t>
  </si>
  <si>
    <t xml:space="preserve">            Myo Ma Myo Kone(W)</t>
  </si>
  <si>
    <t xml:space="preserve">            Pyin Oo Lwin(W)</t>
  </si>
  <si>
    <t xml:space="preserve">            Set Yon Lel Pyin(W)</t>
  </si>
  <si>
    <t xml:space="preserve">            Lar Kar(VT)</t>
  </si>
  <si>
    <t xml:space="preserve">            Aing Gyi(VT)</t>
  </si>
  <si>
    <t xml:space="preserve">            Kyoet Pin(VT)</t>
  </si>
  <si>
    <t xml:space="preserve">            Ta Gaung Aing(VT)</t>
  </si>
  <si>
    <t xml:space="preserve">            Moe Hnan(VT)</t>
  </si>
  <si>
    <t xml:space="preserve">            Tha Yet Chin(VT)</t>
  </si>
  <si>
    <t xml:space="preserve">            Yin Taik(VT)</t>
  </si>
  <si>
    <t xml:space="preserve">            Pan Ma Ye(VT)</t>
  </si>
  <si>
    <t xml:space="preserve">            Oke Kan(VT)</t>
  </si>
  <si>
    <t xml:space="preserve">            Shwe Twin(VT)</t>
  </si>
  <si>
    <t xml:space="preserve">            Shan Ka Lone(VT)</t>
  </si>
  <si>
    <t xml:space="preserve">            Gway Tauk Taw(VT)</t>
  </si>
  <si>
    <t xml:space="preserve">            Sin Gaung(VT)</t>
  </si>
  <si>
    <t xml:space="preserve">            Yar Taung(VT)</t>
  </si>
  <si>
    <t xml:space="preserve">            Yae Kan Thar(VT)</t>
  </si>
  <si>
    <t xml:space="preserve">            Kyar Inn(VT)</t>
  </si>
  <si>
    <t xml:space="preserve">            Ka Yar Kone(VT)</t>
  </si>
  <si>
    <t xml:space="preserve">            Min Chan(VT)</t>
  </si>
  <si>
    <t xml:space="preserve">            Tha Yet Khon(VT)</t>
  </si>
  <si>
    <t xml:space="preserve">            Nyaung Wun(VT)</t>
  </si>
  <si>
    <t xml:space="preserve">            War Yon Khon(VT)</t>
  </si>
  <si>
    <t xml:space="preserve">            Nat Gyi Khon(VT)</t>
  </si>
  <si>
    <t xml:space="preserve">            Nga Pway Lay(VT)</t>
  </si>
  <si>
    <t xml:space="preserve">            Kyu Taw(VT)</t>
  </si>
  <si>
    <t xml:space="preserve">            Myay Ni(VT)</t>
  </si>
  <si>
    <t xml:space="preserve">            Taung Maw(VT)</t>
  </si>
  <si>
    <t xml:space="preserve">            Se To(VT)</t>
  </si>
  <si>
    <t xml:space="preserve">            Ohn Hmin Kone(VT)</t>
  </si>
  <si>
    <t xml:space="preserve">            In Pin Thar(VT)</t>
  </si>
  <si>
    <t xml:space="preserve">            Tha Pay Aing(VT)</t>
  </si>
  <si>
    <t xml:space="preserve">            Kyauk Pyin Thar(VT)</t>
  </si>
  <si>
    <t xml:space="preserve">            In Pin Hla(VT)</t>
  </si>
  <si>
    <t xml:space="preserve">            Yun Oe(VT)</t>
  </si>
  <si>
    <t xml:space="preserve">            Pa Don Mar(VT)</t>
  </si>
  <si>
    <t xml:space="preserve">            Swei Ya(VT)</t>
  </si>
  <si>
    <t xml:space="preserve">            Khan Thar (Min Kone)(VT)</t>
  </si>
  <si>
    <t xml:space="preserve">            Sin Kone(VT)</t>
  </si>
  <si>
    <t xml:space="preserve">            Hpa Le(VT)</t>
  </si>
  <si>
    <t xml:space="preserve">            War Thee Kone(VT)</t>
  </si>
  <si>
    <t xml:space="preserve">            Taung Pon(VT)</t>
  </si>
  <si>
    <t xml:space="preserve">            Taung Boet Hla(VT)</t>
  </si>
  <si>
    <t xml:space="preserve">            Shwe Wun Thi Dar(W)</t>
  </si>
  <si>
    <t xml:space="preserve">            Saw Bwar Gyi(W)</t>
  </si>
  <si>
    <t xml:space="preserve">            Kya Maing(W)</t>
  </si>
  <si>
    <t xml:space="preserve">            Sit Ke Gyi(W)</t>
  </si>
  <si>
    <t xml:space="preserve">            Met Ka Let(VT)</t>
  </si>
  <si>
    <t xml:space="preserve">            Pan Tein Kone(VT)</t>
  </si>
  <si>
    <t xml:space="preserve">            Na Maw Gyi(VT)</t>
  </si>
  <si>
    <t xml:space="preserve">            Myauk Lel(VT)</t>
  </si>
  <si>
    <t xml:space="preserve">            Yae Wai Myin Thar(VT)</t>
  </si>
  <si>
    <t xml:space="preserve">            Tat Kone(VT)</t>
  </si>
  <si>
    <t xml:space="preserve">            Kyauk Ma Sin(VT)</t>
  </si>
  <si>
    <t xml:space="preserve">            Kyaing Khwin(VT)</t>
  </si>
  <si>
    <t xml:space="preserve">            Win Gyi(VT)</t>
  </si>
  <si>
    <t xml:space="preserve">            Ahr Ma Khan(VT)</t>
  </si>
  <si>
    <t xml:space="preserve">            Kyauk Pauk Khon(VT)</t>
  </si>
  <si>
    <t xml:space="preserve">            Let Pan Gyi Taw(VT)</t>
  </si>
  <si>
    <t xml:space="preserve">            Lwin Gyi(VT)</t>
  </si>
  <si>
    <t xml:space="preserve">            Aung Kone(VT)</t>
  </si>
  <si>
    <t xml:space="preserve">            Mei Za Li(VT)</t>
  </si>
  <si>
    <t xml:space="preserve">            Inn Poke Pay Kone(VT)</t>
  </si>
  <si>
    <t xml:space="preserve">            Tin War Chaung(VT)</t>
  </si>
  <si>
    <t xml:space="preserve">            Kin Myin Thar(VT)</t>
  </si>
  <si>
    <t xml:space="preserve">            Kyein Bu Kone(VT)</t>
  </si>
  <si>
    <t xml:space="preserve">            Kyein Chaung(VT)</t>
  </si>
  <si>
    <t xml:space="preserve">            Say Khin Khon(VT)</t>
  </si>
  <si>
    <t xml:space="preserve">            Maw Naing(VT)</t>
  </si>
  <si>
    <t xml:space="preserve">            Nan Khan(VT)</t>
  </si>
  <si>
    <t xml:space="preserve">            Nyaung Chay Tauk(VT)</t>
  </si>
  <si>
    <t xml:space="preserve">            Tat Lwin(VT)</t>
  </si>
  <si>
    <t xml:space="preserve">            Hpi Lay(VT)</t>
  </si>
  <si>
    <t xml:space="preserve">            Chaung Hpyar(VT)</t>
  </si>
  <si>
    <t xml:space="preserve">            Maing Thon(VT)</t>
  </si>
  <si>
    <t xml:space="preserve">            Aung Pin(VT)</t>
  </si>
  <si>
    <t xml:space="preserve">            Kyin Gyi(VT)</t>
  </si>
  <si>
    <t xml:space="preserve">            Maw Khar(VT)</t>
  </si>
  <si>
    <t xml:space="preserve">            Gyoe Taung(VT)</t>
  </si>
  <si>
    <t xml:space="preserve">            Moe Kaung(W)</t>
  </si>
  <si>
    <t xml:space="preserve">            Ka Thaw(VT)</t>
  </si>
  <si>
    <t xml:space="preserve">            Pin Kyaing(VT)</t>
  </si>
  <si>
    <t xml:space="preserve">            Sin Laung (Khin Laung)(VT)</t>
  </si>
  <si>
    <t xml:space="preserve">            Kan Kone(VT)</t>
  </si>
  <si>
    <t xml:space="preserve">            Kat Pan Tar(VT)</t>
  </si>
  <si>
    <t xml:space="preserve">            Maw Lin(VT)</t>
  </si>
  <si>
    <t xml:space="preserve">            Naung Pu Inn(VT)</t>
  </si>
  <si>
    <t xml:space="preserve">            Pin Maung(VT)</t>
  </si>
  <si>
    <t xml:space="preserve">            Yin Thar(VT)</t>
  </si>
  <si>
    <t xml:space="preserve">            Man Si Lay(VT)</t>
  </si>
  <si>
    <t xml:space="preserve">            Oe Myay Kone(VT)</t>
  </si>
  <si>
    <t xml:space="preserve">            Ka Nyin Kone(VT)</t>
  </si>
  <si>
    <t xml:space="preserve">            Ta Maw Thar(VT)</t>
  </si>
  <si>
    <t xml:space="preserve">            Naung Kin(VT)</t>
  </si>
  <si>
    <t xml:space="preserve">            Naung Taw(VT)</t>
  </si>
  <si>
    <t xml:space="preserve">            He That(VT)</t>
  </si>
  <si>
    <t xml:space="preserve">            Taung Tun(VT)</t>
  </si>
  <si>
    <t xml:space="preserve">            Khauk Sin(VT)</t>
  </si>
  <si>
    <t xml:space="preserve">            Myay Thar(VT)</t>
  </si>
  <si>
    <t xml:space="preserve">            Hman Tan(VT)</t>
  </si>
  <si>
    <t xml:space="preserve">            Bant Bway Kone(VT)</t>
  </si>
  <si>
    <t xml:space="preserve">            Kyu Taw Kaing(VT)</t>
  </si>
  <si>
    <t xml:space="preserve">            Ka Ni(VT)</t>
  </si>
  <si>
    <t xml:space="preserve">            Leik Poke(VT)</t>
  </si>
  <si>
    <t xml:space="preserve">            Kin Pan(VT)</t>
  </si>
  <si>
    <t xml:space="preserve">            Naung Mu(VT)</t>
  </si>
  <si>
    <t xml:space="preserve">            War Yu Thar(VT)</t>
  </si>
  <si>
    <t xml:space="preserve">            Tha Dut Kone(VT)</t>
  </si>
  <si>
    <t xml:space="preserve">            Nan Mar(VT)</t>
  </si>
  <si>
    <t xml:space="preserve">            Taung Ta Lone(VT)</t>
  </si>
  <si>
    <t xml:space="preserve">            Kyoet Pin Seik(VT)</t>
  </si>
  <si>
    <t xml:space="preserve">            Ta Dar Kine(VT)</t>
  </si>
  <si>
    <t xml:space="preserve">            Kar Me(VT)</t>
  </si>
  <si>
    <t xml:space="preserve">            Pay Tar(VT)</t>
  </si>
  <si>
    <t xml:space="preserve">            Kyay Thee(VT)</t>
  </si>
  <si>
    <t xml:space="preserve">            Maw Khwin(VT)</t>
  </si>
  <si>
    <t xml:space="preserve">            Ka Bar(VT)</t>
  </si>
  <si>
    <t xml:space="preserve">            Dee Dauk(VT)</t>
  </si>
  <si>
    <t xml:space="preserve">            Maing Tone Tar(VT)</t>
  </si>
  <si>
    <t xml:space="preserve">            Pin Mu(VT)</t>
  </si>
  <si>
    <t xml:space="preserve">            Nar Lon(VT)</t>
  </si>
  <si>
    <t xml:space="preserve">            Taik Mun(VT)</t>
  </si>
  <si>
    <t xml:space="preserve">            Kha Ket(VT)</t>
  </si>
  <si>
    <t xml:space="preserve">            Pyit Saing(VT)</t>
  </si>
  <si>
    <t xml:space="preserve">            War Yon Kone(VT)</t>
  </si>
  <si>
    <t xml:space="preserve">            Nyaung Pin Thar(W)</t>
  </si>
  <si>
    <t xml:space="preserve">            Mingalar U Yin(W)</t>
  </si>
  <si>
    <t xml:space="preserve">            Aung Myay Man(W)</t>
  </si>
  <si>
    <t xml:space="preserve">            Aung Thit Sar(W)</t>
  </si>
  <si>
    <t xml:space="preserve">            Aung Zaya(W)</t>
  </si>
  <si>
    <t xml:space="preserve">            Pin Lon (W)</t>
  </si>
  <si>
    <t xml:space="preserve">            Chan Myayt Aung Si(W)</t>
  </si>
  <si>
    <t xml:space="preserve">            Tat U Thida(W)</t>
  </si>
  <si>
    <t xml:space="preserve">            Thazin(W)</t>
  </si>
  <si>
    <t xml:space="preserve">            Tar Han(W)</t>
  </si>
  <si>
    <t xml:space="preserve">            San Myo(W)</t>
  </si>
  <si>
    <t xml:space="preserve">            Taung Pee Lar(W)</t>
  </si>
  <si>
    <t xml:space="preserve">            Taung Zalat(W)</t>
  </si>
  <si>
    <t xml:space="preserve">            Gyo Thone Pin(W)</t>
  </si>
  <si>
    <t xml:space="preserve">            Hlaing Thar Yar(W)</t>
  </si>
  <si>
    <t xml:space="preserve">            Myo Hla(W)</t>
  </si>
  <si>
    <t xml:space="preserve">            In Daing Kone(W)</t>
  </si>
  <si>
    <t xml:space="preserve">            Myo Thar(W)</t>
  </si>
  <si>
    <t xml:space="preserve">            Kan Pale(VT)</t>
  </si>
  <si>
    <t xml:space="preserve">            Nan Saung Pu(VT)</t>
  </si>
  <si>
    <t xml:space="preserve">            Sa Khan Gyi(VT)</t>
  </si>
  <si>
    <t xml:space="preserve">            Pyin Taw U(VT)</t>
  </si>
  <si>
    <t xml:space="preserve">            Maw Laik Ka Lay(VT)</t>
  </si>
  <si>
    <t xml:space="preserve">            Pyin Khon Gyi(VT)</t>
  </si>
  <si>
    <t xml:space="preserve">            Yar Za Gyo(VT)</t>
  </si>
  <si>
    <t xml:space="preserve">            Saw Bwar Yae Shin(VT)</t>
  </si>
  <si>
    <t xml:space="preserve">            Mauk Lin(VT)</t>
  </si>
  <si>
    <t xml:space="preserve">            Nat Gyi Kone (Kyauk Kar)(VT)</t>
  </si>
  <si>
    <t xml:space="preserve">            Kyaung Taik(VT)</t>
  </si>
  <si>
    <t xml:space="preserve">            Nat Gyi Kone (Pyin Khon Lay)(VT)</t>
  </si>
  <si>
    <t xml:space="preserve">            Ngar Hpar(VT)</t>
  </si>
  <si>
    <t xml:space="preserve">            Kyauk Pyoke(VT)</t>
  </si>
  <si>
    <t xml:space="preserve">            Sin(VT)</t>
  </si>
  <si>
    <t xml:space="preserve">            Set Kant(VT)</t>
  </si>
  <si>
    <t xml:space="preserve">            Taung Au(VT)</t>
  </si>
  <si>
    <t xml:space="preserve">            Khon Thar(VT)</t>
  </si>
  <si>
    <t xml:space="preserve">            Kyet Hpa Net(VT)</t>
  </si>
  <si>
    <t xml:space="preserve">            Nan Kyin Saung(VT)</t>
  </si>
  <si>
    <t xml:space="preserve">            U Yin(VT)</t>
  </si>
  <si>
    <t xml:space="preserve">            Hto Mar(VT)</t>
  </si>
  <si>
    <t xml:space="preserve">            Htauk Kyant(VT)</t>
  </si>
  <si>
    <t xml:space="preserve">            Kin Pun Chon(VT)</t>
  </si>
  <si>
    <t xml:space="preserve">            Inn Din(VT)</t>
  </si>
  <si>
    <t xml:space="preserve">            Nat Myaung(VT)</t>
  </si>
  <si>
    <t xml:space="preserve">            Nat Chaung(VT)</t>
  </si>
  <si>
    <t xml:space="preserve">            Ah Shey See(VT)</t>
  </si>
  <si>
    <t xml:space="preserve">            Khon Doe Myo Thar(VT)</t>
  </si>
  <si>
    <t xml:space="preserve">            Myauk See(VT)</t>
  </si>
  <si>
    <t xml:space="preserve">            Taung See(VT)</t>
  </si>
  <si>
    <t xml:space="preserve">            Kyaw(VT)</t>
  </si>
  <si>
    <t xml:space="preserve">            Tin Thar(VT)</t>
  </si>
  <si>
    <t xml:space="preserve">            Koke Ko(VT)</t>
  </si>
  <si>
    <t xml:space="preserve">            No (1) Ywar Thit(W)</t>
  </si>
  <si>
    <t xml:space="preserve">            No (2) Aung Chan Thar(W)</t>
  </si>
  <si>
    <t xml:space="preserve">            No (3) Aung Min Ga Lar(W)</t>
  </si>
  <si>
    <t xml:space="preserve">            Kyaw Zin(VT)</t>
  </si>
  <si>
    <t xml:space="preserve">            Kya Khat Taw(VT)</t>
  </si>
  <si>
    <t xml:space="preserve">            Auk Taw Gyi(VT)</t>
  </si>
  <si>
    <t xml:space="preserve">            Thit Chauk(VT)</t>
  </si>
  <si>
    <t xml:space="preserve">            Khaung Tee(VT)</t>
  </si>
  <si>
    <t xml:space="preserve">            Kywe Ku(VT)</t>
  </si>
  <si>
    <t xml:space="preserve">            Thin Gan(VT)</t>
  </si>
  <si>
    <t xml:space="preserve">            Ga Zet(VT)</t>
  </si>
  <si>
    <t xml:space="preserve">            Naung Hpa Nan(VT)</t>
  </si>
  <si>
    <t xml:space="preserve">            He Daung(VT)</t>
  </si>
  <si>
    <t xml:space="preserve">            Tun Hlaw(VT)</t>
  </si>
  <si>
    <t xml:space="preserve">            Man Hpar Gyi(VT)</t>
  </si>
  <si>
    <t xml:space="preserve">            Kywe Tat(VT)</t>
  </si>
  <si>
    <t xml:space="preserve">            Myo Ma(VT)</t>
  </si>
  <si>
    <t xml:space="preserve">            In Daing (Inn Aing)(VT)</t>
  </si>
  <si>
    <t xml:space="preserve">            Maung Khar(VT)</t>
  </si>
  <si>
    <t xml:space="preserve">            In Doke (In Noke)(VT)</t>
  </si>
  <si>
    <t xml:space="preserve">            Moe Kaung(VT)</t>
  </si>
  <si>
    <t xml:space="preserve">            Shea Gan(VT)</t>
  </si>
  <si>
    <t xml:space="preserve">            Nan Pin(VT)</t>
  </si>
  <si>
    <t xml:space="preserve">            Nan Za Lein(VT)</t>
  </si>
  <si>
    <t xml:space="preserve">            Yaw Su(VT)</t>
  </si>
  <si>
    <t xml:space="preserve">            Ma Htu(VT)</t>
  </si>
  <si>
    <t xml:space="preserve">            Ma Sein(VT)</t>
  </si>
  <si>
    <t xml:space="preserve">            Ba Let Thar(VT)</t>
  </si>
  <si>
    <t xml:space="preserve">            Ton Nan(VT)</t>
  </si>
  <si>
    <t xml:space="preserve">            Chin Chaung(VT)</t>
  </si>
  <si>
    <t xml:space="preserve">            Khon Gyi(VT)</t>
  </si>
  <si>
    <t xml:space="preserve">            Zay Tan(W)</t>
  </si>
  <si>
    <t xml:space="preserve">            Tha Yet Taw(W)</t>
  </si>
  <si>
    <t xml:space="preserve">            Au (Bu)(VT)</t>
  </si>
  <si>
    <t xml:space="preserve">            Tein(VT)</t>
  </si>
  <si>
    <t xml:space="preserve">            Myin U(VT)</t>
  </si>
  <si>
    <t xml:space="preserve">            Peik Ka Yar(VT)</t>
  </si>
  <si>
    <t xml:space="preserve">            Yin Mar(VT)</t>
  </si>
  <si>
    <t xml:space="preserve">            Kyar Pin(VT)</t>
  </si>
  <si>
    <t xml:space="preserve">            Ah Nauk Taing(VT)</t>
  </si>
  <si>
    <t xml:space="preserve">            Mei Me(VT)</t>
  </si>
  <si>
    <t xml:space="preserve">            Pyar Thone(VT)</t>
  </si>
  <si>
    <t xml:space="preserve">            Kone Maw(VT)</t>
  </si>
  <si>
    <t xml:space="preserve">            Htone Gyi(VT)</t>
  </si>
  <si>
    <t xml:space="preserve">            Tat Chaung(VT)</t>
  </si>
  <si>
    <t xml:space="preserve">            Htone Pan(Htone Man)(VT)</t>
  </si>
  <si>
    <t xml:space="preserve">            Lin Lu(VT)</t>
  </si>
  <si>
    <t xml:space="preserve">            Pa Thay(VT)</t>
  </si>
  <si>
    <t xml:space="preserve">            Ku Le(VT)</t>
  </si>
  <si>
    <t xml:space="preserve">            Sa Thar(VT)</t>
  </si>
  <si>
    <t xml:space="preserve">            Laung Tei(VT)</t>
  </si>
  <si>
    <t xml:space="preserve">            Pauk Aing(VT)</t>
  </si>
  <si>
    <t xml:space="preserve">            Pwint Hlet(VT)</t>
  </si>
  <si>
    <t xml:space="preserve">            Taung Auk(VT)</t>
  </si>
  <si>
    <t xml:space="preserve">            Tin Bet(VT)</t>
  </si>
  <si>
    <t xml:space="preserve">            Kyauk Oe(VT)</t>
  </si>
  <si>
    <t xml:space="preserve">            Inn Kyin Taung(VT)</t>
  </si>
  <si>
    <t xml:space="preserve">            Min Sar(VT)</t>
  </si>
  <si>
    <t xml:space="preserve">            Kyay Nin(VT)</t>
  </si>
  <si>
    <t xml:space="preserve">            Kyay Taung U(VT)</t>
  </si>
  <si>
    <t xml:space="preserve">            Thin Baw(VT)</t>
  </si>
  <si>
    <t xml:space="preserve">            Ba Yon Kar (Ma Yan Thar)(VT)</t>
  </si>
  <si>
    <t xml:space="preserve">            Shan Taw(VT)</t>
  </si>
  <si>
    <t xml:space="preserve">            Ma Taw(VT)</t>
  </si>
  <si>
    <t xml:space="preserve">            Na Nwin Chaung(VT)</t>
  </si>
  <si>
    <t xml:space="preserve">            Pin Tin(VT)</t>
  </si>
  <si>
    <t xml:space="preserve">            Let Cheik(VT)</t>
  </si>
  <si>
    <t xml:space="preserve">            Mauk Ka Taw(VT)</t>
  </si>
  <si>
    <t xml:space="preserve">            Peik Chin Taw(VT)</t>
  </si>
  <si>
    <t xml:space="preserve">            Sa Myin(VT)</t>
  </si>
  <si>
    <t xml:space="preserve">            Pyin Kaing(VT)</t>
  </si>
  <si>
    <t xml:space="preserve">            Than Pauk(VT)</t>
  </si>
  <si>
    <t xml:space="preserve">            Pan Set(VT)</t>
  </si>
  <si>
    <t xml:space="preserve">            Baing(VT)</t>
  </si>
  <si>
    <t xml:space="preserve">            Ton(VT)</t>
  </si>
  <si>
    <t xml:space="preserve">            Zin Ka Le(VT)</t>
  </si>
  <si>
    <t xml:space="preserve">            Bin(VT)</t>
  </si>
  <si>
    <t xml:space="preserve">            Kyway(VT)</t>
  </si>
  <si>
    <t xml:space="preserve">            Myauk Chun(VT)</t>
  </si>
  <si>
    <t xml:space="preserve">            Ywar Ba(VT)</t>
  </si>
  <si>
    <t xml:space="preserve">            Tamu Myo Ma(W)</t>
  </si>
  <si>
    <t xml:space="preserve">            San Da Ku(W)</t>
  </si>
  <si>
    <t xml:space="preserve">            Saw Bwar Inn(W)</t>
  </si>
  <si>
    <t xml:space="preserve">            Kun Taung(VT)</t>
  </si>
  <si>
    <t xml:space="preserve">            He Zin(VT)</t>
  </si>
  <si>
    <t xml:space="preserve">            Ah Hlaw(VT)</t>
  </si>
  <si>
    <t xml:space="preserve">            Kha Meik(VT)</t>
  </si>
  <si>
    <t xml:space="preserve">            Wi Toke(VT)</t>
  </si>
  <si>
    <t xml:space="preserve">            Put Thar(VT)</t>
  </si>
  <si>
    <t xml:space="preserve">            Hpaing Lin(VT)</t>
  </si>
  <si>
    <t xml:space="preserve">            Tha Nan(VT)</t>
  </si>
  <si>
    <t xml:space="preserve">            Ban Du La(VT)</t>
  </si>
  <si>
    <t xml:space="preserve">            Min Thar(VT)</t>
  </si>
  <si>
    <t xml:space="preserve">            Hle Seik(VT)</t>
  </si>
  <si>
    <t xml:space="preserve">            Htone Ka Tin(VT)</t>
  </si>
  <si>
    <t xml:space="preserve">            Auk Taung(VT)</t>
  </si>
  <si>
    <t xml:space="preserve">            Sun Lel(VT)</t>
  </si>
  <si>
    <t xml:space="preserve">            Min Tha Mee(VT)</t>
  </si>
  <si>
    <t xml:space="preserve">            Ma Lu(VT)</t>
  </si>
  <si>
    <t xml:space="preserve">            Htin Zin(VT)</t>
  </si>
  <si>
    <t xml:space="preserve">            Ka Nan(VT)</t>
  </si>
  <si>
    <t xml:space="preserve">            Kyun Taw Yae Shin(VT)</t>
  </si>
  <si>
    <t xml:space="preserve">            Myo Ma (1)(W)</t>
  </si>
  <si>
    <t xml:space="preserve">            Myo Ma (2)(W)</t>
  </si>
  <si>
    <t xml:space="preserve">            Yu Wa(VT)</t>
  </si>
  <si>
    <t xml:space="preserve">            Khar Wea(VT)</t>
  </si>
  <si>
    <t xml:space="preserve">            Khar Tun(VT)</t>
  </si>
  <si>
    <t xml:space="preserve">            War Yon Thar(VT)</t>
  </si>
  <si>
    <t xml:space="preserve">            Pan Thar(VT)</t>
  </si>
  <si>
    <t xml:space="preserve">            Hpe Ka Zet(VT)</t>
  </si>
  <si>
    <t xml:space="preserve">            Tein Thar(VT)</t>
  </si>
  <si>
    <t xml:space="preserve">            Nar Pin(VT)</t>
  </si>
  <si>
    <t xml:space="preserve">            Kin Tat(VT)</t>
  </si>
  <si>
    <t xml:space="preserve">            Hmaw Ku(VT)</t>
  </si>
  <si>
    <t xml:space="preserve">            Tun Pin(VT)</t>
  </si>
  <si>
    <t xml:space="preserve">            Aw Zee Khon(VT)</t>
  </si>
  <si>
    <t xml:space="preserve">            Laung Kaung(VT)</t>
  </si>
  <si>
    <t xml:space="preserve">            Zee Khon(VT)</t>
  </si>
  <si>
    <t xml:space="preserve">            Nan Sauk Sauk(VT)</t>
  </si>
  <si>
    <t xml:space="preserve">            Hman Pin(VT)</t>
  </si>
  <si>
    <t xml:space="preserve">            Hpar Tin(VT)</t>
  </si>
  <si>
    <t xml:space="preserve">            Htaw Thar(VT)</t>
  </si>
  <si>
    <t xml:space="preserve">            Nan Thi(VT)</t>
  </si>
  <si>
    <t xml:space="preserve">            Taung In(VT)</t>
  </si>
  <si>
    <t xml:space="preserve">            Kaung Kway(VT)</t>
  </si>
  <si>
    <t xml:space="preserve">            Kyoke Thar(VT)</t>
  </si>
  <si>
    <t xml:space="preserve">            Law Thar(VT)</t>
  </si>
  <si>
    <t xml:space="preserve">            Kyun Shwe War(W)</t>
  </si>
  <si>
    <t xml:space="preserve">            Pin Thar(VT)</t>
  </si>
  <si>
    <t xml:space="preserve">            He Hlaw(VT)</t>
  </si>
  <si>
    <t xml:space="preserve">            Tha Yaung(VT)</t>
  </si>
  <si>
    <t xml:space="preserve">            Kha Maing(VT)</t>
  </si>
  <si>
    <t xml:space="preserve">            Ywar Tan Shey(VT)</t>
  </si>
  <si>
    <t xml:space="preserve">            Shwe Nyaung Pin(VT)</t>
  </si>
  <si>
    <t xml:space="preserve">            Maing Nwe(VT)</t>
  </si>
  <si>
    <t xml:space="preserve">            Nan Bone(VT)</t>
  </si>
  <si>
    <t xml:space="preserve">            Bar He(VT)</t>
  </si>
  <si>
    <t xml:space="preserve">            Mauk Sa Hpar(VT)</t>
  </si>
  <si>
    <t xml:space="preserve">            Mauk Pa Lin(VT)</t>
  </si>
  <si>
    <t xml:space="preserve">            Yae Auk Taung(VT)</t>
  </si>
  <si>
    <t xml:space="preserve">            Shwe Htee Kone(VT)</t>
  </si>
  <si>
    <t xml:space="preserve">            Tha Nyit(VT)</t>
  </si>
  <si>
    <t xml:space="preserve">            Htaw Ma(VT)</t>
  </si>
  <si>
    <t xml:space="preserve">            Wet Khaung (Lwin Gyi)(VT)</t>
  </si>
  <si>
    <t xml:space="preserve">            Naung Ma Nar(VT)</t>
  </si>
  <si>
    <t xml:space="preserve">            Kauk Sar(VT)</t>
  </si>
  <si>
    <t xml:space="preserve">            Maing Chaung(VT)</t>
  </si>
  <si>
    <t xml:space="preserve">            Ohn Doke(VT)</t>
  </si>
  <si>
    <t xml:space="preserve">            Se Chaung(VT)</t>
  </si>
  <si>
    <t xml:space="preserve">            Tha Yaung Ohn Doke(VT)</t>
  </si>
  <si>
    <t xml:space="preserve">            Man Thea(VT)</t>
  </si>
  <si>
    <t xml:space="preserve">            Nan Pan(VT)</t>
  </si>
  <si>
    <t xml:space="preserve">            Pway Sar Kone(VT)</t>
  </si>
  <si>
    <t xml:space="preserve">            Mar Thee(VT)</t>
  </si>
  <si>
    <t xml:space="preserve">            Sit Thaung(VT)</t>
  </si>
  <si>
    <t xml:space="preserve">            Nan Maw Laik(VT)</t>
  </si>
  <si>
    <t xml:space="preserve">            San Dar(VT)</t>
  </si>
  <si>
    <t xml:space="preserve">            Man Maw(VT)</t>
  </si>
  <si>
    <t xml:space="preserve">            Inn Thar Nat Set (Nat Set)(VT)</t>
  </si>
  <si>
    <t xml:space="preserve">            Ka Yar(VT)</t>
  </si>
  <si>
    <t xml:space="preserve">            Tha Ngar(VT)</t>
  </si>
  <si>
    <t xml:space="preserve">            Ohn Thar(VT)</t>
  </si>
  <si>
    <t xml:space="preserve">            Min Yar(VT)</t>
  </si>
  <si>
    <t xml:space="preserve">            Kauk Kwayt(VT)</t>
  </si>
  <si>
    <t xml:space="preserve">            Lel U(VT)</t>
  </si>
  <si>
    <t xml:space="preserve">            Myin Thar(VT)</t>
  </si>
  <si>
    <t xml:space="preserve">            Paw Maing(W)</t>
  </si>
  <si>
    <t xml:space="preserve">            Hkamti Myo Ma(W)</t>
  </si>
  <si>
    <t xml:space="preserve">            Zee Hpyu Kone(W)</t>
  </si>
  <si>
    <t xml:space="preserve">            Taik Tee(VT)</t>
  </si>
  <si>
    <t xml:space="preserve">            Hpaung Saing(VT)</t>
  </si>
  <si>
    <t xml:space="preserve">            Pa Du Mone(VT)</t>
  </si>
  <si>
    <t xml:space="preserve">            Nant Hpar(VT)</t>
  </si>
  <si>
    <t xml:space="preserve">            Aung Myay(VT)</t>
  </si>
  <si>
    <t xml:space="preserve">            Kin Taw(VT)</t>
  </si>
  <si>
    <t xml:space="preserve">            Sin Thay(VT)</t>
  </si>
  <si>
    <t xml:space="preserve">            Laung Sauk(VT)</t>
  </si>
  <si>
    <t xml:space="preserve">            Hat Ti(VT)</t>
  </si>
  <si>
    <t xml:space="preserve">            Par Saung(VT)</t>
  </si>
  <si>
    <t xml:space="preserve">            Kyauk Ywet(VT)</t>
  </si>
  <si>
    <t xml:space="preserve">            Par Yoe(VT)</t>
  </si>
  <si>
    <t xml:space="preserve">            Maw Law(VT)</t>
  </si>
  <si>
    <t xml:space="preserve">            Kha Maung(VT)</t>
  </si>
  <si>
    <t xml:space="preserve">            Saung Lin(VT)</t>
  </si>
  <si>
    <t xml:space="preserve">            Hein Sun(VT)</t>
  </si>
  <si>
    <t xml:space="preserve">            Mei Poke(VT)</t>
  </si>
  <si>
    <t xml:space="preserve">            Sar Lin(VT)</t>
  </si>
  <si>
    <t xml:space="preserve">            Lin Hpar(VT)</t>
  </si>
  <si>
    <t xml:space="preserve">            Ah Shey Kauk Taung(VT)</t>
  </si>
  <si>
    <t xml:space="preserve">            Ah Nauk Kauk Taung(VT)</t>
  </si>
  <si>
    <t xml:space="preserve">            Laik Khaw(VT)</t>
  </si>
  <si>
    <t xml:space="preserve">            Kaung Hein(VT)</t>
  </si>
  <si>
    <t xml:space="preserve">            Yat Nar(VT)</t>
  </si>
  <si>
    <t xml:space="preserve">            Min Sin(VT)</t>
  </si>
  <si>
    <t xml:space="preserve">            Homalin(W)</t>
  </si>
  <si>
    <t xml:space="preserve">            Naung Pa Kyit(W)</t>
  </si>
  <si>
    <t xml:space="preserve">            Khaung Khan(VT)</t>
  </si>
  <si>
    <t xml:space="preserve">            Ket Thar(VT)</t>
  </si>
  <si>
    <t xml:space="preserve">            Laung Min(VT)</t>
  </si>
  <si>
    <t xml:space="preserve">            Naung San Kyin(VT)</t>
  </si>
  <si>
    <t xml:space="preserve">            Kho Taung(VT)</t>
  </si>
  <si>
    <t xml:space="preserve">            Myin Thar(VT))</t>
  </si>
  <si>
    <t xml:space="preserve">            Auk Hman Kin(VT)</t>
  </si>
  <si>
    <t xml:space="preserve">            Naung Po Aung(VT)</t>
  </si>
  <si>
    <t xml:space="preserve">            Hlwa Zin Kone(VT)</t>
  </si>
  <si>
    <t xml:space="preserve">            Sat Ka Yar(VT)</t>
  </si>
  <si>
    <t xml:space="preserve">            Aw Thaw(VT)</t>
  </si>
  <si>
    <t xml:space="preserve">            Naung Hpar Mu(VT)</t>
  </si>
  <si>
    <t xml:space="preserve">            Nat Nan(VT)</t>
  </si>
  <si>
    <t xml:space="preserve">            Hta Man Thi(VT)</t>
  </si>
  <si>
    <t xml:space="preserve">            Htwet Wa(VT)</t>
  </si>
  <si>
    <t xml:space="preserve">            Hmaing Wei(VT)</t>
  </si>
  <si>
    <t xml:space="preserve">            Ohn Bet(VT)</t>
  </si>
  <si>
    <t xml:space="preserve">            Thaung Thut(VT)</t>
  </si>
  <si>
    <t xml:space="preserve">            Naung Sut Khar(VT)</t>
  </si>
  <si>
    <t xml:space="preserve">            Kyun Kone(VT)</t>
  </si>
  <si>
    <t xml:space="preserve">            Ton He(VT)</t>
  </si>
  <si>
    <t xml:space="preserve">            Wea Het(VT)</t>
  </si>
  <si>
    <t xml:space="preserve">            Taung Paw(VT)</t>
  </si>
  <si>
    <t xml:space="preserve">            Htein Ku(VT)</t>
  </si>
  <si>
    <t xml:space="preserve">            Bo Kone(VT)</t>
  </si>
  <si>
    <t xml:space="preserve">            Hin Naung(VT)</t>
  </si>
  <si>
    <t xml:space="preserve">            Naung Lun(VT)</t>
  </si>
  <si>
    <t xml:space="preserve">            Tha Wun-Hpar Naing(VT)</t>
  </si>
  <si>
    <t xml:space="preserve">            Gway Tauk Kone(VT)</t>
  </si>
  <si>
    <t xml:space="preserve">            Pa Yit-Hpar Naing(VT)</t>
  </si>
  <si>
    <t xml:space="preserve">            Kha Taung Pwint(VT)</t>
  </si>
  <si>
    <t xml:space="preserve">            Hton Mar Te(VT)</t>
  </si>
  <si>
    <t xml:space="preserve">            Taung Kin(VT)</t>
  </si>
  <si>
    <t xml:space="preserve">            Man Hon(VT)</t>
  </si>
  <si>
    <t xml:space="preserve">            Khon Tan Gyi(VT)</t>
  </si>
  <si>
    <t xml:space="preserve">            Yae Kyaw(VT)</t>
  </si>
  <si>
    <t xml:space="preserve">            Zay Di Seik(VT)</t>
  </si>
  <si>
    <t xml:space="preserve">            Maing Kaing(VT)</t>
  </si>
  <si>
    <t xml:space="preserve">            Tar Mei Poke(VT)</t>
  </si>
  <si>
    <t xml:space="preserve">            Yae Paw Mee(VT)</t>
  </si>
  <si>
    <t xml:space="preserve">            Man Sein(VT)</t>
  </si>
  <si>
    <t xml:space="preserve">            He Bet(VT)</t>
  </si>
  <si>
    <t xml:space="preserve">            Naung Moe(VT)</t>
  </si>
  <si>
    <t xml:space="preserve">            Man That(VT)</t>
  </si>
  <si>
    <t xml:space="preserve">            Laung Hpaung(VT)</t>
  </si>
  <si>
    <t xml:space="preserve">            Naung Khan(VT)</t>
  </si>
  <si>
    <t xml:space="preserve">            Pon Nwe(VT)</t>
  </si>
  <si>
    <t xml:space="preserve">            Htein Kone(VT)</t>
  </si>
  <si>
    <t xml:space="preserve">            Mar Lon(VT)</t>
  </si>
  <si>
    <t xml:space="preserve">            Nant Chaw(VT)</t>
  </si>
  <si>
    <t xml:space="preserve">            Maung Khan(VT)</t>
  </si>
  <si>
    <t xml:space="preserve">            Nan Sa Hpi(VT)</t>
  </si>
  <si>
    <t xml:space="preserve">            He Khan(VT)</t>
  </si>
  <si>
    <t xml:space="preserve">            Ma Lin(VT)</t>
  </si>
  <si>
    <t xml:space="preserve">            Yet Hpa(VT)</t>
  </si>
  <si>
    <t xml:space="preserve">            Pint Mar(VT)</t>
  </si>
  <si>
    <t xml:space="preserve">            Nan Tha Nyit(VT)</t>
  </si>
  <si>
    <t xml:space="preserve">            Oe Bo Ka Tauk(VT)</t>
  </si>
  <si>
    <t xml:space="preserve">            Naung Kin Nar(VT)</t>
  </si>
  <si>
    <t xml:space="preserve">            Htein Kin(VT)</t>
  </si>
  <si>
    <t xml:space="preserve">            Pay Pin(VT)</t>
  </si>
  <si>
    <t xml:space="preserve">            Kaw Yar(VT)</t>
  </si>
  <si>
    <t xml:space="preserve">            Poke Tho(VT)</t>
  </si>
  <si>
    <t xml:space="preserve">            Naung Yin(VT)</t>
  </si>
  <si>
    <t xml:space="preserve">            Hmaing Taung(VT)</t>
  </si>
  <si>
    <t xml:space="preserve">            Ah Hmu Htan(W)</t>
  </si>
  <si>
    <t xml:space="preserve">            Ma Thaw Ri(VT)</t>
  </si>
  <si>
    <t xml:space="preserve">            Raw Par Mee(VT)</t>
  </si>
  <si>
    <t xml:space="preserve">            Wan Be(VT)</t>
  </si>
  <si>
    <t xml:space="preserve">            Htaing HpaingYan(VT)</t>
  </si>
  <si>
    <t xml:space="preserve">            Hlan Hlaing Hla(VT)</t>
  </si>
  <si>
    <t xml:space="preserve">            Dein Ka Lein(VT)</t>
  </si>
  <si>
    <t xml:space="preserve">            Chei Yar(VT)</t>
  </si>
  <si>
    <t xml:space="preserve">            Yan Nway(VT)</t>
  </si>
  <si>
    <t xml:space="preserve">            Lay Tein(VT)</t>
  </si>
  <si>
    <t xml:space="preserve">            Ku Kee(VT)</t>
  </si>
  <si>
    <t xml:space="preserve">            Na Mi Yu Pi(VT)</t>
  </si>
  <si>
    <t xml:space="preserve">            Hpway Lin(VT)</t>
  </si>
  <si>
    <t xml:space="preserve">            Lahe Ywar Ma(W)</t>
  </si>
  <si>
    <t xml:space="preserve">            Ah Hmu Htan Myar(W)</t>
  </si>
  <si>
    <t xml:space="preserve">            No (1) Toe Chea(W)</t>
  </si>
  <si>
    <t xml:space="preserve">            No (2) Toe Chea(W)</t>
  </si>
  <si>
    <t xml:space="preserve">            Kar Mway Law Ri(VT)</t>
  </si>
  <si>
    <t xml:space="preserve">            Yan Kyone(VT)</t>
  </si>
  <si>
    <t xml:space="preserve">            Nauk Nyu Khar San(VT)</t>
  </si>
  <si>
    <t xml:space="preserve">            Kar Yaw Nauk Nyo(VT)</t>
  </si>
  <si>
    <t xml:space="preserve">            Htan Khaw Nauk Kone(VT)</t>
  </si>
  <si>
    <t xml:space="preserve">            Khan Ma Lar(VT)</t>
  </si>
  <si>
    <t xml:space="preserve">            Maw Hpun Nauk Inn(VT)</t>
  </si>
  <si>
    <t xml:space="preserve">            Ant Paw(VT)</t>
  </si>
  <si>
    <t xml:space="preserve">            Yan Kyein(VT)</t>
  </si>
  <si>
    <t xml:space="preserve">            Law Nauk Kone(VT)</t>
  </si>
  <si>
    <t xml:space="preserve">            Tway Htway Nauk Kone(VT)</t>
  </si>
  <si>
    <t xml:space="preserve">            La Kyan(VT)</t>
  </si>
  <si>
    <t xml:space="preserve">            Saw Law(VT)</t>
  </si>
  <si>
    <t xml:space="preserve">            Hway Htaik(VT)</t>
  </si>
  <si>
    <t xml:space="preserve">            Laung Kyan Nauk Kone(VT)</t>
  </si>
  <si>
    <t xml:space="preserve">            Ma Kyan(VT)</t>
  </si>
  <si>
    <t xml:space="preserve">            Nyin Shaung(VT)</t>
  </si>
  <si>
    <t xml:space="preserve">            Kat Pa Lan Day Waw(VT)</t>
  </si>
  <si>
    <t xml:space="preserve">            Han Sin(VT)</t>
  </si>
  <si>
    <t xml:space="preserve">            Ku Ku(VT)</t>
  </si>
  <si>
    <t xml:space="preserve">            Lun Htaung(VT)</t>
  </si>
  <si>
    <t xml:space="preserve">            Lon Khin(VT)</t>
  </si>
  <si>
    <t xml:space="preserve">            Kone Khar Lel(VT)</t>
  </si>
  <si>
    <t xml:space="preserve">            Ga Hone(VT)</t>
  </si>
  <si>
    <t xml:space="preserve">            Kaung Lan/Kone Lan(VT)</t>
  </si>
  <si>
    <t xml:space="preserve">            Hton San(VT)</t>
  </si>
  <si>
    <t xml:space="preserve">            Pon Nyo(VT)</t>
  </si>
  <si>
    <t xml:space="preserve">            Htan Khaw(VT)</t>
  </si>
  <si>
    <t xml:space="preserve">            Laung Ngauk(VT)</t>
  </si>
  <si>
    <t xml:space="preserve">            Saw Law Nauk Inn(VT)</t>
  </si>
  <si>
    <t xml:space="preserve">            Lan Khin(VT)</t>
  </si>
  <si>
    <t xml:space="preserve">            Sha Ra(W)</t>
  </si>
  <si>
    <t xml:space="preserve">            Raw Kaw(W)</t>
  </si>
  <si>
    <t xml:space="preserve">            Pi Naung Sut(VT)</t>
  </si>
  <si>
    <t xml:space="preserve">            Kye Tha Yauk(Sun Par)(VT)</t>
  </si>
  <si>
    <t xml:space="preserve">            Tha Man Chaung Son(VT)</t>
  </si>
  <si>
    <t xml:space="preserve">            Kyaing Raing(VT)</t>
  </si>
  <si>
    <t xml:space="preserve">            Yaung Ngway(VT)</t>
  </si>
  <si>
    <t xml:space="preserve">            Har War(VT)</t>
  </si>
  <si>
    <t xml:space="preserve">            Lar Khu (1)(VT)</t>
  </si>
  <si>
    <t xml:space="preserve">            Ga Gaw Ka Bar(VT)</t>
  </si>
  <si>
    <t xml:space="preserve">            Thar Man(VT)</t>
  </si>
  <si>
    <t xml:space="preserve">            Lein Hnoke (1)(VT)</t>
  </si>
  <si>
    <t xml:space="preserve">            Ah Htet Lu Lun(VT)</t>
  </si>
  <si>
    <t xml:space="preserve">            Hpar Kyet(VT)</t>
  </si>
  <si>
    <t xml:space="preserve">            Ngaing Maung(VT)</t>
  </si>
  <si>
    <t xml:space="preserve">            Lar Haung(VT)</t>
  </si>
  <si>
    <t xml:space="preserve">            Ha San Kaing(VT)</t>
  </si>
  <si>
    <t xml:space="preserve">            Chammakauntlonekaung(VT)</t>
  </si>
  <si>
    <t xml:space="preserve">            Maw Nwan(VT)</t>
  </si>
  <si>
    <t xml:space="preserve">            Hpaing Lin Kut(VT)</t>
  </si>
  <si>
    <t xml:space="preserve">            Dan Sa Ku(VT)</t>
  </si>
  <si>
    <t xml:space="preserve">            Pan Set (Pan Sat)(VT)</t>
  </si>
  <si>
    <t xml:space="preserve">            Hpun Tha Yet(VT)</t>
  </si>
  <si>
    <t xml:space="preserve">            Hein Kwet (Hein Kut)(VT)</t>
  </si>
  <si>
    <t xml:space="preserve">            Kon Kaing Lon(VT)</t>
  </si>
  <si>
    <t xml:space="preserve">            Htan Par Kway(W)</t>
  </si>
  <si>
    <t xml:space="preserve">            Lan Nauk(VT)</t>
  </si>
  <si>
    <t xml:space="preserve">            Kyauk Kei(VT)</t>
  </si>
  <si>
    <t xml:space="preserve">            Tar Maung(VT)</t>
  </si>
  <si>
    <t xml:space="preserve">            Kyun Khaung(VT)</t>
  </si>
  <si>
    <t xml:space="preserve">            Ah Htet(W)</t>
  </si>
  <si>
    <t xml:space="preserve">            Auk(W)</t>
  </si>
  <si>
    <t xml:space="preserve">            Ta Kaing (VT)</t>
  </si>
  <si>
    <t xml:space="preserve">            Naung Yan(VT)</t>
  </si>
  <si>
    <t xml:space="preserve">            Ta Kone (1)(VT)</t>
  </si>
  <si>
    <t xml:space="preserve">            Naung Ka Lu(VT)</t>
  </si>
  <si>
    <t xml:space="preserve">            Nan Lit(VT)</t>
  </si>
  <si>
    <t xml:space="preserve">            Hta Haw (1)(VT)</t>
  </si>
  <si>
    <t xml:space="preserve">            Hu Laung(VT)</t>
  </si>
  <si>
    <t xml:space="preserve">            Lon Laung(VT)</t>
  </si>
  <si>
    <t xml:space="preserve">            Wut Htan(VT)</t>
  </si>
  <si>
    <t xml:space="preserve">            Me Tae(W)</t>
  </si>
  <si>
    <t xml:space="preserve">            Htam Yone(W)</t>
  </si>
  <si>
    <t xml:space="preserve">            Lat Kee Lon Yar(VT)</t>
  </si>
  <si>
    <t xml:space="preserve">            San Tee(VT)</t>
  </si>
  <si>
    <t xml:space="preserve">            Rein Khu(VT)</t>
  </si>
  <si>
    <t xml:space="preserve">            Kar Lun(VT)</t>
  </si>
  <si>
    <t xml:space="preserve">            Mi Ku Nauk Kone(VT)</t>
  </si>
  <si>
    <t xml:space="preserve">            Kyar Wun Nauk Pauk(VT)</t>
  </si>
  <si>
    <t xml:space="preserve">            Taw Kye(VT)</t>
  </si>
  <si>
    <t xml:space="preserve">            Yan Si(VT)</t>
  </si>
  <si>
    <t xml:space="preserve">            Lun Nu(VT)</t>
  </si>
  <si>
    <t xml:space="preserve">            Chan Ban(VT)</t>
  </si>
  <si>
    <t xml:space="preserve">            Ka Gyi Chan Myu(VT)</t>
  </si>
  <si>
    <t xml:space="preserve">            Ha Khee(VT)</t>
  </si>
  <si>
    <t xml:space="preserve">            Lar Mar(VT)</t>
  </si>
  <si>
    <t xml:space="preserve">            Noke Par(VT)</t>
  </si>
  <si>
    <t xml:space="preserve">            Bo Te Lar Nu(VT)</t>
  </si>
  <si>
    <t xml:space="preserve">            Ha Khun(VT)</t>
  </si>
  <si>
    <t xml:space="preserve">            Ha Haung(VT)</t>
  </si>
  <si>
    <t xml:space="preserve">            Kaw Lan(VT)</t>
  </si>
  <si>
    <t xml:space="preserve">            Ha Chun Sar(VT)</t>
  </si>
  <si>
    <t xml:space="preserve">            Ha Cheik Nauk Nyu(VT)</t>
  </si>
  <si>
    <t xml:space="preserve">            Ke San Bauk Lun(VT)</t>
  </si>
  <si>
    <t xml:space="preserve">            Ke San Sar Lin(VT)</t>
  </si>
  <si>
    <t xml:space="preserve">            Yan Naw San Ri(VT)</t>
  </si>
  <si>
    <t xml:space="preserve">            Chan Ma Kauk San Ri(VT)</t>
  </si>
  <si>
    <t xml:space="preserve">            Wan Ka Sun Khaw(VT)</t>
  </si>
  <si>
    <t xml:space="preserve">            Kyu Yan(VT)</t>
  </si>
  <si>
    <t xml:space="preserve">            Ke San Laung Kyan(VT)</t>
  </si>
  <si>
    <t xml:space="preserve">            Kar Yaw Kon Shwe(VT)</t>
  </si>
  <si>
    <t xml:space="preserve">            Pun Shein(VT)</t>
  </si>
  <si>
    <t xml:space="preserve">            Sheik Nyu(VT)</t>
  </si>
  <si>
    <t xml:space="preserve">            Yaung Kun/YawKun(VT)</t>
  </si>
  <si>
    <t xml:space="preserve">            Shan He(VT)</t>
  </si>
  <si>
    <t xml:space="preserve">            Ka Gyi(W)</t>
  </si>
  <si>
    <t xml:space="preserve">            Kha Gway(W)</t>
  </si>
  <si>
    <t xml:space="preserve">            Ga Nge(W)</t>
  </si>
  <si>
    <t xml:space="preserve">            Ga Gyi(W)</t>
  </si>
  <si>
    <t xml:space="preserve">            Lel Ngauk(VT)</t>
  </si>
  <si>
    <t xml:space="preserve">            Nyaung Pin Gyi Su(VT)</t>
  </si>
  <si>
    <t xml:space="preserve">            Nat Taunt(VT)</t>
  </si>
  <si>
    <t xml:space="preserve">            Si Laung(VT)</t>
  </si>
  <si>
    <t xml:space="preserve">            Mya Yeik(VT)</t>
  </si>
  <si>
    <t xml:space="preserve">            Sone Chaung(VT)</t>
  </si>
  <si>
    <t xml:space="preserve">            Bant Bway(VT)</t>
  </si>
  <si>
    <t xml:space="preserve">            War Yon(VT)</t>
  </si>
  <si>
    <t xml:space="preserve">            Tar Wa(VT)</t>
  </si>
  <si>
    <t xml:space="preserve">            Let Ka Byar(VT)</t>
  </si>
  <si>
    <t xml:space="preserve">            Shwe Pan Khaing(VT)</t>
  </si>
  <si>
    <t xml:space="preserve">            Min Kan Gyi(VT)</t>
  </si>
  <si>
    <t xml:space="preserve">            Mauk Tha Yet(VT)</t>
  </si>
  <si>
    <t xml:space="preserve">            Lar Boet(VT)</t>
  </si>
  <si>
    <t xml:space="preserve">            Pyan Hleit-Thee Kone(VT)</t>
  </si>
  <si>
    <t xml:space="preserve">            Se Gyi(Htan Taw Gyi)(VT)</t>
  </si>
  <si>
    <t xml:space="preserve">            Saing Hlyar(VT)</t>
  </si>
  <si>
    <t xml:space="preserve">            Kan Chaung(Aung Moe)(VT)</t>
  </si>
  <si>
    <t xml:space="preserve">            Zee Hpyu Pin(VT)</t>
  </si>
  <si>
    <t xml:space="preserve">            Min Zu(VT)</t>
  </si>
  <si>
    <t xml:space="preserve">            Pyan Hleit(VT)</t>
  </si>
  <si>
    <t xml:space="preserve">            Byama Dat(VT)</t>
  </si>
  <si>
    <t xml:space="preserve">            Kone Ywar(VT)</t>
  </si>
  <si>
    <t xml:space="preserve">            Yin Paung Taing(VT)</t>
  </si>
  <si>
    <t xml:space="preserve">            Sin Swei(VT)</t>
  </si>
  <si>
    <t xml:space="preserve">            Sin Te(VT)</t>
  </si>
  <si>
    <t xml:space="preserve">            Sone Kyin(VT)</t>
  </si>
  <si>
    <t xml:space="preserve">            Ka Paing(VT)</t>
  </si>
  <si>
    <t xml:space="preserve">            Ka Paing-Thee Kone(VT)</t>
  </si>
  <si>
    <t xml:space="preserve">            Tha Min That(VT)</t>
  </si>
  <si>
    <t xml:space="preserve">            Mauk Loke(VT)</t>
  </si>
  <si>
    <t xml:space="preserve">            Kyat(VT)</t>
  </si>
  <si>
    <t xml:space="preserve">            Ywar Htaung(VT)</t>
  </si>
  <si>
    <t xml:space="preserve">            Taung Pu(Kyauk Pyoke)(VT)</t>
  </si>
  <si>
    <t xml:space="preserve">            No.1(W)</t>
  </si>
  <si>
    <t xml:space="preserve">            No.2(W)</t>
  </si>
  <si>
    <t xml:space="preserve">            No.3(W)</t>
  </si>
  <si>
    <t xml:space="preserve">            Du Htauk(VT)</t>
  </si>
  <si>
    <t xml:space="preserve">            Sar Htone(VT)</t>
  </si>
  <si>
    <t xml:space="preserve">            Paung Wa(VT)</t>
  </si>
  <si>
    <t xml:space="preserve">            Htan Zin(VT)</t>
  </si>
  <si>
    <t xml:space="preserve">            Let Pa Taung(VT)</t>
  </si>
  <si>
    <t xml:space="preserve">            Kyauk Myet(VT)</t>
  </si>
  <si>
    <t xml:space="preserve">            Done Taw(VT)</t>
  </si>
  <si>
    <t xml:space="preserve">            Taung Pa Lu(VT)</t>
  </si>
  <si>
    <t xml:space="preserve">            Moe Gyoe Pyin(VT)</t>
  </si>
  <si>
    <t xml:space="preserve">            Hpaung Ka Tar(VT)</t>
  </si>
  <si>
    <t xml:space="preserve">            Nyaung Pin To(VT)</t>
  </si>
  <si>
    <t xml:space="preserve">            Baik Tha Yet(VT)</t>
  </si>
  <si>
    <t xml:space="preserve">            Ma Taunt Ta (Ah Taunt Ta)(VT)</t>
  </si>
  <si>
    <t xml:space="preserve">            Shwe Tha Min(VT)</t>
  </si>
  <si>
    <t xml:space="preserve">            Than Ma Taw(VT)</t>
  </si>
  <si>
    <t xml:space="preserve">            Kywe Kho Taw(VT)</t>
  </si>
  <si>
    <t xml:space="preserve">            Pan Htu(VT)</t>
  </si>
  <si>
    <t xml:space="preserve">            Yae Mein(VT)</t>
  </si>
  <si>
    <t xml:space="preserve">            Yone Pin Yoe(VT)</t>
  </si>
  <si>
    <t xml:space="preserve">            Kyar Tet(VT)</t>
  </si>
  <si>
    <t xml:space="preserve">            Zee Chaing(VT)</t>
  </si>
  <si>
    <t xml:space="preserve">            Zee Pa Ni (South)(VT)</t>
  </si>
  <si>
    <t xml:space="preserve">            Zee Pa Ni (North)(VT)</t>
  </si>
  <si>
    <t xml:space="preserve">            Ywar Tha Min(VT)</t>
  </si>
  <si>
    <t xml:space="preserve">            Myay Zun(VT)</t>
  </si>
  <si>
    <t xml:space="preserve">            Son Tar(VT)</t>
  </si>
  <si>
    <t xml:space="preserve">            Kyaing Kha Mauk(VT)</t>
  </si>
  <si>
    <t xml:space="preserve">            Hpa Lan Kan(VT)</t>
  </si>
  <si>
    <t xml:space="preserve">            Sar Khar(VT)</t>
  </si>
  <si>
    <t xml:space="preserve">            Khun Thar(VT)</t>
  </si>
  <si>
    <t xml:space="preserve">            Hnaw Ku Toet(VT)</t>
  </si>
  <si>
    <t xml:space="preserve">            Ngar Khon(VT)</t>
  </si>
  <si>
    <t xml:space="preserve">            Boke Su(VT)</t>
  </si>
  <si>
    <t xml:space="preserve">            Lin Sa Kyet(VT)</t>
  </si>
  <si>
    <t xml:space="preserve">            Ta Yar(VT)</t>
  </si>
  <si>
    <t xml:space="preserve">            Let Taung Gyi(VT)</t>
  </si>
  <si>
    <t xml:space="preserve">            Kyoe Kyar U(VT)</t>
  </si>
  <si>
    <t xml:space="preserve">            Mwayt Bon(VT)</t>
  </si>
  <si>
    <t xml:space="preserve">            Nyoet Ton(VT)</t>
  </si>
  <si>
    <t xml:space="preserve">            Zay Di Yon(VT)</t>
  </si>
  <si>
    <t xml:space="preserve">            Mon Kyaing(VT)</t>
  </si>
  <si>
    <t xml:space="preserve">            Kyun Bo Kone(VT)</t>
  </si>
  <si>
    <t xml:space="preserve">            Let Pu Kan(VT)</t>
  </si>
  <si>
    <t xml:space="preserve">            Ah Lel Bon(VT)</t>
  </si>
  <si>
    <t xml:space="preserve">            Kyaung Than(VT)</t>
  </si>
  <si>
    <t xml:space="preserve">            Nwe Shauk(VT)</t>
  </si>
  <si>
    <t xml:space="preserve">            In Gyin Su(VT)</t>
  </si>
  <si>
    <t xml:space="preserve">            Kant Daunt(VT)</t>
  </si>
  <si>
    <t xml:space="preserve">            Inn Kan(VT)</t>
  </si>
  <si>
    <t xml:space="preserve">            In Ma Htee(VT)</t>
  </si>
  <si>
    <t xml:space="preserve">            Sin Shin(VT)</t>
  </si>
  <si>
    <t xml:space="preserve">            Chin Pyit Kyin(VT)</t>
  </si>
  <si>
    <t xml:space="preserve">            Tone Kan(VT)</t>
  </si>
  <si>
    <t xml:space="preserve">            Taung Ywar Thit(VT)</t>
  </si>
  <si>
    <t xml:space="preserve">            Hlaw Kar(VT)</t>
  </si>
  <si>
    <t xml:space="preserve">            Min Taing Pin(VT)</t>
  </si>
  <si>
    <t xml:space="preserve">            Ohn Hnauk(VT)</t>
  </si>
  <si>
    <t xml:space="preserve">            Pan(VT)</t>
  </si>
  <si>
    <t xml:space="preserve">            Wan Be Chaing(VT)</t>
  </si>
  <si>
    <t xml:space="preserve">            Chin Pyit(VT)</t>
  </si>
  <si>
    <t xml:space="preserve">            Pu Htoe Thar(VT)</t>
  </si>
  <si>
    <t xml:space="preserve">            Kan Bar Yat(VT)</t>
  </si>
  <si>
    <t xml:space="preserve">            Kyay Tha Hmyar(VT)</t>
  </si>
  <si>
    <t xml:space="preserve">            Min Ma (East)(VT)</t>
  </si>
  <si>
    <t xml:space="preserve">            Pe Khin Ma(VT)</t>
  </si>
  <si>
    <t xml:space="preserve">            Ma Yoe Tone(VT)</t>
  </si>
  <si>
    <t xml:space="preserve">            Ywar Naung(VT)</t>
  </si>
  <si>
    <t xml:space="preserve">            Mon Thwin(VT)</t>
  </si>
  <si>
    <t xml:space="preserve">            Le Kan(VT)</t>
  </si>
  <si>
    <t xml:space="preserve">            Kyet Yin(VT)</t>
  </si>
  <si>
    <t xml:space="preserve">            Khin Aye(VT)</t>
  </si>
  <si>
    <t xml:space="preserve">            Gyat(VT)</t>
  </si>
  <si>
    <t xml:space="preserve">            Nyaung Kaing(Aye Chan Thar)(VT)</t>
  </si>
  <si>
    <t xml:space="preserve">            Wet Kya(VT)</t>
  </si>
  <si>
    <t xml:space="preserve">            Lel Dhamma(VT)</t>
  </si>
  <si>
    <t xml:space="preserve">            Aing Ma(VT)</t>
  </si>
  <si>
    <t xml:space="preserve">            Ma Yin(VT)</t>
  </si>
  <si>
    <t xml:space="preserve">            Thit Gyi Taing(VT)</t>
  </si>
  <si>
    <t xml:space="preserve">            Sit Yin(VT)</t>
  </si>
  <si>
    <t xml:space="preserve">            Ka Ne(VT)</t>
  </si>
  <si>
    <t xml:space="preserve">            Sa Kar Myar(VT)</t>
  </si>
  <si>
    <t xml:space="preserve">            Nat Gyi(VT)</t>
  </si>
  <si>
    <t xml:space="preserve">            Wa Yar(VT)</t>
  </si>
  <si>
    <t xml:space="preserve">            Ta Paung(VT)</t>
  </si>
  <si>
    <t xml:space="preserve">            Ta Pone(Ta Bone)(VT)</t>
  </si>
  <si>
    <t xml:space="preserve">            Htu Pauk(VT)</t>
  </si>
  <si>
    <t xml:space="preserve">            Win Ma Nar(VT)</t>
  </si>
  <si>
    <t xml:space="preserve">            Kyun Pin Aing(VT)</t>
  </si>
  <si>
    <t xml:space="preserve">            Kin Taung(VT)</t>
  </si>
  <si>
    <t xml:space="preserve">            Taung Pauk(VT)</t>
  </si>
  <si>
    <t xml:space="preserve">            Yet Kan Taing(VT)</t>
  </si>
  <si>
    <t xml:space="preserve">            Tha Min Chan(VT)</t>
  </si>
  <si>
    <t xml:space="preserve">            Chaing(VT)</t>
  </si>
  <si>
    <t xml:space="preserve">            Moke Taw(VT)</t>
  </si>
  <si>
    <t xml:space="preserve">            Aing Taung(VT)</t>
  </si>
  <si>
    <t xml:space="preserve">            Chaung Ma(VT)</t>
  </si>
  <si>
    <t xml:space="preserve">            Lin Pone Yae(VT)</t>
  </si>
  <si>
    <t xml:space="preserve">            Zee Pin Twin(VT)</t>
  </si>
  <si>
    <t xml:space="preserve">            Yin Yein(VT)</t>
  </si>
  <si>
    <t xml:space="preserve">            Hmyaing(VT)</t>
  </si>
  <si>
    <t xml:space="preserve">            Bon Ma Zin(VT)</t>
  </si>
  <si>
    <t xml:space="preserve">            Ke Taung(VT)</t>
  </si>
  <si>
    <t xml:space="preserve">            Daing Gyi(VT)</t>
  </si>
  <si>
    <t xml:space="preserve">            Yin Thwin(VT)</t>
  </si>
  <si>
    <t xml:space="preserve">            Ta Zei Chaung(VT)</t>
  </si>
  <si>
    <t xml:space="preserve">            Nat Lar Boet(North)(VT))</t>
  </si>
  <si>
    <t xml:space="preserve">            Nat Lar Boet(South)(VT)</t>
  </si>
  <si>
    <t xml:space="preserve">            Lel Shey(VT)</t>
  </si>
  <si>
    <t xml:space="preserve">            Yar Gyi(VT)</t>
  </si>
  <si>
    <t xml:space="preserve">            Me Din(VT)</t>
  </si>
  <si>
    <t xml:space="preserve">            Sin Oh(VT)</t>
  </si>
  <si>
    <t xml:space="preserve">            Hta Naung Pa Kar(VT)</t>
  </si>
  <si>
    <t xml:space="preserve">            Nat Ye Taung(VT)</t>
  </si>
  <si>
    <t xml:space="preserve">            Kyaw Ywar(VT)</t>
  </si>
  <si>
    <t xml:space="preserve">            Boke Kone(VT)</t>
  </si>
  <si>
    <t xml:space="preserve">            Ohn Ma(VT)</t>
  </si>
  <si>
    <t xml:space="preserve">            Yin(VT)</t>
  </si>
  <si>
    <t xml:space="preserve">            Ku Seik(VT)</t>
  </si>
  <si>
    <t>29-3-2014</t>
  </si>
  <si>
    <t>Sr</t>
  </si>
  <si>
    <t>Population</t>
  </si>
  <si>
    <t>Ward</t>
  </si>
  <si>
    <t>Sagaing  Region, Sagaing District, Sagaing Township</t>
  </si>
  <si>
    <t>Sagaing  Region, Sagaing District,  Myinmu Township</t>
  </si>
  <si>
    <t>Sagaing  Region, Sagaing District,  Myaung Township</t>
  </si>
  <si>
    <t>Sagaing  Region, Shwebo District, Shwebo Township</t>
  </si>
  <si>
    <t>Sagaing  Region, Shwebo District,  Khin U Township</t>
  </si>
  <si>
    <t>Sagaing  Region, Shwebo District,  Wetlet Township</t>
  </si>
  <si>
    <t>Sagaing  Region, Shwebo District,  Kambalu Township</t>
  </si>
  <si>
    <t>Sagaing  Region, Shwebo District, Kyunhla Township</t>
  </si>
  <si>
    <t>Sagaing  Region, Shwebo District, Depayin Township</t>
  </si>
  <si>
    <t>Sagaing  Region, Shwebo District, Tasei Township</t>
  </si>
  <si>
    <t>Sagaing  Region, Shwebo District,  Kyaukmyaung Sub -Township</t>
  </si>
  <si>
    <t>Sagaing  Region, Monywa District, Monywa Township</t>
  </si>
  <si>
    <t>Sagaing  Region, Monywa District, Butalin Township</t>
  </si>
  <si>
    <t>Sagaing  Region, Monywa District ,Ayartaw Township</t>
  </si>
  <si>
    <t>Sagaing  Region, Monywa District , Chaung Oo Township</t>
  </si>
  <si>
    <t>Sagaing  Region, Katha District , Katha Township</t>
  </si>
  <si>
    <t>Sagaing  Region, Katha District ,Indaw Township</t>
  </si>
  <si>
    <t>Sagaing  Region, Katha District ,Tigyaing Township</t>
  </si>
  <si>
    <t>Sagaing  Region, Katha District , Banmauk Township</t>
  </si>
  <si>
    <t>Sagaing  Region, Katha District , Kawlin Township</t>
  </si>
  <si>
    <t>Sagaing  Region, Katha District ,Wuntho Township</t>
  </si>
  <si>
    <t>Sagaing  Region, Katha District , Pinlebu Township</t>
  </si>
  <si>
    <t>Sagaing  Region, Kalay District , Kalay Township</t>
  </si>
  <si>
    <t>Sagaing  Region, Kalay District , Kalewa Township</t>
  </si>
  <si>
    <t>Sagaing  Region, Kalay District , Mingin Township</t>
  </si>
  <si>
    <t>Sagaing  Region, Tamu District , Tamu Township</t>
  </si>
  <si>
    <t>Sagaing  Region, Tamu District , Myothit  Sub-Township</t>
  </si>
  <si>
    <t>Sagaing  Region, Tamu District , Khampat  Sub-Township</t>
  </si>
  <si>
    <t>Sagaing  Region, Mawlaik  District , Mawlaik Township</t>
  </si>
  <si>
    <t>Sagaing  Region, Mawlaik  District , Phaungpyin Township</t>
  </si>
  <si>
    <t>Sagaing  Region, Hkamti  District , Hkamti Township</t>
  </si>
  <si>
    <t>Sagaing  Region, Hkamti  District , Homalin Township</t>
  </si>
  <si>
    <t>Shwe Pyi Aye Town</t>
  </si>
  <si>
    <t>Sagaing  Region, Hkamti  District , Leshi Township</t>
  </si>
  <si>
    <t>Sagaing  Region, Hkamti  District , Lahe Township</t>
  </si>
  <si>
    <t>Sagaing  Region, Hkamti  District , Nanyun Township</t>
  </si>
  <si>
    <t>Sagaing  Region, Hkamti  District , Mobaingluk Sub-Township</t>
  </si>
  <si>
    <t>Sagaing  Region, Hkamti  District , Sonemara Sub-Township</t>
  </si>
  <si>
    <t>Sagaing  Region, Hkamti  District , Htanparkway Sub-Township</t>
  </si>
  <si>
    <t>Sagaing  Region, Hkamti  District , Pansaung Sub-Township</t>
  </si>
  <si>
    <t>Sagaing  Region, Hkamti  District , Donhee Sub-Township</t>
  </si>
  <si>
    <t>Sagaing  Region,Yinmarpin  District , Yinmarpin Township</t>
  </si>
  <si>
    <t>Sagaing  Region,Yinmarpin  District , Salingyi  Township</t>
  </si>
  <si>
    <t>Sagaing  Region,Yinmarpin  District , Palae  Township</t>
  </si>
  <si>
    <t>Sagaing  Region,Yinmarpin  District , Kani Township</t>
  </si>
  <si>
    <t>Sagaing  Region, Shwebo District, Ye U Township</t>
  </si>
  <si>
    <t xml:space="preserve">        Total</t>
  </si>
  <si>
    <t>Village Tract</t>
  </si>
  <si>
    <t xml:space="preserve">            Total</t>
  </si>
  <si>
    <t>Ward/Village Tract</t>
  </si>
  <si>
    <t>List of Township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</si>
</sst>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Myanmar2ex"/>
      <family val="2"/>
    </font>
    <font>
      <b/>
      <sz val="16"/>
      <color theme="1"/>
      <name val="Calibri"/>
      <family val="2"/>
      <scheme val="minor"/>
    </font>
    <font>
      <sz val="12"/>
      <color theme="1"/>
      <name val="Myanmar2ex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Myanmar2"/>
      <family val="2"/>
    </font>
    <font>
      <b/>
      <sz val="16"/>
      <color theme="1"/>
      <name val="Myanmar2ex"/>
      <family val="2"/>
    </font>
    <font>
      <sz val="15"/>
      <color indexed="8"/>
      <name val="Myanmar2"/>
      <family val="2"/>
    </font>
    <font>
      <b/>
      <sz val="15"/>
      <color indexed="8"/>
      <name val="Myanmar2"/>
      <family val="2"/>
    </font>
    <font>
      <u/>
      <sz val="11"/>
      <color theme="10"/>
      <name val="Calibri"/>
      <family val="2"/>
      <scheme val="minor"/>
    </font>
    <font>
      <u/>
      <sz val="14"/>
      <name val="Times New Roman"/>
      <family val="1"/>
    </font>
    <font>
      <u/>
      <sz val="14"/>
      <color theme="10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3" xfId="0" applyFont="1" applyFill="1" applyBorder="1"/>
    <xf numFmtId="0" fontId="0" fillId="0" borderId="0" xfId="0" applyFill="1" applyBorder="1"/>
    <xf numFmtId="0" fontId="5" fillId="0" borderId="0" xfId="0" applyFont="1"/>
    <xf numFmtId="0" fontId="6" fillId="0" borderId="7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0" xfId="0" applyFont="1"/>
    <xf numFmtId="0" fontId="6" fillId="0" borderId="0" xfId="0" applyFont="1" applyBorder="1"/>
    <xf numFmtId="0" fontId="8" fillId="0" borderId="0" xfId="0" applyFont="1"/>
    <xf numFmtId="0" fontId="7" fillId="0" borderId="5" xfId="0" applyFont="1" applyBorder="1"/>
    <xf numFmtId="0" fontId="7" fillId="0" borderId="8" xfId="0" applyFont="1" applyBorder="1"/>
    <xf numFmtId="0" fontId="7" fillId="0" borderId="13" xfId="0" applyFont="1" applyBorder="1"/>
    <xf numFmtId="0" fontId="0" fillId="0" borderId="13" xfId="0" applyBorder="1"/>
    <xf numFmtId="0" fontId="7" fillId="0" borderId="0" xfId="0" applyFont="1" applyBorder="1"/>
    <xf numFmtId="0" fontId="0" fillId="0" borderId="0" xfId="0" applyBorder="1"/>
    <xf numFmtId="0" fontId="6" fillId="0" borderId="2" xfId="0" applyFont="1" applyFill="1" applyBorder="1"/>
    <xf numFmtId="0" fontId="7" fillId="0" borderId="3" xfId="0" applyFont="1" applyFill="1" applyBorder="1"/>
    <xf numFmtId="0" fontId="6" fillId="0" borderId="3" xfId="0" applyFont="1" applyFill="1" applyBorder="1"/>
    <xf numFmtId="0" fontId="6" fillId="0" borderId="5" xfId="0" applyFont="1" applyBorder="1"/>
    <xf numFmtId="0" fontId="7" fillId="0" borderId="0" xfId="0" applyFont="1" applyFill="1"/>
    <xf numFmtId="0" fontId="6" fillId="0" borderId="14" xfId="0" applyFont="1" applyBorder="1"/>
    <xf numFmtId="0" fontId="6" fillId="0" borderId="6" xfId="0" applyFont="1" applyBorder="1"/>
    <xf numFmtId="0" fontId="7" fillId="0" borderId="6" xfId="0" applyFont="1" applyBorder="1"/>
    <xf numFmtId="0" fontId="7" fillId="0" borderId="4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7" fillId="0" borderId="13" xfId="0" applyFont="1" applyFill="1" applyBorder="1"/>
    <xf numFmtId="0" fontId="6" fillId="0" borderId="1" xfId="0" applyFont="1" applyBorder="1" applyAlignment="1">
      <alignment horizontal="center"/>
    </xf>
    <xf numFmtId="0" fontId="5" fillId="0" borderId="3" xfId="0" applyFont="1" applyFill="1" applyBorder="1"/>
    <xf numFmtId="0" fontId="8" fillId="0" borderId="0" xfId="0" applyFont="1" applyBorder="1"/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0" xfId="0" applyFont="1" applyFill="1" applyBorder="1"/>
    <xf numFmtId="0" fontId="6" fillId="0" borderId="1" xfId="0" applyFont="1" applyBorder="1" applyAlignment="1">
      <alignment horizontal="center"/>
    </xf>
    <xf numFmtId="0" fontId="3" fillId="0" borderId="0" xfId="0" applyFont="1" applyBorder="1"/>
    <xf numFmtId="0" fontId="5" fillId="0" borderId="3" xfId="0" applyFont="1" applyBorder="1"/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 applyAlignment="1">
      <alignment horizontal="center"/>
    </xf>
    <xf numFmtId="0" fontId="7" fillId="0" borderId="8" xfId="0" applyFont="1" applyFill="1" applyBorder="1"/>
    <xf numFmtId="0" fontId="0" fillId="0" borderId="15" xfId="0" applyFill="1" applyBorder="1"/>
    <xf numFmtId="0" fontId="9" fillId="0" borderId="0" xfId="0" applyFont="1" applyFill="1" applyBorder="1" applyAlignment="1">
      <alignment horizontal="left" vertical="center"/>
    </xf>
    <xf numFmtId="0" fontId="10" fillId="0" borderId="0" xfId="0" applyFont="1" applyFill="1" applyBorder="1"/>
    <xf numFmtId="0" fontId="11" fillId="0" borderId="0" xfId="1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 vertical="top" wrapText="1"/>
    </xf>
    <xf numFmtId="0" fontId="11" fillId="0" borderId="0" xfId="1" applyFont="1" applyFill="1" applyBorder="1" applyAlignment="1">
      <alignment horizontal="left" vertical="top" wrapText="1"/>
    </xf>
    <xf numFmtId="0" fontId="7" fillId="2" borderId="3" xfId="0" applyFont="1" applyFill="1" applyBorder="1"/>
    <xf numFmtId="0" fontId="13" fillId="0" borderId="0" xfId="2"/>
    <xf numFmtId="0" fontId="14" fillId="0" borderId="0" xfId="2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0" borderId="0" xfId="2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zoomScale="120" zoomScaleNormal="120" workbookViewId="0">
      <selection sqref="A1:B1"/>
    </sheetView>
  </sheetViews>
  <sheetFormatPr defaultRowHeight="15" x14ac:dyDescent="0.25"/>
  <cols>
    <col min="2" max="2" width="57.140625" customWidth="1"/>
  </cols>
  <sheetData>
    <row r="1" spans="1:2" ht="18.75" x14ac:dyDescent="0.3">
      <c r="A1" s="66" t="s">
        <v>1776</v>
      </c>
      <c r="B1" s="66"/>
    </row>
    <row r="2" spans="1:2" x14ac:dyDescent="0.25">
      <c r="A2">
        <v>1</v>
      </c>
      <c r="B2" s="54" t="str">
        <f>Sagaing!B1</f>
        <v>Sagaing  Region, Sagaing District, Sagaing Township</v>
      </c>
    </row>
    <row r="3" spans="1:2" x14ac:dyDescent="0.25">
      <c r="A3">
        <v>2</v>
      </c>
      <c r="B3" s="54" t="str">
        <f>Myinmu!A1</f>
        <v>Sagaing  Region, Sagaing District,  Myinmu Township</v>
      </c>
    </row>
    <row r="4" spans="1:2" x14ac:dyDescent="0.25">
      <c r="A4">
        <v>3</v>
      </c>
      <c r="B4" s="54" t="str">
        <f>Myaung!A1</f>
        <v>Sagaing  Region, Sagaing District,  Myaung Township</v>
      </c>
    </row>
    <row r="5" spans="1:2" x14ac:dyDescent="0.25">
      <c r="A5">
        <v>4</v>
      </c>
      <c r="B5" s="54" t="str">
        <f>Shwebo!A1</f>
        <v>Sagaing  Region, Shwebo District, Shwebo Township</v>
      </c>
    </row>
    <row r="6" spans="1:2" x14ac:dyDescent="0.25">
      <c r="A6">
        <v>5</v>
      </c>
      <c r="B6" s="54" t="str">
        <f>KhinU!A1</f>
        <v>Sagaing  Region, Shwebo District,  Khin U Township</v>
      </c>
    </row>
    <row r="7" spans="1:2" x14ac:dyDescent="0.25">
      <c r="A7">
        <v>6</v>
      </c>
      <c r="B7" s="54" t="str">
        <f>Wetlet!A1</f>
        <v>Sagaing  Region, Shwebo District,  Wetlet Township</v>
      </c>
    </row>
    <row r="8" spans="1:2" x14ac:dyDescent="0.25">
      <c r="A8">
        <v>7</v>
      </c>
      <c r="B8" s="54" t="str">
        <f>Kambalu!A1</f>
        <v>Sagaing  Region, Shwebo District,  Kambalu Township</v>
      </c>
    </row>
    <row r="9" spans="1:2" x14ac:dyDescent="0.25">
      <c r="A9">
        <v>8</v>
      </c>
      <c r="B9" s="54" t="str">
        <f>Kunhla!A1</f>
        <v>Sagaing  Region, Shwebo District, Kyunhla Township</v>
      </c>
    </row>
    <row r="10" spans="1:2" x14ac:dyDescent="0.25">
      <c r="A10">
        <v>9</v>
      </c>
      <c r="B10" s="54" t="str">
        <f>'Ye U'!A1</f>
        <v>Sagaing  Region, Shwebo District, Ye U Township</v>
      </c>
    </row>
    <row r="11" spans="1:2" x14ac:dyDescent="0.25">
      <c r="A11">
        <v>10</v>
      </c>
      <c r="B11" s="54" t="str">
        <f>Depayin!A1</f>
        <v>Sagaing  Region, Shwebo District, Depayin Township</v>
      </c>
    </row>
    <row r="12" spans="1:2" x14ac:dyDescent="0.25">
      <c r="A12">
        <v>11</v>
      </c>
      <c r="B12" s="54" t="str">
        <f>Tasei!A1</f>
        <v>Sagaing  Region, Shwebo District, Tasei Township</v>
      </c>
    </row>
    <row r="13" spans="1:2" x14ac:dyDescent="0.25">
      <c r="A13">
        <v>12</v>
      </c>
      <c r="B13" s="54" t="str">
        <f>Kyaukmyaung!A1</f>
        <v>Sagaing  Region, Shwebo District,  Kyaukmyaung Sub -Township</v>
      </c>
    </row>
    <row r="14" spans="1:2" x14ac:dyDescent="0.25">
      <c r="A14">
        <v>13</v>
      </c>
      <c r="B14" s="54" t="str">
        <f>Momnywa!A1</f>
        <v>Sagaing  Region, Monywa District, Monywa Township</v>
      </c>
    </row>
    <row r="15" spans="1:2" x14ac:dyDescent="0.25">
      <c r="A15">
        <v>14</v>
      </c>
      <c r="B15" s="54" t="str">
        <f>Butalin!A1</f>
        <v>Sagaing  Region, Monywa District, Butalin Township</v>
      </c>
    </row>
    <row r="16" spans="1:2" x14ac:dyDescent="0.25">
      <c r="A16">
        <v>15</v>
      </c>
      <c r="B16" s="54" t="str">
        <f>Ayartaw!A1</f>
        <v>Sagaing  Region, Monywa District ,Ayartaw Township</v>
      </c>
    </row>
    <row r="17" spans="1:2" x14ac:dyDescent="0.25">
      <c r="A17">
        <v>16</v>
      </c>
      <c r="B17" s="54" t="str">
        <f>'Chaung Oo'!A1</f>
        <v>Sagaing  Region, Monywa District , Chaung Oo Township</v>
      </c>
    </row>
    <row r="18" spans="1:2" x14ac:dyDescent="0.25">
      <c r="A18">
        <v>17</v>
      </c>
      <c r="B18" s="54" t="str">
        <f>Katha!A1</f>
        <v>Sagaing  Region, Katha District , Katha Township</v>
      </c>
    </row>
    <row r="19" spans="1:2" x14ac:dyDescent="0.25">
      <c r="A19">
        <v>18</v>
      </c>
      <c r="B19" s="54" t="str">
        <f>Indaw!A1</f>
        <v>Sagaing  Region, Katha District ,Indaw Township</v>
      </c>
    </row>
    <row r="20" spans="1:2" x14ac:dyDescent="0.25">
      <c r="A20">
        <v>19</v>
      </c>
      <c r="B20" s="54" t="str">
        <f>Tigyaing!A1</f>
        <v>Sagaing  Region, Katha District ,Tigyaing Township</v>
      </c>
    </row>
    <row r="21" spans="1:2" x14ac:dyDescent="0.25">
      <c r="A21">
        <v>20</v>
      </c>
      <c r="B21" s="54" t="str">
        <f>Banmauk!A1</f>
        <v>Sagaing  Region, Katha District , Banmauk Township</v>
      </c>
    </row>
    <row r="22" spans="1:2" x14ac:dyDescent="0.25">
      <c r="A22">
        <v>21</v>
      </c>
      <c r="B22" s="54" t="str">
        <f>Kawlin!A1</f>
        <v>Sagaing  Region, Katha District , Kawlin Township</v>
      </c>
    </row>
    <row r="23" spans="1:2" x14ac:dyDescent="0.25">
      <c r="A23">
        <v>22</v>
      </c>
      <c r="B23" s="54" t="str">
        <f>Wuntho!A1</f>
        <v>Sagaing  Region, Katha District ,Wuntho Township</v>
      </c>
    </row>
    <row r="24" spans="1:2" x14ac:dyDescent="0.25">
      <c r="A24">
        <v>23</v>
      </c>
      <c r="B24" s="54" t="str">
        <f>Pinlebu!A1</f>
        <v>Sagaing  Region, Katha District , Pinlebu Township</v>
      </c>
    </row>
    <row r="25" spans="1:2" x14ac:dyDescent="0.25">
      <c r="A25">
        <v>24</v>
      </c>
      <c r="B25" s="54" t="str">
        <f>Kalay!A1</f>
        <v>Sagaing  Region, Kalay District , Kalay Township</v>
      </c>
    </row>
    <row r="26" spans="1:2" x14ac:dyDescent="0.25">
      <c r="A26">
        <v>25</v>
      </c>
      <c r="B26" s="54" t="str">
        <f>Kalewa!A1</f>
        <v>Sagaing  Region, Kalay District , Kalewa Township</v>
      </c>
    </row>
    <row r="27" spans="1:2" x14ac:dyDescent="0.25">
      <c r="A27">
        <v>26</v>
      </c>
      <c r="B27" s="54" t="str">
        <f>Mingin!A1</f>
        <v>Sagaing  Region, Kalay District , Mingin Township</v>
      </c>
    </row>
    <row r="28" spans="1:2" x14ac:dyDescent="0.25">
      <c r="A28">
        <v>27</v>
      </c>
      <c r="B28" s="54" t="str">
        <f>Tamu!A1</f>
        <v>Sagaing  Region, Tamu District , Tamu Township</v>
      </c>
    </row>
    <row r="29" spans="1:2" x14ac:dyDescent="0.25">
      <c r="A29">
        <v>28</v>
      </c>
      <c r="B29" s="54" t="str">
        <f>'Myothit(S)'!A1</f>
        <v>Sagaing  Region, Tamu District , Myothit  Sub-Township</v>
      </c>
    </row>
    <row r="30" spans="1:2" x14ac:dyDescent="0.25">
      <c r="A30">
        <v>29</v>
      </c>
      <c r="B30" s="54" t="str">
        <f>'Khampat(S)'!A1</f>
        <v>Sagaing  Region, Tamu District , Khampat  Sub-Township</v>
      </c>
    </row>
    <row r="31" spans="1:2" x14ac:dyDescent="0.25">
      <c r="A31">
        <v>30</v>
      </c>
      <c r="B31" s="54" t="str">
        <f>Mawlaik!A1</f>
        <v>Sagaing  Region, Mawlaik  District , Mawlaik Township</v>
      </c>
    </row>
    <row r="32" spans="1:2" x14ac:dyDescent="0.25">
      <c r="A32">
        <v>31</v>
      </c>
      <c r="B32" s="54" t="str">
        <f>Phaungpyin!A1</f>
        <v>Sagaing  Region, Mawlaik  District , Phaungpyin Township</v>
      </c>
    </row>
    <row r="33" spans="1:2" x14ac:dyDescent="0.25">
      <c r="A33">
        <v>32</v>
      </c>
      <c r="B33" s="54" t="str">
        <f>Hkamti!A1</f>
        <v>Sagaing  Region, Hkamti  District , Hkamti Township</v>
      </c>
    </row>
    <row r="34" spans="1:2" x14ac:dyDescent="0.25">
      <c r="A34">
        <v>33</v>
      </c>
      <c r="B34" s="54" t="str">
        <f>Homalin!A1</f>
        <v>Sagaing  Region, Hkamti  District , Homalin Township</v>
      </c>
    </row>
    <row r="35" spans="1:2" x14ac:dyDescent="0.25">
      <c r="A35">
        <v>34</v>
      </c>
      <c r="B35" s="54" t="str">
        <f>Leshi!A1</f>
        <v>Sagaing  Region, Hkamti  District , Leshi Township</v>
      </c>
    </row>
    <row r="36" spans="1:2" x14ac:dyDescent="0.25">
      <c r="A36">
        <v>35</v>
      </c>
      <c r="B36" s="54" t="str">
        <f>Lahe!A1</f>
        <v>Sagaing  Region, Hkamti  District , Lahe Township</v>
      </c>
    </row>
    <row r="37" spans="1:2" x14ac:dyDescent="0.25">
      <c r="A37">
        <v>36</v>
      </c>
      <c r="B37" s="54" t="str">
        <f>Nanyun!A1</f>
        <v>Sagaing  Region, Hkamti  District , Nanyun Township</v>
      </c>
    </row>
    <row r="38" spans="1:2" x14ac:dyDescent="0.25">
      <c r="A38">
        <v>37</v>
      </c>
      <c r="B38" s="54" t="str">
        <f>'Mobaingluk(S)'!A1</f>
        <v>Sagaing  Region, Hkamti  District , Mobaingluk Sub-Township</v>
      </c>
    </row>
    <row r="39" spans="1:2" x14ac:dyDescent="0.25">
      <c r="A39">
        <v>38</v>
      </c>
      <c r="B39" s="54" t="str">
        <f>'Sonemara(S)'!A1</f>
        <v>Sagaing  Region, Hkamti  District , Sonemara Sub-Township</v>
      </c>
    </row>
    <row r="40" spans="1:2" x14ac:dyDescent="0.25">
      <c r="A40">
        <v>39</v>
      </c>
      <c r="B40" s="54" t="str">
        <f>'Htanparkway(S)'!A1</f>
        <v>Sagaing  Region, Hkamti  District , Htanparkway Sub-Township</v>
      </c>
    </row>
    <row r="41" spans="1:2" x14ac:dyDescent="0.25">
      <c r="A41">
        <v>40</v>
      </c>
      <c r="B41" s="54" t="str">
        <f>'Pansaung(S)'!A1</f>
        <v>Sagaing  Region, Hkamti  District , Pansaung Sub-Township</v>
      </c>
    </row>
    <row r="42" spans="1:2" x14ac:dyDescent="0.25">
      <c r="A42">
        <v>41</v>
      </c>
      <c r="B42" s="54" t="str">
        <f>'Donhee(S)'!A1</f>
        <v>Sagaing  Region, Hkamti  District , Donhee Sub-Township</v>
      </c>
    </row>
    <row r="43" spans="1:2" x14ac:dyDescent="0.25">
      <c r="A43">
        <v>42</v>
      </c>
      <c r="B43" s="54" t="str">
        <f>'Yin MarPin'!A1</f>
        <v>Sagaing  Region,Yinmarpin  District , Yinmarpin Township</v>
      </c>
    </row>
    <row r="44" spans="1:2" x14ac:dyDescent="0.25">
      <c r="A44">
        <v>43</v>
      </c>
      <c r="B44" s="54" t="str">
        <f>Salingyi!A1</f>
        <v>Sagaing  Region,Yinmarpin  District , Salingyi  Township</v>
      </c>
    </row>
    <row r="45" spans="1:2" x14ac:dyDescent="0.25">
      <c r="A45">
        <v>44</v>
      </c>
      <c r="B45" s="54" t="str">
        <f>Palae!A1</f>
        <v>Sagaing  Region,Yinmarpin  District , Palae  Township</v>
      </c>
    </row>
    <row r="46" spans="1:2" x14ac:dyDescent="0.25">
      <c r="A46">
        <v>45</v>
      </c>
      <c r="B46" s="54" t="str">
        <f>Kani!A1</f>
        <v>Sagaing  Region,Yinmarpin  District , Kani Township</v>
      </c>
    </row>
  </sheetData>
  <mergeCells count="1">
    <mergeCell ref="A1:B1"/>
  </mergeCells>
  <hyperlinks>
    <hyperlink ref="B2" location="Sagaing!A1" display="Sagaing!A1"/>
    <hyperlink ref="B3" location="Myinmu!A1" display="Myinmu!A1"/>
    <hyperlink ref="B4" location="Myaung!A1" display="Myaung!A1"/>
    <hyperlink ref="B5" location="Shwebo!A1" display="Shwebo!A1"/>
    <hyperlink ref="B6" location="KhinU!A1" display="KhinU!A1"/>
    <hyperlink ref="B7" location="Wetlet!A1" display="Wetlet!A1"/>
    <hyperlink ref="B8" location="Kambalu!A1" display="Kambalu!A1"/>
    <hyperlink ref="B9" location="Kunhla!A1" display="Kunhla!A1"/>
    <hyperlink ref="B10" location="'Ye U'!A1" display="'Ye U'!A1"/>
    <hyperlink ref="B11" location="Depayin!A1" display="Depayin!A1"/>
    <hyperlink ref="B12" location="Tasei!A1" display="Tasei!A1"/>
    <hyperlink ref="B13" location="Kyaukmyaung!A1" display="Kyaukmyaung!A1"/>
    <hyperlink ref="B14" location="Momnywa!A1" display="Momnywa!A1"/>
    <hyperlink ref="B15" location="Butalin!A1" display="Butalin!A1"/>
    <hyperlink ref="B16" location="Ayartaw!A1" display="Ayartaw!A1"/>
    <hyperlink ref="B17" location="'Chaung Oo'!A1" display="'Chaung Oo'!A1"/>
    <hyperlink ref="B18" location="Katha!A1" display="Katha!A1"/>
    <hyperlink ref="B19" location="Indaw!A1" display="Indaw!A1"/>
    <hyperlink ref="B20" location="Tigyaing!A1" display="Tigyaing!A1"/>
    <hyperlink ref="B21" location="Banmauk!A1" display="Banmauk!A1"/>
    <hyperlink ref="B22" location="Kawlin!A1" display="Kawlin!A1"/>
    <hyperlink ref="B23" location="Wuntho!A1" display="Wuntho!A1"/>
    <hyperlink ref="B24" location="Pinlebu!A1" display="Pinlebu!A1"/>
    <hyperlink ref="B25" location="Kalay!A1" display="Kalay!A1"/>
    <hyperlink ref="B26" location="Kalewa!A1" display="Kalewa!A1"/>
    <hyperlink ref="B27" location="Mingin!A1" display="Mingin!A1"/>
    <hyperlink ref="B28" location="Tamu!A1" display="Tamu!A1"/>
    <hyperlink ref="B29" location="'Myothit(S)'!A1" display="'Myothit(S)'!A1"/>
    <hyperlink ref="B30" location="'Khampat(S)'!A1" display="'Khampat(S)'!A1"/>
    <hyperlink ref="B31" location="Mawlaik!A1" display="Mawlaik!A1"/>
    <hyperlink ref="B32" location="Phaungpyin!A1" display="Phaungpyin!A1"/>
    <hyperlink ref="B33" location="Hkamti!A1" display="Hkamti!A1"/>
    <hyperlink ref="B34" location="Homalin!A1" display="Homalin!A1"/>
    <hyperlink ref="B35" location="Leshi!A1" display="Leshi!A1"/>
    <hyperlink ref="B36" location="Lahe!A1" display="Lahe!A1"/>
    <hyperlink ref="B37" location="Nanyun!A1" display="Nanyun!A1"/>
    <hyperlink ref="B38" location="'Mobaingluk(S)'!A1" display="'Mobaingluk(S)'!A1"/>
    <hyperlink ref="B39" location="'Sonemara(S)'!A1" display="'Sonemara(S)'!A1"/>
    <hyperlink ref="B40" location="'Htanparkway(S)'!A1" display="'Htanparkway(S)'!A1"/>
    <hyperlink ref="B41" location="'Pansaung(S)'!A1" display="'Pansaung(S)'!A1"/>
    <hyperlink ref="B42" location="'Donhee(S)'!A1" display="'Donhee(S)'!A1"/>
    <hyperlink ref="B43" location="'Yin MarPin'!A1" display="'Yin MarPin'!A1"/>
    <hyperlink ref="B44" location="Salingyi!A1" display="Salingyi!A1"/>
    <hyperlink ref="B45" location="Palae!A1" display="Palae!A1"/>
    <hyperlink ref="B46" location="Kani!A1" display="Kani!A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topLeftCell="B1" workbookViewId="0">
      <selection activeCell="B1" sqref="B1:F1"/>
    </sheetView>
  </sheetViews>
  <sheetFormatPr defaultRowHeight="24.75" customHeight="1" x14ac:dyDescent="0.35"/>
  <cols>
    <col min="1" max="1" width="9.140625" style="1" hidden="1" customWidth="1"/>
    <col min="2" max="2" width="6.85546875" style="1" customWidth="1"/>
    <col min="3" max="3" width="35.42578125" style="1" customWidth="1"/>
    <col min="4" max="6" width="15.7109375" style="1" customWidth="1"/>
    <col min="7" max="16384" width="9.140625" style="1"/>
  </cols>
  <sheetData>
    <row r="1" spans="2:11" ht="24.75" customHeight="1" x14ac:dyDescent="0.35">
      <c r="B1" s="55" t="s">
        <v>1726</v>
      </c>
      <c r="C1" s="55"/>
      <c r="D1" s="55"/>
      <c r="E1" s="55"/>
      <c r="F1" s="55"/>
    </row>
    <row r="2" spans="2:11" ht="24.75" customHeight="1" x14ac:dyDescent="0.4">
      <c r="B2" s="2"/>
      <c r="C2" s="7"/>
      <c r="D2" s="7"/>
      <c r="E2" s="7"/>
      <c r="F2" s="56" t="s">
        <v>1722</v>
      </c>
    </row>
    <row r="3" spans="2:11" ht="24.75" customHeight="1" x14ac:dyDescent="0.4">
      <c r="B3" s="2"/>
      <c r="C3" s="7"/>
      <c r="D3" s="7"/>
      <c r="E3" s="7"/>
      <c r="F3" s="56"/>
    </row>
    <row r="4" spans="2:11" ht="10.5" customHeight="1" x14ac:dyDescent="0.4">
      <c r="B4" s="2"/>
      <c r="C4" s="7"/>
      <c r="D4" s="7"/>
      <c r="E4" s="7"/>
      <c r="F4" s="7"/>
    </row>
    <row r="5" spans="2:11" ht="24.75" customHeight="1" x14ac:dyDescent="0.35">
      <c r="B5" s="57" t="s">
        <v>1723</v>
      </c>
      <c r="C5" s="57" t="s">
        <v>1775</v>
      </c>
      <c r="D5" s="59" t="s">
        <v>1724</v>
      </c>
      <c r="E5" s="60"/>
      <c r="F5" s="61"/>
    </row>
    <row r="6" spans="2:11" ht="24.75" customHeight="1" x14ac:dyDescent="0.35">
      <c r="B6" s="58"/>
      <c r="C6" s="58"/>
      <c r="D6" s="8" t="s">
        <v>0</v>
      </c>
      <c r="E6" s="8" t="s">
        <v>1</v>
      </c>
      <c r="F6" s="8" t="s">
        <v>2</v>
      </c>
    </row>
    <row r="7" spans="2:11" ht="24.75" customHeight="1" x14ac:dyDescent="0.35">
      <c r="B7" s="9"/>
      <c r="C7" s="9" t="s">
        <v>1772</v>
      </c>
      <c r="D7" s="9">
        <f>D9+D28</f>
        <v>307194</v>
      </c>
      <c r="E7" s="9">
        <f t="shared" ref="E7:F7" si="0">E9+E28</f>
        <v>143420</v>
      </c>
      <c r="F7" s="9">
        <f t="shared" si="0"/>
        <v>163774</v>
      </c>
      <c r="I7" s="14"/>
      <c r="J7" s="14"/>
      <c r="K7" s="14"/>
    </row>
    <row r="8" spans="2:11" ht="10.5" customHeight="1" x14ac:dyDescent="0.35">
      <c r="B8" s="10"/>
      <c r="C8" s="11"/>
      <c r="D8" s="11"/>
      <c r="E8" s="11"/>
      <c r="F8" s="11"/>
      <c r="I8" s="14"/>
      <c r="J8" s="14"/>
      <c r="K8" s="14"/>
    </row>
    <row r="9" spans="2:11" ht="24.75" customHeight="1" x14ac:dyDescent="0.35">
      <c r="B9" s="10"/>
      <c r="C9" s="10" t="s">
        <v>1725</v>
      </c>
      <c r="D9" s="10">
        <f>SUM(D10:D27)</f>
        <v>81432</v>
      </c>
      <c r="E9" s="10">
        <f t="shared" ref="E9:F9" si="1">SUM(E10:E27)</f>
        <v>38551</v>
      </c>
      <c r="F9" s="10">
        <f t="shared" si="1"/>
        <v>42881</v>
      </c>
      <c r="I9" s="14"/>
      <c r="J9" s="14"/>
      <c r="K9" s="14"/>
    </row>
    <row r="10" spans="2:11" ht="24.75" customHeight="1" x14ac:dyDescent="0.35">
      <c r="B10" s="11">
        <v>1</v>
      </c>
      <c r="C10" s="11" t="s">
        <v>3</v>
      </c>
      <c r="D10" s="11">
        <v>5455</v>
      </c>
      <c r="E10" s="11">
        <v>2618</v>
      </c>
      <c r="F10" s="11">
        <v>2837</v>
      </c>
      <c r="I10" s="14"/>
      <c r="J10" s="14"/>
      <c r="K10" s="14"/>
    </row>
    <row r="11" spans="2:11" ht="24.75" customHeight="1" x14ac:dyDescent="0.35">
      <c r="B11" s="11">
        <v>2</v>
      </c>
      <c r="C11" s="11" t="s">
        <v>4</v>
      </c>
      <c r="D11" s="11">
        <v>3855</v>
      </c>
      <c r="E11" s="11">
        <v>1624</v>
      </c>
      <c r="F11" s="11">
        <v>2231</v>
      </c>
      <c r="I11" s="14"/>
      <c r="J11" s="14"/>
      <c r="K11" s="14"/>
    </row>
    <row r="12" spans="2:11" ht="24.75" customHeight="1" x14ac:dyDescent="0.35">
      <c r="B12" s="11">
        <v>3</v>
      </c>
      <c r="C12" s="11" t="s">
        <v>5</v>
      </c>
      <c r="D12" s="11">
        <v>4633</v>
      </c>
      <c r="E12" s="11">
        <v>2095</v>
      </c>
      <c r="F12" s="11">
        <v>2538</v>
      </c>
      <c r="I12" s="14"/>
      <c r="J12" s="14"/>
      <c r="K12" s="14"/>
    </row>
    <row r="13" spans="2:11" ht="24.75" customHeight="1" x14ac:dyDescent="0.35">
      <c r="B13" s="11">
        <v>4</v>
      </c>
      <c r="C13" s="11" t="s">
        <v>6</v>
      </c>
      <c r="D13" s="11">
        <v>2717</v>
      </c>
      <c r="E13" s="11">
        <v>1214</v>
      </c>
      <c r="F13" s="11">
        <v>1503</v>
      </c>
      <c r="I13" s="14"/>
      <c r="J13" s="14"/>
      <c r="K13" s="14"/>
    </row>
    <row r="14" spans="2:11" ht="24.75" customHeight="1" x14ac:dyDescent="0.35">
      <c r="B14" s="11">
        <v>5</v>
      </c>
      <c r="C14" s="11" t="s">
        <v>7</v>
      </c>
      <c r="D14" s="11">
        <v>4913</v>
      </c>
      <c r="E14" s="11">
        <v>2277</v>
      </c>
      <c r="F14" s="11">
        <v>2636</v>
      </c>
      <c r="I14" s="14"/>
      <c r="J14" s="14"/>
      <c r="K14" s="14"/>
    </row>
    <row r="15" spans="2:11" ht="24.75" customHeight="1" x14ac:dyDescent="0.35">
      <c r="B15" s="11">
        <v>6</v>
      </c>
      <c r="C15" s="11" t="s">
        <v>8</v>
      </c>
      <c r="D15" s="11">
        <v>6265</v>
      </c>
      <c r="E15" s="11">
        <v>2974</v>
      </c>
      <c r="F15" s="11">
        <v>3291</v>
      </c>
      <c r="I15" s="14"/>
      <c r="J15" s="14"/>
      <c r="K15" s="14"/>
    </row>
    <row r="16" spans="2:11" ht="24.75" customHeight="1" x14ac:dyDescent="0.35">
      <c r="B16" s="11">
        <v>7</v>
      </c>
      <c r="C16" s="11" t="s">
        <v>9</v>
      </c>
      <c r="D16" s="11">
        <v>4244</v>
      </c>
      <c r="E16" s="11">
        <v>1980</v>
      </c>
      <c r="F16" s="11">
        <v>2264</v>
      </c>
      <c r="I16" s="14"/>
      <c r="J16" s="14"/>
      <c r="K16" s="14"/>
    </row>
    <row r="17" spans="2:11" ht="24.75" customHeight="1" x14ac:dyDescent="0.35">
      <c r="B17" s="11">
        <v>8</v>
      </c>
      <c r="C17" s="11" t="s">
        <v>10</v>
      </c>
      <c r="D17" s="11">
        <v>2603</v>
      </c>
      <c r="E17" s="11">
        <v>1170</v>
      </c>
      <c r="F17" s="11">
        <v>1433</v>
      </c>
      <c r="I17" s="14"/>
      <c r="J17" s="14"/>
      <c r="K17" s="14"/>
    </row>
    <row r="18" spans="2:11" ht="24.75" customHeight="1" x14ac:dyDescent="0.35">
      <c r="B18" s="11">
        <v>9</v>
      </c>
      <c r="C18" s="11" t="s">
        <v>11</v>
      </c>
      <c r="D18" s="11">
        <v>4211</v>
      </c>
      <c r="E18" s="11">
        <v>2000</v>
      </c>
      <c r="F18" s="11">
        <v>2211</v>
      </c>
      <c r="I18" s="14"/>
      <c r="J18" s="14"/>
      <c r="K18" s="14"/>
    </row>
    <row r="19" spans="2:11" ht="24.75" customHeight="1" x14ac:dyDescent="0.35">
      <c r="B19" s="11">
        <v>10</v>
      </c>
      <c r="C19" s="11" t="s">
        <v>12</v>
      </c>
      <c r="D19" s="11">
        <v>5432</v>
      </c>
      <c r="E19" s="11">
        <v>2575</v>
      </c>
      <c r="F19" s="11">
        <v>2857</v>
      </c>
      <c r="I19" s="14"/>
      <c r="J19" s="14"/>
      <c r="K19" s="14"/>
    </row>
    <row r="20" spans="2:11" ht="24.75" customHeight="1" x14ac:dyDescent="0.35">
      <c r="B20" s="11">
        <v>11</v>
      </c>
      <c r="C20" s="11" t="s">
        <v>13</v>
      </c>
      <c r="D20" s="11">
        <v>3021</v>
      </c>
      <c r="E20" s="11">
        <v>1549</v>
      </c>
      <c r="F20" s="11">
        <v>1472</v>
      </c>
      <c r="I20" s="14"/>
      <c r="J20" s="14"/>
      <c r="K20" s="14"/>
    </row>
    <row r="21" spans="2:11" ht="24.75" customHeight="1" x14ac:dyDescent="0.35">
      <c r="B21" s="11">
        <v>12</v>
      </c>
      <c r="C21" s="11" t="s">
        <v>14</v>
      </c>
      <c r="D21" s="11">
        <v>7071</v>
      </c>
      <c r="E21" s="11">
        <v>3357</v>
      </c>
      <c r="F21" s="11">
        <v>3714</v>
      </c>
      <c r="I21" s="14"/>
      <c r="J21" s="14"/>
      <c r="K21" s="14"/>
    </row>
    <row r="22" spans="2:11" ht="24.75" customHeight="1" x14ac:dyDescent="0.35">
      <c r="B22" s="11">
        <v>13</v>
      </c>
      <c r="C22" s="11" t="s">
        <v>15</v>
      </c>
      <c r="D22" s="11">
        <v>8241</v>
      </c>
      <c r="E22" s="11">
        <v>4050</v>
      </c>
      <c r="F22" s="11">
        <v>4191</v>
      </c>
      <c r="I22" s="14"/>
      <c r="J22" s="14"/>
      <c r="K22" s="14"/>
    </row>
    <row r="23" spans="2:11" ht="24.75" customHeight="1" x14ac:dyDescent="0.35">
      <c r="B23" s="11">
        <v>14</v>
      </c>
      <c r="C23" s="11" t="s">
        <v>16</v>
      </c>
      <c r="D23" s="11">
        <v>4102</v>
      </c>
      <c r="E23" s="11">
        <v>1972</v>
      </c>
      <c r="F23" s="11">
        <v>2130</v>
      </c>
      <c r="I23" s="14"/>
      <c r="J23" s="14"/>
      <c r="K23" s="14"/>
    </row>
    <row r="24" spans="2:11" ht="24.75" customHeight="1" x14ac:dyDescent="0.35">
      <c r="B24" s="11">
        <v>15</v>
      </c>
      <c r="C24" s="11" t="s">
        <v>17</v>
      </c>
      <c r="D24" s="11">
        <v>2257</v>
      </c>
      <c r="E24" s="11">
        <v>1081</v>
      </c>
      <c r="F24" s="11">
        <v>1176</v>
      </c>
      <c r="I24" s="14"/>
      <c r="J24" s="14"/>
      <c r="K24" s="14"/>
    </row>
    <row r="25" spans="2:11" ht="24.75" customHeight="1" x14ac:dyDescent="0.35">
      <c r="B25" s="11">
        <v>16</v>
      </c>
      <c r="C25" s="11" t="s">
        <v>18</v>
      </c>
      <c r="D25" s="11">
        <v>1523</v>
      </c>
      <c r="E25" s="11">
        <v>781</v>
      </c>
      <c r="F25" s="11">
        <v>742</v>
      </c>
      <c r="I25" s="14"/>
      <c r="J25" s="14"/>
      <c r="K25" s="14"/>
    </row>
    <row r="26" spans="2:11" ht="24.75" customHeight="1" x14ac:dyDescent="0.35">
      <c r="B26" s="11">
        <v>17</v>
      </c>
      <c r="C26" s="11" t="s">
        <v>19</v>
      </c>
      <c r="D26" s="11">
        <v>8276</v>
      </c>
      <c r="E26" s="11">
        <v>4027</v>
      </c>
      <c r="F26" s="11">
        <v>4249</v>
      </c>
      <c r="I26" s="14"/>
      <c r="J26" s="14"/>
      <c r="K26" s="14"/>
    </row>
    <row r="27" spans="2:11" ht="24.75" customHeight="1" x14ac:dyDescent="0.35">
      <c r="B27" s="11">
        <v>18</v>
      </c>
      <c r="C27" s="11" t="s">
        <v>20</v>
      </c>
      <c r="D27" s="11">
        <v>2613</v>
      </c>
      <c r="E27" s="11">
        <v>1207</v>
      </c>
      <c r="F27" s="11">
        <v>1406</v>
      </c>
      <c r="I27" s="14"/>
      <c r="J27" s="14"/>
      <c r="K27" s="14"/>
    </row>
    <row r="28" spans="2:11" ht="24.75" customHeight="1" x14ac:dyDescent="0.35">
      <c r="B28" s="11"/>
      <c r="C28" s="10" t="s">
        <v>1773</v>
      </c>
      <c r="D28" s="10">
        <f>SUM(D29:D109)</f>
        <v>225762</v>
      </c>
      <c r="E28" s="10">
        <f t="shared" ref="E28:F28" si="2">SUM(E29:E109)</f>
        <v>104869</v>
      </c>
      <c r="F28" s="10">
        <f t="shared" si="2"/>
        <v>120893</v>
      </c>
      <c r="I28" s="14"/>
      <c r="J28" s="14"/>
      <c r="K28" s="14"/>
    </row>
    <row r="29" spans="2:11" ht="24.75" customHeight="1" x14ac:dyDescent="0.35">
      <c r="B29" s="11">
        <v>1</v>
      </c>
      <c r="C29" s="11" t="s">
        <v>21</v>
      </c>
      <c r="D29" s="11">
        <v>8706</v>
      </c>
      <c r="E29" s="11">
        <v>4085</v>
      </c>
      <c r="F29" s="11">
        <v>4621</v>
      </c>
      <c r="I29" s="14"/>
      <c r="J29" s="14"/>
      <c r="K29" s="14"/>
    </row>
    <row r="30" spans="2:11" ht="24.75" customHeight="1" x14ac:dyDescent="0.35">
      <c r="B30" s="11">
        <v>2</v>
      </c>
      <c r="C30" s="11" t="s">
        <v>22</v>
      </c>
      <c r="D30" s="11">
        <v>3876</v>
      </c>
      <c r="E30" s="11">
        <v>1940</v>
      </c>
      <c r="F30" s="11">
        <v>1936</v>
      </c>
      <c r="I30" s="14"/>
      <c r="J30" s="14"/>
      <c r="K30" s="14"/>
    </row>
    <row r="31" spans="2:11" ht="24.75" customHeight="1" x14ac:dyDescent="0.35">
      <c r="B31" s="11">
        <v>3</v>
      </c>
      <c r="C31" s="11" t="s">
        <v>23</v>
      </c>
      <c r="D31" s="11">
        <v>3925</v>
      </c>
      <c r="E31" s="11">
        <v>1868</v>
      </c>
      <c r="F31" s="11">
        <v>2057</v>
      </c>
      <c r="I31" s="14"/>
      <c r="J31" s="14"/>
      <c r="K31" s="14"/>
    </row>
    <row r="32" spans="2:11" ht="24.75" customHeight="1" x14ac:dyDescent="0.35">
      <c r="B32" s="11">
        <v>4</v>
      </c>
      <c r="C32" s="11" t="s">
        <v>24</v>
      </c>
      <c r="D32" s="11">
        <v>5682</v>
      </c>
      <c r="E32" s="11">
        <v>2738</v>
      </c>
      <c r="F32" s="11">
        <v>2944</v>
      </c>
      <c r="I32" s="14"/>
      <c r="J32" s="14"/>
      <c r="K32" s="14"/>
    </row>
    <row r="33" spans="2:11" ht="24.75" customHeight="1" x14ac:dyDescent="0.35">
      <c r="B33" s="11">
        <v>5</v>
      </c>
      <c r="C33" s="11" t="s">
        <v>25</v>
      </c>
      <c r="D33" s="11">
        <v>3314</v>
      </c>
      <c r="E33" s="11">
        <v>1551</v>
      </c>
      <c r="F33" s="11">
        <v>1763</v>
      </c>
      <c r="I33" s="14"/>
      <c r="J33" s="14"/>
      <c r="K33" s="14"/>
    </row>
    <row r="34" spans="2:11" ht="24.75" customHeight="1" x14ac:dyDescent="0.35">
      <c r="B34" s="11">
        <v>6</v>
      </c>
      <c r="C34" s="11" t="s">
        <v>26</v>
      </c>
      <c r="D34" s="11">
        <v>2472</v>
      </c>
      <c r="E34" s="11">
        <v>1119</v>
      </c>
      <c r="F34" s="11">
        <v>1353</v>
      </c>
      <c r="I34" s="14"/>
      <c r="J34" s="14"/>
      <c r="K34" s="14"/>
    </row>
    <row r="35" spans="2:11" ht="24.75" customHeight="1" x14ac:dyDescent="0.35">
      <c r="B35" s="11">
        <v>7</v>
      </c>
      <c r="C35" s="11" t="s">
        <v>27</v>
      </c>
      <c r="D35" s="11">
        <v>1962</v>
      </c>
      <c r="E35" s="11">
        <v>911</v>
      </c>
      <c r="F35" s="11">
        <v>1051</v>
      </c>
      <c r="I35" s="14"/>
      <c r="J35" s="14"/>
      <c r="K35" s="14"/>
    </row>
    <row r="36" spans="2:11" ht="24.75" customHeight="1" x14ac:dyDescent="0.35">
      <c r="B36" s="11">
        <v>8</v>
      </c>
      <c r="C36" s="11" t="s">
        <v>28</v>
      </c>
      <c r="D36" s="11">
        <v>3193</v>
      </c>
      <c r="E36" s="11">
        <v>1473</v>
      </c>
      <c r="F36" s="11">
        <v>1720</v>
      </c>
      <c r="I36" s="14"/>
      <c r="J36" s="14"/>
      <c r="K36" s="14"/>
    </row>
    <row r="37" spans="2:11" ht="24.75" customHeight="1" x14ac:dyDescent="0.35">
      <c r="B37" s="11">
        <v>9</v>
      </c>
      <c r="C37" s="11" t="s">
        <v>29</v>
      </c>
      <c r="D37" s="11">
        <v>2081</v>
      </c>
      <c r="E37" s="11">
        <v>997</v>
      </c>
      <c r="F37" s="11">
        <v>1084</v>
      </c>
      <c r="I37" s="14"/>
      <c r="J37" s="14"/>
      <c r="K37" s="14"/>
    </row>
    <row r="38" spans="2:11" ht="24.75" customHeight="1" x14ac:dyDescent="0.35">
      <c r="B38" s="11">
        <v>10</v>
      </c>
      <c r="C38" s="11" t="s">
        <v>30</v>
      </c>
      <c r="D38" s="11">
        <v>7401</v>
      </c>
      <c r="E38" s="11">
        <v>3397</v>
      </c>
      <c r="F38" s="11">
        <v>4004</v>
      </c>
      <c r="I38" s="14"/>
      <c r="J38" s="14"/>
      <c r="K38" s="14"/>
    </row>
    <row r="39" spans="2:11" ht="24.75" customHeight="1" x14ac:dyDescent="0.35">
      <c r="B39" s="11">
        <v>11</v>
      </c>
      <c r="C39" s="11" t="s">
        <v>31</v>
      </c>
      <c r="D39" s="11">
        <v>5483</v>
      </c>
      <c r="E39" s="11">
        <v>2731</v>
      </c>
      <c r="F39" s="11">
        <v>2752</v>
      </c>
      <c r="I39" s="14"/>
      <c r="J39" s="14"/>
      <c r="K39" s="14"/>
    </row>
    <row r="40" spans="2:11" ht="24.75" customHeight="1" x14ac:dyDescent="0.35">
      <c r="B40" s="11">
        <v>12</v>
      </c>
      <c r="C40" s="11" t="s">
        <v>32</v>
      </c>
      <c r="D40" s="11">
        <v>2901</v>
      </c>
      <c r="E40" s="11">
        <v>1405</v>
      </c>
      <c r="F40" s="11">
        <v>1496</v>
      </c>
      <c r="I40" s="14"/>
      <c r="J40" s="14"/>
      <c r="K40" s="14"/>
    </row>
    <row r="41" spans="2:11" ht="24.75" customHeight="1" x14ac:dyDescent="0.35">
      <c r="B41" s="11">
        <v>13</v>
      </c>
      <c r="C41" s="11" t="s">
        <v>33</v>
      </c>
      <c r="D41" s="11">
        <v>3085</v>
      </c>
      <c r="E41" s="11">
        <v>1434</v>
      </c>
      <c r="F41" s="11">
        <v>1651</v>
      </c>
      <c r="I41" s="14"/>
      <c r="J41" s="14"/>
      <c r="K41" s="14"/>
    </row>
    <row r="42" spans="2:11" ht="24.75" customHeight="1" x14ac:dyDescent="0.35">
      <c r="B42" s="11">
        <v>14</v>
      </c>
      <c r="C42" s="11" t="s">
        <v>34</v>
      </c>
      <c r="D42" s="11">
        <v>2987</v>
      </c>
      <c r="E42" s="11">
        <v>1350</v>
      </c>
      <c r="F42" s="11">
        <v>1637</v>
      </c>
      <c r="I42" s="14"/>
      <c r="J42" s="14"/>
      <c r="K42" s="14"/>
    </row>
    <row r="43" spans="2:11" ht="24.75" customHeight="1" x14ac:dyDescent="0.35">
      <c r="B43" s="11">
        <v>15</v>
      </c>
      <c r="C43" s="11" t="s">
        <v>35</v>
      </c>
      <c r="D43" s="11">
        <v>4655</v>
      </c>
      <c r="E43" s="11">
        <v>2398</v>
      </c>
      <c r="F43" s="11">
        <v>2257</v>
      </c>
      <c r="I43" s="14"/>
      <c r="J43" s="14"/>
      <c r="K43" s="14"/>
    </row>
    <row r="44" spans="2:11" ht="24.75" customHeight="1" x14ac:dyDescent="0.35">
      <c r="B44" s="11">
        <v>16</v>
      </c>
      <c r="C44" s="11" t="s">
        <v>36</v>
      </c>
      <c r="D44" s="11">
        <v>3106</v>
      </c>
      <c r="E44" s="11">
        <v>1403</v>
      </c>
      <c r="F44" s="11">
        <v>1703</v>
      </c>
      <c r="I44" s="14"/>
      <c r="J44" s="14"/>
      <c r="K44" s="14"/>
    </row>
    <row r="45" spans="2:11" ht="24.75" customHeight="1" x14ac:dyDescent="0.35">
      <c r="B45" s="11">
        <v>17</v>
      </c>
      <c r="C45" s="11" t="s">
        <v>37</v>
      </c>
      <c r="D45" s="11">
        <v>1444</v>
      </c>
      <c r="E45" s="11">
        <v>651</v>
      </c>
      <c r="F45" s="11">
        <v>793</v>
      </c>
      <c r="I45" s="14"/>
      <c r="J45" s="14"/>
      <c r="K45" s="14"/>
    </row>
    <row r="46" spans="2:11" ht="24.75" customHeight="1" x14ac:dyDescent="0.35">
      <c r="B46" s="11">
        <v>18</v>
      </c>
      <c r="C46" s="11" t="s">
        <v>38</v>
      </c>
      <c r="D46" s="11">
        <v>1257</v>
      </c>
      <c r="E46" s="11">
        <v>571</v>
      </c>
      <c r="F46" s="11">
        <v>686</v>
      </c>
      <c r="I46" s="14"/>
      <c r="J46" s="14"/>
      <c r="K46" s="14"/>
    </row>
    <row r="47" spans="2:11" ht="24.75" customHeight="1" x14ac:dyDescent="0.35">
      <c r="B47" s="11">
        <v>19</v>
      </c>
      <c r="C47" s="11" t="s">
        <v>39</v>
      </c>
      <c r="D47" s="11">
        <v>1864</v>
      </c>
      <c r="E47" s="11">
        <v>914</v>
      </c>
      <c r="F47" s="11">
        <v>950</v>
      </c>
      <c r="I47" s="14"/>
      <c r="J47" s="14"/>
      <c r="K47" s="14"/>
    </row>
    <row r="48" spans="2:11" ht="24.75" customHeight="1" x14ac:dyDescent="0.35">
      <c r="B48" s="11">
        <v>20</v>
      </c>
      <c r="C48" s="11" t="s">
        <v>40</v>
      </c>
      <c r="D48" s="11">
        <v>2768</v>
      </c>
      <c r="E48" s="11">
        <v>1360</v>
      </c>
      <c r="F48" s="11">
        <v>1408</v>
      </c>
      <c r="I48" s="14"/>
      <c r="J48" s="14"/>
      <c r="K48" s="14"/>
    </row>
    <row r="49" spans="2:11" ht="24.75" customHeight="1" x14ac:dyDescent="0.35">
      <c r="B49" s="11">
        <v>21</v>
      </c>
      <c r="C49" s="11" t="s">
        <v>41</v>
      </c>
      <c r="D49" s="11">
        <v>1374</v>
      </c>
      <c r="E49" s="11">
        <v>640</v>
      </c>
      <c r="F49" s="11">
        <v>734</v>
      </c>
      <c r="I49" s="14"/>
      <c r="J49" s="14"/>
      <c r="K49" s="14"/>
    </row>
    <row r="50" spans="2:11" ht="24.75" customHeight="1" x14ac:dyDescent="0.35">
      <c r="B50" s="11">
        <v>22</v>
      </c>
      <c r="C50" s="11" t="s">
        <v>42</v>
      </c>
      <c r="D50" s="11">
        <v>526</v>
      </c>
      <c r="E50" s="11">
        <v>239</v>
      </c>
      <c r="F50" s="11">
        <v>287</v>
      </c>
      <c r="I50" s="14"/>
      <c r="J50" s="14"/>
      <c r="K50" s="14"/>
    </row>
    <row r="51" spans="2:11" ht="24.75" customHeight="1" x14ac:dyDescent="0.35">
      <c r="B51" s="11">
        <v>23</v>
      </c>
      <c r="C51" s="11" t="s">
        <v>43</v>
      </c>
      <c r="D51" s="11">
        <v>1266</v>
      </c>
      <c r="E51" s="11">
        <v>553</v>
      </c>
      <c r="F51" s="11">
        <v>713</v>
      </c>
      <c r="I51" s="14"/>
      <c r="J51" s="14"/>
      <c r="K51" s="14"/>
    </row>
    <row r="52" spans="2:11" ht="24.75" customHeight="1" x14ac:dyDescent="0.35">
      <c r="B52" s="11">
        <v>24</v>
      </c>
      <c r="C52" s="11" t="s">
        <v>44</v>
      </c>
      <c r="D52" s="11">
        <v>1074</v>
      </c>
      <c r="E52" s="11">
        <v>487</v>
      </c>
      <c r="F52" s="11">
        <v>587</v>
      </c>
      <c r="I52" s="14"/>
      <c r="J52" s="14"/>
      <c r="K52" s="14"/>
    </row>
    <row r="53" spans="2:11" ht="24.75" customHeight="1" x14ac:dyDescent="0.35">
      <c r="B53" s="11">
        <v>25</v>
      </c>
      <c r="C53" s="11" t="s">
        <v>45</v>
      </c>
      <c r="D53" s="11">
        <v>3040</v>
      </c>
      <c r="E53" s="11">
        <v>1361</v>
      </c>
      <c r="F53" s="11">
        <v>1679</v>
      </c>
      <c r="I53" s="14"/>
      <c r="J53" s="14"/>
      <c r="K53" s="14"/>
    </row>
    <row r="54" spans="2:11" ht="24.75" customHeight="1" x14ac:dyDescent="0.35">
      <c r="B54" s="11">
        <v>26</v>
      </c>
      <c r="C54" s="11" t="s">
        <v>46</v>
      </c>
      <c r="D54" s="11">
        <v>10740</v>
      </c>
      <c r="E54" s="11">
        <v>4896</v>
      </c>
      <c r="F54" s="11">
        <v>5844</v>
      </c>
      <c r="I54" s="14"/>
      <c r="J54" s="14"/>
      <c r="K54" s="14"/>
    </row>
    <row r="55" spans="2:11" ht="24.75" customHeight="1" x14ac:dyDescent="0.35">
      <c r="B55" s="11">
        <v>27</v>
      </c>
      <c r="C55" s="11" t="s">
        <v>47</v>
      </c>
      <c r="D55" s="11">
        <v>1624</v>
      </c>
      <c r="E55" s="11">
        <v>732</v>
      </c>
      <c r="F55" s="11">
        <v>892</v>
      </c>
      <c r="I55" s="14"/>
      <c r="J55" s="14"/>
      <c r="K55" s="14"/>
    </row>
    <row r="56" spans="2:11" ht="24.75" customHeight="1" x14ac:dyDescent="0.35">
      <c r="B56" s="11">
        <v>28</v>
      </c>
      <c r="C56" s="11" t="s">
        <v>48</v>
      </c>
      <c r="D56" s="11">
        <v>1340</v>
      </c>
      <c r="E56" s="11">
        <v>566</v>
      </c>
      <c r="F56" s="11">
        <v>774</v>
      </c>
      <c r="I56" s="14"/>
      <c r="J56" s="14"/>
      <c r="K56" s="14"/>
    </row>
    <row r="57" spans="2:11" ht="24.75" customHeight="1" x14ac:dyDescent="0.35">
      <c r="B57" s="11">
        <v>29</v>
      </c>
      <c r="C57" s="11" t="s">
        <v>49</v>
      </c>
      <c r="D57" s="11">
        <v>965</v>
      </c>
      <c r="E57" s="11">
        <v>446</v>
      </c>
      <c r="F57" s="11">
        <v>519</v>
      </c>
      <c r="I57" s="14"/>
      <c r="J57" s="14"/>
      <c r="K57" s="14"/>
    </row>
    <row r="58" spans="2:11" ht="24.75" customHeight="1" x14ac:dyDescent="0.35">
      <c r="B58" s="11">
        <v>30</v>
      </c>
      <c r="C58" s="11" t="s">
        <v>50</v>
      </c>
      <c r="D58" s="11">
        <v>3020</v>
      </c>
      <c r="E58" s="11">
        <v>1342</v>
      </c>
      <c r="F58" s="11">
        <v>1678</v>
      </c>
      <c r="I58" s="14"/>
      <c r="J58" s="14"/>
      <c r="K58" s="14"/>
    </row>
    <row r="59" spans="2:11" ht="24.75" customHeight="1" x14ac:dyDescent="0.35">
      <c r="B59" s="11">
        <v>31</v>
      </c>
      <c r="C59" s="11" t="s">
        <v>51</v>
      </c>
      <c r="D59" s="11">
        <v>2274</v>
      </c>
      <c r="E59" s="11">
        <v>1054</v>
      </c>
      <c r="F59" s="11">
        <v>1220</v>
      </c>
      <c r="I59" s="14"/>
      <c r="J59" s="14"/>
      <c r="K59" s="14"/>
    </row>
    <row r="60" spans="2:11" ht="24.75" customHeight="1" x14ac:dyDescent="0.35">
      <c r="B60" s="11">
        <v>32</v>
      </c>
      <c r="C60" s="11" t="s">
        <v>52</v>
      </c>
      <c r="D60" s="11">
        <v>1468</v>
      </c>
      <c r="E60" s="11">
        <v>644</v>
      </c>
      <c r="F60" s="11">
        <v>824</v>
      </c>
      <c r="I60" s="14"/>
      <c r="J60" s="14"/>
      <c r="K60" s="14"/>
    </row>
    <row r="61" spans="2:11" ht="24.75" customHeight="1" x14ac:dyDescent="0.35">
      <c r="B61" s="11">
        <v>33</v>
      </c>
      <c r="C61" s="11" t="s">
        <v>53</v>
      </c>
      <c r="D61" s="11">
        <v>1758</v>
      </c>
      <c r="E61" s="11">
        <v>808</v>
      </c>
      <c r="F61" s="11">
        <v>950</v>
      </c>
      <c r="I61" s="14"/>
      <c r="J61" s="14"/>
      <c r="K61" s="14"/>
    </row>
    <row r="62" spans="2:11" ht="24.75" customHeight="1" x14ac:dyDescent="0.35">
      <c r="B62" s="11">
        <v>34</v>
      </c>
      <c r="C62" s="11" t="s">
        <v>54</v>
      </c>
      <c r="D62" s="11">
        <v>3581</v>
      </c>
      <c r="E62" s="11">
        <v>1593</v>
      </c>
      <c r="F62" s="11">
        <v>1988</v>
      </c>
      <c r="I62" s="14"/>
      <c r="J62" s="14"/>
      <c r="K62" s="14"/>
    </row>
    <row r="63" spans="2:11" ht="24.75" customHeight="1" x14ac:dyDescent="0.35">
      <c r="B63" s="11">
        <v>35</v>
      </c>
      <c r="C63" s="11" t="s">
        <v>55</v>
      </c>
      <c r="D63" s="11">
        <v>2467</v>
      </c>
      <c r="E63" s="11">
        <v>1082</v>
      </c>
      <c r="F63" s="11">
        <v>1385</v>
      </c>
      <c r="I63" s="14"/>
      <c r="J63" s="14"/>
      <c r="K63" s="14"/>
    </row>
    <row r="64" spans="2:11" ht="24.75" customHeight="1" x14ac:dyDescent="0.35">
      <c r="B64" s="11">
        <v>36</v>
      </c>
      <c r="C64" s="11" t="s">
        <v>56</v>
      </c>
      <c r="D64" s="11">
        <v>1464</v>
      </c>
      <c r="E64" s="11">
        <v>662</v>
      </c>
      <c r="F64" s="11">
        <v>802</v>
      </c>
      <c r="I64" s="14"/>
      <c r="J64" s="14"/>
      <c r="K64" s="14"/>
    </row>
    <row r="65" spans="2:11" ht="24.75" customHeight="1" x14ac:dyDescent="0.35">
      <c r="B65" s="11">
        <v>37</v>
      </c>
      <c r="C65" s="11" t="s">
        <v>57</v>
      </c>
      <c r="D65" s="11">
        <v>2509</v>
      </c>
      <c r="E65" s="11">
        <v>1165</v>
      </c>
      <c r="F65" s="11">
        <v>1344</v>
      </c>
      <c r="I65" s="14"/>
      <c r="J65" s="14"/>
      <c r="K65" s="14"/>
    </row>
    <row r="66" spans="2:11" ht="24.75" customHeight="1" x14ac:dyDescent="0.35">
      <c r="B66" s="11">
        <v>38</v>
      </c>
      <c r="C66" s="11" t="s">
        <v>58</v>
      </c>
      <c r="D66" s="11">
        <v>3952</v>
      </c>
      <c r="E66" s="11">
        <v>1817</v>
      </c>
      <c r="F66" s="11">
        <v>2135</v>
      </c>
      <c r="I66" s="14"/>
      <c r="J66" s="14"/>
      <c r="K66" s="14"/>
    </row>
    <row r="67" spans="2:11" ht="24.75" customHeight="1" x14ac:dyDescent="0.35">
      <c r="B67" s="11">
        <v>39</v>
      </c>
      <c r="C67" s="11" t="s">
        <v>59</v>
      </c>
      <c r="D67" s="11">
        <v>1576</v>
      </c>
      <c r="E67" s="11">
        <v>732</v>
      </c>
      <c r="F67" s="11">
        <v>844</v>
      </c>
      <c r="I67" s="14"/>
      <c r="J67" s="14"/>
      <c r="K67" s="14"/>
    </row>
    <row r="68" spans="2:11" ht="24.75" customHeight="1" x14ac:dyDescent="0.35">
      <c r="B68" s="11">
        <v>40</v>
      </c>
      <c r="C68" s="11" t="s">
        <v>60</v>
      </c>
      <c r="D68" s="11">
        <v>3073</v>
      </c>
      <c r="E68" s="11">
        <v>1419</v>
      </c>
      <c r="F68" s="11">
        <v>1654</v>
      </c>
      <c r="I68" s="14"/>
      <c r="J68" s="14"/>
      <c r="K68" s="14"/>
    </row>
    <row r="69" spans="2:11" ht="24.75" customHeight="1" x14ac:dyDescent="0.35">
      <c r="B69" s="11">
        <v>41</v>
      </c>
      <c r="C69" s="11" t="s">
        <v>61</v>
      </c>
      <c r="D69" s="11">
        <v>1089</v>
      </c>
      <c r="E69" s="11">
        <v>482</v>
      </c>
      <c r="F69" s="11">
        <v>607</v>
      </c>
      <c r="I69" s="14"/>
      <c r="J69" s="14"/>
      <c r="K69" s="14"/>
    </row>
    <row r="70" spans="2:11" ht="24.75" customHeight="1" x14ac:dyDescent="0.35">
      <c r="B70" s="11">
        <v>42</v>
      </c>
      <c r="C70" s="11" t="s">
        <v>62</v>
      </c>
      <c r="D70" s="11">
        <v>988</v>
      </c>
      <c r="E70" s="11">
        <v>431</v>
      </c>
      <c r="F70" s="11">
        <v>557</v>
      </c>
      <c r="I70" s="14"/>
      <c r="J70" s="14"/>
      <c r="K70" s="14"/>
    </row>
    <row r="71" spans="2:11" ht="24.75" customHeight="1" x14ac:dyDescent="0.35">
      <c r="B71" s="11">
        <v>43</v>
      </c>
      <c r="C71" s="11" t="s">
        <v>63</v>
      </c>
      <c r="D71" s="11">
        <v>4577</v>
      </c>
      <c r="E71" s="11">
        <v>2071</v>
      </c>
      <c r="F71" s="11">
        <v>2506</v>
      </c>
      <c r="I71" s="14"/>
      <c r="J71" s="14"/>
      <c r="K71" s="14"/>
    </row>
    <row r="72" spans="2:11" ht="24.75" customHeight="1" x14ac:dyDescent="0.35">
      <c r="B72" s="11">
        <v>44</v>
      </c>
      <c r="C72" s="11" t="s">
        <v>64</v>
      </c>
      <c r="D72" s="11">
        <v>2436</v>
      </c>
      <c r="E72" s="11">
        <v>1123</v>
      </c>
      <c r="F72" s="11">
        <v>1313</v>
      </c>
      <c r="I72" s="14"/>
      <c r="J72" s="14"/>
      <c r="K72" s="14"/>
    </row>
    <row r="73" spans="2:11" ht="24.75" customHeight="1" x14ac:dyDescent="0.35">
      <c r="B73" s="11">
        <v>45</v>
      </c>
      <c r="C73" s="11" t="s">
        <v>65</v>
      </c>
      <c r="D73" s="11">
        <v>3044</v>
      </c>
      <c r="E73" s="11">
        <v>1430</v>
      </c>
      <c r="F73" s="11">
        <v>1614</v>
      </c>
      <c r="I73" s="14"/>
      <c r="J73" s="14"/>
      <c r="K73" s="14"/>
    </row>
    <row r="74" spans="2:11" ht="24.75" customHeight="1" x14ac:dyDescent="0.35">
      <c r="B74" s="11">
        <v>46</v>
      </c>
      <c r="C74" s="11" t="s">
        <v>66</v>
      </c>
      <c r="D74" s="11">
        <v>2458</v>
      </c>
      <c r="E74" s="11">
        <v>1115</v>
      </c>
      <c r="F74" s="11">
        <v>1343</v>
      </c>
      <c r="I74" s="14"/>
      <c r="J74" s="14"/>
      <c r="K74" s="14"/>
    </row>
    <row r="75" spans="2:11" ht="24.75" customHeight="1" x14ac:dyDescent="0.35">
      <c r="B75" s="11">
        <v>47</v>
      </c>
      <c r="C75" s="11" t="s">
        <v>67</v>
      </c>
      <c r="D75" s="11">
        <v>1892</v>
      </c>
      <c r="E75" s="11">
        <v>880</v>
      </c>
      <c r="F75" s="11">
        <v>1012</v>
      </c>
      <c r="I75" s="14"/>
      <c r="J75" s="14"/>
      <c r="K75" s="14"/>
    </row>
    <row r="76" spans="2:11" ht="24.75" customHeight="1" x14ac:dyDescent="0.35">
      <c r="B76" s="11">
        <v>48</v>
      </c>
      <c r="C76" s="11" t="s">
        <v>68</v>
      </c>
      <c r="D76" s="11">
        <v>2174</v>
      </c>
      <c r="E76" s="11">
        <v>1013</v>
      </c>
      <c r="F76" s="11">
        <v>1161</v>
      </c>
      <c r="I76" s="14"/>
      <c r="J76" s="14"/>
      <c r="K76" s="14"/>
    </row>
    <row r="77" spans="2:11" ht="24.75" customHeight="1" x14ac:dyDescent="0.35">
      <c r="B77" s="11">
        <v>49</v>
      </c>
      <c r="C77" s="11" t="s">
        <v>69</v>
      </c>
      <c r="D77" s="11">
        <v>1330</v>
      </c>
      <c r="E77" s="11">
        <v>624</v>
      </c>
      <c r="F77" s="11">
        <v>706</v>
      </c>
      <c r="I77" s="14"/>
      <c r="J77" s="14"/>
      <c r="K77" s="14"/>
    </row>
    <row r="78" spans="2:11" ht="24.75" customHeight="1" x14ac:dyDescent="0.35">
      <c r="B78" s="11">
        <v>50</v>
      </c>
      <c r="C78" s="11" t="s">
        <v>70</v>
      </c>
      <c r="D78" s="11">
        <v>832</v>
      </c>
      <c r="E78" s="11">
        <v>404</v>
      </c>
      <c r="F78" s="11">
        <v>428</v>
      </c>
      <c r="I78" s="14"/>
      <c r="J78" s="14"/>
      <c r="K78" s="14"/>
    </row>
    <row r="79" spans="2:11" ht="24.75" customHeight="1" x14ac:dyDescent="0.35">
      <c r="B79" s="11">
        <v>51</v>
      </c>
      <c r="C79" s="11" t="s">
        <v>71</v>
      </c>
      <c r="D79" s="11">
        <v>1493</v>
      </c>
      <c r="E79" s="11">
        <v>666</v>
      </c>
      <c r="F79" s="11">
        <v>827</v>
      </c>
      <c r="I79" s="14"/>
      <c r="J79" s="14"/>
      <c r="K79" s="14"/>
    </row>
    <row r="80" spans="2:11" ht="24.75" customHeight="1" x14ac:dyDescent="0.35">
      <c r="B80" s="11">
        <v>52</v>
      </c>
      <c r="C80" s="11" t="s">
        <v>72</v>
      </c>
      <c r="D80" s="11">
        <v>1128</v>
      </c>
      <c r="E80" s="11">
        <v>567</v>
      </c>
      <c r="F80" s="11">
        <v>561</v>
      </c>
      <c r="I80" s="14"/>
      <c r="J80" s="14"/>
      <c r="K80" s="14"/>
    </row>
    <row r="81" spans="2:11" ht="24.75" customHeight="1" x14ac:dyDescent="0.35">
      <c r="B81" s="11">
        <v>53</v>
      </c>
      <c r="C81" s="11" t="s">
        <v>73</v>
      </c>
      <c r="D81" s="11">
        <v>3001</v>
      </c>
      <c r="E81" s="11">
        <v>1395</v>
      </c>
      <c r="F81" s="11">
        <v>1606</v>
      </c>
      <c r="I81" s="14"/>
      <c r="J81" s="14"/>
      <c r="K81" s="14"/>
    </row>
    <row r="82" spans="2:11" ht="24.75" customHeight="1" x14ac:dyDescent="0.35">
      <c r="B82" s="11">
        <v>54</v>
      </c>
      <c r="C82" s="11" t="s">
        <v>74</v>
      </c>
      <c r="D82" s="11">
        <v>2595</v>
      </c>
      <c r="E82" s="11">
        <v>1173</v>
      </c>
      <c r="F82" s="11">
        <v>1422</v>
      </c>
      <c r="I82" s="14"/>
      <c r="J82" s="14"/>
      <c r="K82" s="14"/>
    </row>
    <row r="83" spans="2:11" ht="24.75" customHeight="1" x14ac:dyDescent="0.35">
      <c r="B83" s="11">
        <v>55</v>
      </c>
      <c r="C83" s="11" t="s">
        <v>75</v>
      </c>
      <c r="D83" s="11">
        <v>4353</v>
      </c>
      <c r="E83" s="11">
        <v>1984</v>
      </c>
      <c r="F83" s="11">
        <v>2369</v>
      </c>
      <c r="I83" s="14"/>
      <c r="J83" s="14"/>
      <c r="K83" s="14"/>
    </row>
    <row r="84" spans="2:11" ht="24.75" customHeight="1" x14ac:dyDescent="0.35">
      <c r="B84" s="11">
        <v>56</v>
      </c>
      <c r="C84" s="11" t="s">
        <v>76</v>
      </c>
      <c r="D84" s="11">
        <v>1297</v>
      </c>
      <c r="E84" s="11">
        <v>601</v>
      </c>
      <c r="F84" s="11">
        <v>696</v>
      </c>
      <c r="I84" s="14"/>
      <c r="J84" s="14"/>
      <c r="K84" s="14"/>
    </row>
    <row r="85" spans="2:11" ht="24.75" customHeight="1" x14ac:dyDescent="0.35">
      <c r="B85" s="11">
        <v>57</v>
      </c>
      <c r="C85" s="11" t="s">
        <v>77</v>
      </c>
      <c r="D85" s="11">
        <v>3345</v>
      </c>
      <c r="E85" s="11">
        <v>1523</v>
      </c>
      <c r="F85" s="11">
        <v>1822</v>
      </c>
      <c r="I85" s="14"/>
      <c r="J85" s="14"/>
      <c r="K85" s="14"/>
    </row>
    <row r="86" spans="2:11" ht="24.75" customHeight="1" x14ac:dyDescent="0.35">
      <c r="B86" s="11">
        <v>58</v>
      </c>
      <c r="C86" s="11" t="s">
        <v>78</v>
      </c>
      <c r="D86" s="11">
        <v>2024</v>
      </c>
      <c r="E86" s="11">
        <v>941</v>
      </c>
      <c r="F86" s="11">
        <v>1083</v>
      </c>
      <c r="I86" s="14"/>
      <c r="J86" s="14"/>
      <c r="K86" s="14"/>
    </row>
    <row r="87" spans="2:11" ht="24.75" customHeight="1" x14ac:dyDescent="0.35">
      <c r="B87" s="11">
        <v>59</v>
      </c>
      <c r="C87" s="11" t="s">
        <v>79</v>
      </c>
      <c r="D87" s="11">
        <v>1993</v>
      </c>
      <c r="E87" s="11">
        <v>880</v>
      </c>
      <c r="F87" s="11">
        <v>1113</v>
      </c>
      <c r="I87" s="14"/>
      <c r="J87" s="14"/>
      <c r="K87" s="14"/>
    </row>
    <row r="88" spans="2:11" ht="24.75" customHeight="1" x14ac:dyDescent="0.35">
      <c r="B88" s="11">
        <v>60</v>
      </c>
      <c r="C88" s="11" t="s">
        <v>80</v>
      </c>
      <c r="D88" s="11">
        <v>1912</v>
      </c>
      <c r="E88" s="11">
        <v>897</v>
      </c>
      <c r="F88" s="11">
        <v>1015</v>
      </c>
      <c r="I88" s="14"/>
      <c r="J88" s="14"/>
      <c r="K88" s="14"/>
    </row>
    <row r="89" spans="2:11" ht="24.75" customHeight="1" x14ac:dyDescent="0.35">
      <c r="B89" s="11">
        <v>61</v>
      </c>
      <c r="C89" s="11" t="s">
        <v>81</v>
      </c>
      <c r="D89" s="11">
        <v>1274</v>
      </c>
      <c r="E89" s="11">
        <v>584</v>
      </c>
      <c r="F89" s="11">
        <v>690</v>
      </c>
      <c r="I89" s="14"/>
      <c r="J89" s="14"/>
      <c r="K89" s="14"/>
    </row>
    <row r="90" spans="2:11" ht="24.75" customHeight="1" x14ac:dyDescent="0.35">
      <c r="B90" s="11">
        <v>62</v>
      </c>
      <c r="C90" s="11" t="s">
        <v>82</v>
      </c>
      <c r="D90" s="11">
        <v>3241</v>
      </c>
      <c r="E90" s="11">
        <v>1434</v>
      </c>
      <c r="F90" s="11">
        <v>1807</v>
      </c>
      <c r="I90" s="14"/>
      <c r="J90" s="14"/>
      <c r="K90" s="14"/>
    </row>
    <row r="91" spans="2:11" ht="24.75" customHeight="1" x14ac:dyDescent="0.35">
      <c r="B91" s="11">
        <v>63</v>
      </c>
      <c r="C91" s="11" t="s">
        <v>83</v>
      </c>
      <c r="D91" s="11">
        <v>8971</v>
      </c>
      <c r="E91" s="11">
        <v>3918</v>
      </c>
      <c r="F91" s="11">
        <v>5053</v>
      </c>
      <c r="I91" s="14"/>
      <c r="J91" s="14"/>
      <c r="K91" s="14"/>
    </row>
    <row r="92" spans="2:11" ht="24.75" customHeight="1" x14ac:dyDescent="0.35">
      <c r="B92" s="11">
        <v>64</v>
      </c>
      <c r="C92" s="11" t="s">
        <v>84</v>
      </c>
      <c r="D92" s="11">
        <v>2493</v>
      </c>
      <c r="E92" s="11">
        <v>1198</v>
      </c>
      <c r="F92" s="11">
        <v>1295</v>
      </c>
      <c r="I92" s="14"/>
      <c r="J92" s="14"/>
      <c r="K92" s="14"/>
    </row>
    <row r="93" spans="2:11" ht="24.75" customHeight="1" x14ac:dyDescent="0.35">
      <c r="B93" s="11">
        <v>65</v>
      </c>
      <c r="C93" s="11" t="s">
        <v>85</v>
      </c>
      <c r="D93" s="11">
        <v>2351</v>
      </c>
      <c r="E93" s="11">
        <v>1038</v>
      </c>
      <c r="F93" s="11">
        <v>1313</v>
      </c>
      <c r="I93" s="14"/>
      <c r="J93" s="14"/>
      <c r="K93" s="14"/>
    </row>
    <row r="94" spans="2:11" ht="24.75" customHeight="1" x14ac:dyDescent="0.35">
      <c r="B94" s="11">
        <v>66</v>
      </c>
      <c r="C94" s="11" t="s">
        <v>86</v>
      </c>
      <c r="D94" s="11">
        <v>2385</v>
      </c>
      <c r="E94" s="11">
        <v>1037</v>
      </c>
      <c r="F94" s="11">
        <v>1348</v>
      </c>
      <c r="I94" s="14"/>
      <c r="J94" s="14"/>
      <c r="K94" s="14"/>
    </row>
    <row r="95" spans="2:11" ht="24.75" customHeight="1" x14ac:dyDescent="0.35">
      <c r="B95" s="11">
        <v>67</v>
      </c>
      <c r="C95" s="11" t="s">
        <v>87</v>
      </c>
      <c r="D95" s="11">
        <v>1393</v>
      </c>
      <c r="E95" s="11">
        <v>606</v>
      </c>
      <c r="F95" s="11">
        <v>787</v>
      </c>
      <c r="I95" s="14"/>
      <c r="J95" s="14"/>
      <c r="K95" s="14"/>
    </row>
    <row r="96" spans="2:11" ht="24.75" customHeight="1" x14ac:dyDescent="0.35">
      <c r="B96" s="11">
        <v>68</v>
      </c>
      <c r="C96" s="11" t="s">
        <v>88</v>
      </c>
      <c r="D96" s="11">
        <v>2083</v>
      </c>
      <c r="E96" s="11">
        <v>997</v>
      </c>
      <c r="F96" s="11">
        <v>1086</v>
      </c>
      <c r="I96" s="14"/>
      <c r="J96" s="14"/>
      <c r="K96" s="14"/>
    </row>
    <row r="97" spans="2:11" ht="24.75" customHeight="1" x14ac:dyDescent="0.35">
      <c r="B97" s="11">
        <v>69</v>
      </c>
      <c r="C97" s="11" t="s">
        <v>89</v>
      </c>
      <c r="D97" s="11">
        <v>2316</v>
      </c>
      <c r="E97" s="11">
        <v>1076</v>
      </c>
      <c r="F97" s="11">
        <v>1240</v>
      </c>
      <c r="I97" s="14"/>
      <c r="J97" s="14"/>
      <c r="K97" s="14"/>
    </row>
    <row r="98" spans="2:11" ht="24.75" customHeight="1" x14ac:dyDescent="0.35">
      <c r="B98" s="11">
        <v>70</v>
      </c>
      <c r="C98" s="11" t="s">
        <v>90</v>
      </c>
      <c r="D98" s="11">
        <v>5529</v>
      </c>
      <c r="E98" s="11">
        <v>2764</v>
      </c>
      <c r="F98" s="11">
        <v>2765</v>
      </c>
      <c r="I98" s="14"/>
      <c r="J98" s="14"/>
      <c r="K98" s="14"/>
    </row>
    <row r="99" spans="2:11" ht="24.75" customHeight="1" x14ac:dyDescent="0.35">
      <c r="B99" s="11">
        <v>71</v>
      </c>
      <c r="C99" s="11" t="s">
        <v>91</v>
      </c>
      <c r="D99" s="11">
        <v>4370</v>
      </c>
      <c r="E99" s="11">
        <v>2101</v>
      </c>
      <c r="F99" s="11">
        <v>2269</v>
      </c>
      <c r="I99" s="14"/>
      <c r="J99" s="14"/>
      <c r="K99" s="14"/>
    </row>
    <row r="100" spans="2:11" ht="24.75" customHeight="1" x14ac:dyDescent="0.35">
      <c r="B100" s="11">
        <v>72</v>
      </c>
      <c r="C100" s="11" t="s">
        <v>92</v>
      </c>
      <c r="D100" s="11">
        <v>2675</v>
      </c>
      <c r="E100" s="11">
        <v>1229</v>
      </c>
      <c r="F100" s="11">
        <v>1446</v>
      </c>
      <c r="I100" s="14"/>
      <c r="J100" s="14"/>
      <c r="K100" s="14"/>
    </row>
    <row r="101" spans="2:11" ht="24.75" customHeight="1" x14ac:dyDescent="0.35">
      <c r="B101" s="11">
        <v>73</v>
      </c>
      <c r="C101" s="11" t="s">
        <v>93</v>
      </c>
      <c r="D101" s="11">
        <v>2522</v>
      </c>
      <c r="E101" s="11">
        <v>1142</v>
      </c>
      <c r="F101" s="11">
        <v>1380</v>
      </c>
      <c r="I101" s="14"/>
      <c r="J101" s="14"/>
      <c r="K101" s="14"/>
    </row>
    <row r="102" spans="2:11" ht="24.75" customHeight="1" x14ac:dyDescent="0.35">
      <c r="B102" s="11">
        <v>74</v>
      </c>
      <c r="C102" s="11" t="s">
        <v>94</v>
      </c>
      <c r="D102" s="11">
        <v>7798</v>
      </c>
      <c r="E102" s="11">
        <v>3823</v>
      </c>
      <c r="F102" s="11">
        <v>3975</v>
      </c>
      <c r="I102" s="14"/>
      <c r="J102" s="14"/>
      <c r="K102" s="14"/>
    </row>
    <row r="103" spans="2:11" ht="24.75" customHeight="1" x14ac:dyDescent="0.35">
      <c r="B103" s="11">
        <v>75</v>
      </c>
      <c r="C103" s="11" t="s">
        <v>95</v>
      </c>
      <c r="D103" s="11">
        <v>2032</v>
      </c>
      <c r="E103" s="11">
        <v>1000</v>
      </c>
      <c r="F103" s="11">
        <v>1032</v>
      </c>
      <c r="I103" s="14"/>
      <c r="J103" s="14"/>
      <c r="K103" s="14"/>
    </row>
    <row r="104" spans="2:11" ht="24.75" customHeight="1" x14ac:dyDescent="0.35">
      <c r="B104" s="11">
        <v>76</v>
      </c>
      <c r="C104" s="11" t="s">
        <v>96</v>
      </c>
      <c r="D104" s="11">
        <v>2173</v>
      </c>
      <c r="E104" s="11">
        <v>1002</v>
      </c>
      <c r="F104" s="11">
        <v>1171</v>
      </c>
      <c r="I104" s="14"/>
      <c r="J104" s="14"/>
      <c r="K104" s="14"/>
    </row>
    <row r="105" spans="2:11" ht="24.75" customHeight="1" x14ac:dyDescent="0.35">
      <c r="B105" s="11">
        <v>77</v>
      </c>
      <c r="C105" s="11" t="s">
        <v>97</v>
      </c>
      <c r="D105" s="11">
        <v>808</v>
      </c>
      <c r="E105" s="11">
        <v>416</v>
      </c>
      <c r="F105" s="11">
        <v>392</v>
      </c>
      <c r="I105" s="14"/>
      <c r="J105" s="14"/>
      <c r="K105" s="14"/>
    </row>
    <row r="106" spans="2:11" ht="24.75" customHeight="1" x14ac:dyDescent="0.35">
      <c r="B106" s="11">
        <v>78</v>
      </c>
      <c r="C106" s="11" t="s">
        <v>98</v>
      </c>
      <c r="D106" s="11">
        <v>757</v>
      </c>
      <c r="E106" s="11">
        <v>340</v>
      </c>
      <c r="F106" s="11">
        <v>417</v>
      </c>
      <c r="I106" s="14"/>
      <c r="J106" s="14"/>
      <c r="K106" s="14"/>
    </row>
    <row r="107" spans="2:11" ht="24.75" customHeight="1" x14ac:dyDescent="0.35">
      <c r="B107" s="11">
        <v>79</v>
      </c>
      <c r="C107" s="11" t="s">
        <v>99</v>
      </c>
      <c r="D107" s="11">
        <v>2462</v>
      </c>
      <c r="E107" s="11">
        <v>1096</v>
      </c>
      <c r="F107" s="11">
        <v>1366</v>
      </c>
      <c r="I107" s="14"/>
      <c r="J107" s="14"/>
      <c r="K107" s="14"/>
    </row>
    <row r="108" spans="2:11" ht="24.75" customHeight="1" x14ac:dyDescent="0.35">
      <c r="B108" s="11">
        <v>80</v>
      </c>
      <c r="C108" s="11" t="s">
        <v>100</v>
      </c>
      <c r="D108" s="11">
        <v>1105</v>
      </c>
      <c r="E108" s="11">
        <v>518</v>
      </c>
      <c r="F108" s="11">
        <v>587</v>
      </c>
      <c r="I108" s="14"/>
      <c r="J108" s="14"/>
      <c r="K108" s="14"/>
    </row>
    <row r="109" spans="2:11" ht="24.75" customHeight="1" x14ac:dyDescent="0.35">
      <c r="B109" s="12">
        <v>81</v>
      </c>
      <c r="C109" s="12" t="s">
        <v>101</v>
      </c>
      <c r="D109" s="12">
        <v>1810</v>
      </c>
      <c r="E109" s="12">
        <v>816</v>
      </c>
      <c r="F109" s="12">
        <v>994</v>
      </c>
      <c r="I109" s="14"/>
      <c r="J109" s="14"/>
      <c r="K109" s="14"/>
    </row>
  </sheetData>
  <mergeCells count="5">
    <mergeCell ref="B1:F1"/>
    <mergeCell ref="F2:F3"/>
    <mergeCell ref="B5:B6"/>
    <mergeCell ref="C5:C6"/>
    <mergeCell ref="D5:F5"/>
  </mergeCells>
  <hyperlinks>
    <hyperlink ref="B1:F1" location="'List of Township'!A1" display="Sagaing  Region, Sagaing District, Sagaing Township"/>
  </hyperlinks>
  <pageMargins left="0.75" right="0.5" top="0.5" bottom="0.2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workbookViewId="0">
      <selection sqref="A1:E1"/>
    </sheetView>
  </sheetViews>
  <sheetFormatPr defaultRowHeight="24.75" customHeight="1" x14ac:dyDescent="0.25"/>
  <cols>
    <col min="1" max="1" width="6.42578125" customWidth="1"/>
    <col min="2" max="2" width="30.85546875" customWidth="1"/>
    <col min="3" max="5" width="15.7109375" customWidth="1"/>
  </cols>
  <sheetData>
    <row r="1" spans="1:10" ht="24.75" customHeight="1" x14ac:dyDescent="0.25">
      <c r="A1" s="67" t="s">
        <v>1727</v>
      </c>
      <c r="B1" s="67"/>
      <c r="C1" s="67"/>
      <c r="D1" s="67"/>
      <c r="E1" s="67"/>
    </row>
    <row r="2" spans="1:10" ht="24.75" customHeight="1" x14ac:dyDescent="0.4">
      <c r="A2" s="2"/>
      <c r="B2" s="7"/>
      <c r="C2" s="7"/>
      <c r="D2" s="7"/>
      <c r="E2" s="56" t="s">
        <v>1722</v>
      </c>
    </row>
    <row r="3" spans="1:10" ht="24.75" customHeight="1" x14ac:dyDescent="0.4">
      <c r="A3" s="2"/>
      <c r="B3" s="7"/>
      <c r="C3" s="7"/>
      <c r="D3" s="7"/>
      <c r="E3" s="56"/>
    </row>
    <row r="4" spans="1:10" ht="10.5" customHeight="1" x14ac:dyDescent="0.4">
      <c r="A4" s="2"/>
      <c r="B4" s="7"/>
      <c r="C4" s="7"/>
      <c r="D4" s="7"/>
      <c r="E4" s="7"/>
    </row>
    <row r="5" spans="1:10" ht="24.75" customHeight="1" x14ac:dyDescent="0.25">
      <c r="A5" s="57" t="s">
        <v>1723</v>
      </c>
      <c r="B5" s="57" t="s">
        <v>1775</v>
      </c>
      <c r="C5" s="59" t="s">
        <v>1724</v>
      </c>
      <c r="D5" s="60"/>
      <c r="E5" s="61"/>
    </row>
    <row r="6" spans="1:10" ht="24.75" customHeight="1" x14ac:dyDescent="0.25">
      <c r="A6" s="58"/>
      <c r="B6" s="58"/>
      <c r="C6" s="8" t="s">
        <v>0</v>
      </c>
      <c r="D6" s="8" t="s">
        <v>1</v>
      </c>
      <c r="E6" s="8" t="s">
        <v>2</v>
      </c>
    </row>
    <row r="7" spans="1:10" ht="24.75" customHeight="1" x14ac:dyDescent="0.25">
      <c r="A7" s="9"/>
      <c r="B7" s="9" t="s">
        <v>1772</v>
      </c>
      <c r="C7" s="9">
        <f>C9+C14</f>
        <v>106986</v>
      </c>
      <c r="D7" s="9">
        <f t="shared" ref="D7:E7" si="0">D9+D14</f>
        <v>48949</v>
      </c>
      <c r="E7" s="9">
        <f t="shared" si="0"/>
        <v>58037</v>
      </c>
      <c r="H7" s="15"/>
      <c r="I7" s="15"/>
      <c r="J7" s="15"/>
    </row>
    <row r="8" spans="1:10" ht="10.5" customHeight="1" x14ac:dyDescent="0.25">
      <c r="A8" s="10"/>
      <c r="B8" s="11"/>
      <c r="C8" s="11"/>
      <c r="D8" s="11"/>
      <c r="E8" s="11"/>
      <c r="H8" s="15"/>
      <c r="I8" s="15"/>
      <c r="J8" s="15"/>
    </row>
    <row r="9" spans="1:10" ht="15.75" x14ac:dyDescent="0.25">
      <c r="A9" s="10"/>
      <c r="B9" s="10" t="s">
        <v>1725</v>
      </c>
      <c r="C9" s="10">
        <f>SUM(C10:C13)</f>
        <v>16558</v>
      </c>
      <c r="D9" s="10">
        <f t="shared" ref="D9:E9" si="1">SUM(D10:D13)</f>
        <v>7719</v>
      </c>
      <c r="E9" s="10">
        <f t="shared" si="1"/>
        <v>8839</v>
      </c>
      <c r="H9" s="15"/>
      <c r="I9" s="15"/>
      <c r="J9" s="15"/>
    </row>
    <row r="10" spans="1:10" ht="21.95" customHeight="1" x14ac:dyDescent="0.25">
      <c r="A10" s="11">
        <v>1</v>
      </c>
      <c r="B10" s="11" t="s">
        <v>102</v>
      </c>
      <c r="C10" s="11">
        <v>7220</v>
      </c>
      <c r="D10" s="11">
        <v>3368</v>
      </c>
      <c r="E10" s="11">
        <v>3852</v>
      </c>
      <c r="H10" s="15"/>
      <c r="I10" s="15"/>
      <c r="J10" s="15"/>
    </row>
    <row r="11" spans="1:10" ht="21.95" customHeight="1" x14ac:dyDescent="0.25">
      <c r="A11" s="11">
        <v>2</v>
      </c>
      <c r="B11" s="11" t="s">
        <v>103</v>
      </c>
      <c r="C11" s="11">
        <v>3146</v>
      </c>
      <c r="D11" s="11">
        <v>1466</v>
      </c>
      <c r="E11" s="11">
        <v>1680</v>
      </c>
      <c r="H11" s="15"/>
      <c r="I11" s="15"/>
      <c r="J11" s="15"/>
    </row>
    <row r="12" spans="1:10" ht="21.95" customHeight="1" x14ac:dyDescent="0.25">
      <c r="A12" s="11">
        <v>3</v>
      </c>
      <c r="B12" s="11" t="s">
        <v>104</v>
      </c>
      <c r="C12" s="11">
        <v>3080</v>
      </c>
      <c r="D12" s="11">
        <v>1416</v>
      </c>
      <c r="E12" s="11">
        <v>1664</v>
      </c>
      <c r="H12" s="15"/>
      <c r="I12" s="15"/>
      <c r="J12" s="15"/>
    </row>
    <row r="13" spans="1:10" ht="21.95" customHeight="1" x14ac:dyDescent="0.25">
      <c r="A13" s="11">
        <v>4</v>
      </c>
      <c r="B13" s="11" t="s">
        <v>105</v>
      </c>
      <c r="C13" s="11">
        <v>3112</v>
      </c>
      <c r="D13" s="11">
        <v>1469</v>
      </c>
      <c r="E13" s="11">
        <v>1643</v>
      </c>
      <c r="H13" s="15"/>
      <c r="I13" s="15"/>
      <c r="J13" s="15"/>
    </row>
    <row r="14" spans="1:10" ht="21.95" customHeight="1" x14ac:dyDescent="0.25">
      <c r="A14" s="11"/>
      <c r="B14" s="10" t="s">
        <v>1773</v>
      </c>
      <c r="C14" s="10">
        <f>SUM(C15:C62)</f>
        <v>90428</v>
      </c>
      <c r="D14" s="10">
        <f t="shared" ref="D14:E14" si="2">SUM(D15:D62)</f>
        <v>41230</v>
      </c>
      <c r="E14" s="10">
        <f t="shared" si="2"/>
        <v>49198</v>
      </c>
      <c r="H14" s="15"/>
      <c r="I14" s="15"/>
      <c r="J14" s="15"/>
    </row>
    <row r="15" spans="1:10" ht="21.95" customHeight="1" x14ac:dyDescent="0.25">
      <c r="A15" s="11">
        <v>1</v>
      </c>
      <c r="B15" s="11" t="s">
        <v>106</v>
      </c>
      <c r="C15" s="11">
        <v>3460</v>
      </c>
      <c r="D15" s="11">
        <v>1477</v>
      </c>
      <c r="E15" s="11">
        <v>1983</v>
      </c>
      <c r="H15" s="15"/>
      <c r="I15" s="15"/>
      <c r="J15" s="15"/>
    </row>
    <row r="16" spans="1:10" ht="21.95" customHeight="1" x14ac:dyDescent="0.25">
      <c r="A16" s="11">
        <v>2</v>
      </c>
      <c r="B16" s="11" t="s">
        <v>107</v>
      </c>
      <c r="C16" s="11">
        <v>1744</v>
      </c>
      <c r="D16" s="11">
        <v>803</v>
      </c>
      <c r="E16" s="11">
        <v>941</v>
      </c>
      <c r="H16" s="15"/>
      <c r="I16" s="15"/>
      <c r="J16" s="15"/>
    </row>
    <row r="17" spans="1:10" ht="21.95" customHeight="1" x14ac:dyDescent="0.25">
      <c r="A17" s="11">
        <v>3</v>
      </c>
      <c r="B17" s="11" t="s">
        <v>108</v>
      </c>
      <c r="C17" s="11">
        <v>2550</v>
      </c>
      <c r="D17" s="11">
        <v>1151</v>
      </c>
      <c r="E17" s="11">
        <v>1399</v>
      </c>
      <c r="H17" s="15"/>
      <c r="I17" s="15"/>
      <c r="J17" s="15"/>
    </row>
    <row r="18" spans="1:10" ht="21.95" customHeight="1" x14ac:dyDescent="0.25">
      <c r="A18" s="11">
        <v>4</v>
      </c>
      <c r="B18" s="11" t="s">
        <v>109</v>
      </c>
      <c r="C18" s="11">
        <v>2201</v>
      </c>
      <c r="D18" s="11">
        <v>985</v>
      </c>
      <c r="E18" s="11">
        <v>1216</v>
      </c>
      <c r="H18" s="15"/>
      <c r="I18" s="15"/>
      <c r="J18" s="15"/>
    </row>
    <row r="19" spans="1:10" ht="21.95" customHeight="1" x14ac:dyDescent="0.25">
      <c r="A19" s="11">
        <v>5</v>
      </c>
      <c r="B19" s="11" t="s">
        <v>110</v>
      </c>
      <c r="C19" s="11">
        <v>2011</v>
      </c>
      <c r="D19" s="11">
        <v>946</v>
      </c>
      <c r="E19" s="11">
        <v>1065</v>
      </c>
      <c r="H19" s="15"/>
      <c r="I19" s="15"/>
      <c r="J19" s="15"/>
    </row>
    <row r="20" spans="1:10" ht="21.95" customHeight="1" x14ac:dyDescent="0.25">
      <c r="A20" s="11">
        <v>6</v>
      </c>
      <c r="B20" s="11" t="s">
        <v>111</v>
      </c>
      <c r="C20" s="11">
        <v>1321</v>
      </c>
      <c r="D20" s="11">
        <v>610</v>
      </c>
      <c r="E20" s="11">
        <v>711</v>
      </c>
      <c r="H20" s="15"/>
      <c r="I20" s="15"/>
      <c r="J20" s="15"/>
    </row>
    <row r="21" spans="1:10" ht="21.95" customHeight="1" x14ac:dyDescent="0.25">
      <c r="A21" s="11">
        <v>7</v>
      </c>
      <c r="B21" s="11" t="s">
        <v>112</v>
      </c>
      <c r="C21" s="11">
        <v>1177</v>
      </c>
      <c r="D21" s="11">
        <v>555</v>
      </c>
      <c r="E21" s="11">
        <v>622</v>
      </c>
      <c r="H21" s="15"/>
      <c r="I21" s="15"/>
      <c r="J21" s="15"/>
    </row>
    <row r="22" spans="1:10" ht="21.95" customHeight="1" x14ac:dyDescent="0.25">
      <c r="A22" s="11">
        <v>8</v>
      </c>
      <c r="B22" s="11" t="s">
        <v>113</v>
      </c>
      <c r="C22" s="11">
        <v>951</v>
      </c>
      <c r="D22" s="11">
        <v>428</v>
      </c>
      <c r="E22" s="11">
        <v>523</v>
      </c>
      <c r="H22" s="15"/>
      <c r="I22" s="15"/>
      <c r="J22" s="15"/>
    </row>
    <row r="23" spans="1:10" ht="21.95" customHeight="1" x14ac:dyDescent="0.25">
      <c r="A23" s="11">
        <v>9</v>
      </c>
      <c r="B23" s="11" t="s">
        <v>114</v>
      </c>
      <c r="C23" s="11">
        <v>2359</v>
      </c>
      <c r="D23" s="11">
        <v>1028</v>
      </c>
      <c r="E23" s="11">
        <v>1331</v>
      </c>
      <c r="H23" s="15"/>
      <c r="I23" s="15"/>
      <c r="J23" s="15"/>
    </row>
    <row r="24" spans="1:10" ht="21.95" customHeight="1" x14ac:dyDescent="0.25">
      <c r="A24" s="11">
        <v>10</v>
      </c>
      <c r="B24" s="11" t="s">
        <v>115</v>
      </c>
      <c r="C24" s="11">
        <v>808</v>
      </c>
      <c r="D24" s="11">
        <v>381</v>
      </c>
      <c r="E24" s="11">
        <v>427</v>
      </c>
      <c r="H24" s="15"/>
      <c r="I24" s="15"/>
      <c r="J24" s="15"/>
    </row>
    <row r="25" spans="1:10" ht="21.95" customHeight="1" x14ac:dyDescent="0.25">
      <c r="A25" s="11">
        <v>11</v>
      </c>
      <c r="B25" s="11" t="s">
        <v>116</v>
      </c>
      <c r="C25" s="11">
        <v>1298</v>
      </c>
      <c r="D25" s="11">
        <v>565</v>
      </c>
      <c r="E25" s="11">
        <v>733</v>
      </c>
      <c r="H25" s="15"/>
      <c r="I25" s="15"/>
      <c r="J25" s="15"/>
    </row>
    <row r="26" spans="1:10" ht="21.95" customHeight="1" x14ac:dyDescent="0.25">
      <c r="A26" s="11">
        <v>12</v>
      </c>
      <c r="B26" s="11" t="s">
        <v>117</v>
      </c>
      <c r="C26" s="11">
        <v>6546</v>
      </c>
      <c r="D26" s="11">
        <v>2946</v>
      </c>
      <c r="E26" s="11">
        <v>3600</v>
      </c>
      <c r="H26" s="15"/>
      <c r="I26" s="15"/>
      <c r="J26" s="15"/>
    </row>
    <row r="27" spans="1:10" ht="21.95" customHeight="1" x14ac:dyDescent="0.25">
      <c r="A27" s="11">
        <v>13</v>
      </c>
      <c r="B27" s="11" t="s">
        <v>118</v>
      </c>
      <c r="C27" s="11">
        <v>1626</v>
      </c>
      <c r="D27" s="11">
        <v>717</v>
      </c>
      <c r="E27" s="11">
        <v>909</v>
      </c>
      <c r="H27" s="15"/>
      <c r="I27" s="15"/>
      <c r="J27" s="15"/>
    </row>
    <row r="28" spans="1:10" ht="21.95" customHeight="1" x14ac:dyDescent="0.25">
      <c r="A28" s="11">
        <v>14</v>
      </c>
      <c r="B28" s="11" t="s">
        <v>119</v>
      </c>
      <c r="C28" s="11">
        <v>1149</v>
      </c>
      <c r="D28" s="11">
        <v>529</v>
      </c>
      <c r="E28" s="11">
        <v>620</v>
      </c>
      <c r="H28" s="15"/>
      <c r="I28" s="15"/>
      <c r="J28" s="15"/>
    </row>
    <row r="29" spans="1:10" ht="21.95" customHeight="1" x14ac:dyDescent="0.25">
      <c r="A29" s="11">
        <v>15</v>
      </c>
      <c r="B29" s="11" t="s">
        <v>120</v>
      </c>
      <c r="C29" s="11">
        <v>3233</v>
      </c>
      <c r="D29" s="11">
        <v>1486</v>
      </c>
      <c r="E29" s="11">
        <v>1747</v>
      </c>
      <c r="H29" s="15"/>
      <c r="I29" s="15"/>
      <c r="J29" s="15"/>
    </row>
    <row r="30" spans="1:10" ht="21.95" customHeight="1" x14ac:dyDescent="0.25">
      <c r="A30" s="11">
        <v>16</v>
      </c>
      <c r="B30" s="11" t="s">
        <v>121</v>
      </c>
      <c r="C30" s="11">
        <v>4969</v>
      </c>
      <c r="D30" s="11">
        <v>2284</v>
      </c>
      <c r="E30" s="11">
        <v>2685</v>
      </c>
      <c r="H30" s="15"/>
      <c r="I30" s="15"/>
      <c r="J30" s="15"/>
    </row>
    <row r="31" spans="1:10" ht="21.95" customHeight="1" x14ac:dyDescent="0.25">
      <c r="A31" s="11">
        <v>17</v>
      </c>
      <c r="B31" s="11" t="s">
        <v>122</v>
      </c>
      <c r="C31" s="11">
        <v>2056</v>
      </c>
      <c r="D31" s="11">
        <v>924</v>
      </c>
      <c r="E31" s="11">
        <v>1132</v>
      </c>
      <c r="H31" s="15"/>
      <c r="I31" s="15"/>
      <c r="J31" s="15"/>
    </row>
    <row r="32" spans="1:10" ht="21.95" customHeight="1" x14ac:dyDescent="0.25">
      <c r="A32" s="11">
        <v>18</v>
      </c>
      <c r="B32" s="11" t="s">
        <v>123</v>
      </c>
      <c r="C32" s="11">
        <v>1455</v>
      </c>
      <c r="D32" s="11">
        <v>670</v>
      </c>
      <c r="E32" s="11">
        <v>785</v>
      </c>
      <c r="H32" s="15"/>
      <c r="I32" s="15"/>
      <c r="J32" s="15"/>
    </row>
    <row r="33" spans="1:10" ht="21.95" customHeight="1" x14ac:dyDescent="0.25">
      <c r="A33" s="11">
        <v>19</v>
      </c>
      <c r="B33" s="11" t="s">
        <v>124</v>
      </c>
      <c r="C33" s="11">
        <v>1210</v>
      </c>
      <c r="D33" s="11">
        <v>542</v>
      </c>
      <c r="E33" s="11">
        <v>668</v>
      </c>
      <c r="H33" s="15"/>
      <c r="I33" s="15"/>
      <c r="J33" s="15"/>
    </row>
    <row r="34" spans="1:10" ht="21.95" customHeight="1" x14ac:dyDescent="0.25">
      <c r="A34" s="11">
        <v>20</v>
      </c>
      <c r="B34" s="11" t="s">
        <v>125</v>
      </c>
      <c r="C34" s="11">
        <v>934</v>
      </c>
      <c r="D34" s="11">
        <v>448</v>
      </c>
      <c r="E34" s="11">
        <v>486</v>
      </c>
      <c r="H34" s="15"/>
      <c r="I34" s="15"/>
      <c r="J34" s="15"/>
    </row>
    <row r="35" spans="1:10" ht="21.95" customHeight="1" x14ac:dyDescent="0.25">
      <c r="A35" s="11">
        <v>21</v>
      </c>
      <c r="B35" s="11" t="s">
        <v>126</v>
      </c>
      <c r="C35" s="11">
        <v>1160</v>
      </c>
      <c r="D35" s="11">
        <v>534</v>
      </c>
      <c r="E35" s="11">
        <v>626</v>
      </c>
      <c r="H35" s="15"/>
      <c r="I35" s="15"/>
      <c r="J35" s="15"/>
    </row>
    <row r="36" spans="1:10" ht="21.95" customHeight="1" x14ac:dyDescent="0.25">
      <c r="A36" s="11">
        <v>22</v>
      </c>
      <c r="B36" s="11" t="s">
        <v>127</v>
      </c>
      <c r="C36" s="11">
        <v>1395</v>
      </c>
      <c r="D36" s="11">
        <v>588</v>
      </c>
      <c r="E36" s="11">
        <v>807</v>
      </c>
      <c r="H36" s="15"/>
      <c r="I36" s="15"/>
      <c r="J36" s="15"/>
    </row>
    <row r="37" spans="1:10" ht="21.95" customHeight="1" x14ac:dyDescent="0.25">
      <c r="A37" s="11">
        <v>23</v>
      </c>
      <c r="B37" s="11" t="s">
        <v>128</v>
      </c>
      <c r="C37" s="11">
        <v>1598</v>
      </c>
      <c r="D37" s="11">
        <v>770</v>
      </c>
      <c r="E37" s="11">
        <v>828</v>
      </c>
      <c r="H37" s="15"/>
      <c r="I37" s="15"/>
      <c r="J37" s="15"/>
    </row>
    <row r="38" spans="1:10" ht="21.95" customHeight="1" x14ac:dyDescent="0.25">
      <c r="A38" s="11">
        <v>24</v>
      </c>
      <c r="B38" s="11" t="s">
        <v>129</v>
      </c>
      <c r="C38" s="11">
        <v>1787</v>
      </c>
      <c r="D38" s="11">
        <v>788</v>
      </c>
      <c r="E38" s="11">
        <v>999</v>
      </c>
      <c r="H38" s="15"/>
      <c r="I38" s="15"/>
      <c r="J38" s="15"/>
    </row>
    <row r="39" spans="1:10" ht="21.95" customHeight="1" x14ac:dyDescent="0.25">
      <c r="A39" s="11">
        <v>25</v>
      </c>
      <c r="B39" s="11" t="s">
        <v>130</v>
      </c>
      <c r="C39" s="11">
        <v>4381</v>
      </c>
      <c r="D39" s="11">
        <v>2050</v>
      </c>
      <c r="E39" s="11">
        <v>2331</v>
      </c>
      <c r="H39" s="15"/>
      <c r="I39" s="15"/>
      <c r="J39" s="15"/>
    </row>
    <row r="40" spans="1:10" ht="21.95" customHeight="1" x14ac:dyDescent="0.25">
      <c r="A40" s="11">
        <v>26</v>
      </c>
      <c r="B40" s="11" t="s">
        <v>131</v>
      </c>
      <c r="C40" s="11">
        <v>1920</v>
      </c>
      <c r="D40" s="11">
        <v>907</v>
      </c>
      <c r="E40" s="11">
        <v>1013</v>
      </c>
      <c r="H40" s="15"/>
      <c r="I40" s="15"/>
      <c r="J40" s="15"/>
    </row>
    <row r="41" spans="1:10" ht="21.95" customHeight="1" x14ac:dyDescent="0.25">
      <c r="A41" s="11">
        <v>27</v>
      </c>
      <c r="B41" s="11" t="s">
        <v>132</v>
      </c>
      <c r="C41" s="11">
        <v>1218</v>
      </c>
      <c r="D41" s="11">
        <v>578</v>
      </c>
      <c r="E41" s="11">
        <v>640</v>
      </c>
      <c r="H41" s="15"/>
      <c r="I41" s="15"/>
      <c r="J41" s="15"/>
    </row>
    <row r="42" spans="1:10" ht="21.95" customHeight="1" x14ac:dyDescent="0.25">
      <c r="A42" s="11">
        <v>28</v>
      </c>
      <c r="B42" s="11" t="s">
        <v>133</v>
      </c>
      <c r="C42" s="11">
        <v>2695</v>
      </c>
      <c r="D42" s="11">
        <v>1263</v>
      </c>
      <c r="E42" s="11">
        <v>1432</v>
      </c>
      <c r="H42" s="15"/>
      <c r="I42" s="15"/>
      <c r="J42" s="15"/>
    </row>
    <row r="43" spans="1:10" ht="21.95" customHeight="1" x14ac:dyDescent="0.25">
      <c r="A43" s="11">
        <v>29</v>
      </c>
      <c r="B43" s="11" t="s">
        <v>134</v>
      </c>
      <c r="C43" s="11">
        <v>1655</v>
      </c>
      <c r="D43" s="11">
        <v>787</v>
      </c>
      <c r="E43" s="11">
        <v>868</v>
      </c>
      <c r="H43" s="15"/>
      <c r="I43" s="15"/>
      <c r="J43" s="15"/>
    </row>
    <row r="44" spans="1:10" ht="21.95" customHeight="1" x14ac:dyDescent="0.25">
      <c r="A44" s="11">
        <v>30</v>
      </c>
      <c r="B44" s="11" t="s">
        <v>135</v>
      </c>
      <c r="C44" s="11">
        <v>1338</v>
      </c>
      <c r="D44" s="11">
        <v>614</v>
      </c>
      <c r="E44" s="11">
        <v>724</v>
      </c>
      <c r="H44" s="15"/>
      <c r="I44" s="15"/>
      <c r="J44" s="15"/>
    </row>
    <row r="45" spans="1:10" ht="21.95" customHeight="1" x14ac:dyDescent="0.25">
      <c r="A45" s="11">
        <v>31</v>
      </c>
      <c r="B45" s="11" t="s">
        <v>136</v>
      </c>
      <c r="C45" s="11">
        <v>906</v>
      </c>
      <c r="D45" s="11">
        <v>411</v>
      </c>
      <c r="E45" s="11">
        <v>495</v>
      </c>
      <c r="H45" s="15"/>
      <c r="I45" s="15"/>
      <c r="J45" s="15"/>
    </row>
    <row r="46" spans="1:10" ht="21.95" customHeight="1" x14ac:dyDescent="0.25">
      <c r="A46" s="11">
        <v>32</v>
      </c>
      <c r="B46" s="11" t="s">
        <v>137</v>
      </c>
      <c r="C46" s="11">
        <v>1910</v>
      </c>
      <c r="D46" s="11">
        <v>935</v>
      </c>
      <c r="E46" s="11">
        <v>975</v>
      </c>
      <c r="H46" s="15"/>
      <c r="I46" s="15"/>
      <c r="J46" s="15"/>
    </row>
    <row r="47" spans="1:10" ht="21.95" customHeight="1" x14ac:dyDescent="0.25">
      <c r="A47" s="11">
        <v>33</v>
      </c>
      <c r="B47" s="11" t="s">
        <v>138</v>
      </c>
      <c r="C47" s="11">
        <v>1012</v>
      </c>
      <c r="D47" s="11">
        <v>474</v>
      </c>
      <c r="E47" s="11">
        <v>538</v>
      </c>
      <c r="H47" s="15"/>
      <c r="I47" s="15"/>
      <c r="J47" s="15"/>
    </row>
    <row r="48" spans="1:10" ht="21.95" customHeight="1" x14ac:dyDescent="0.25">
      <c r="A48" s="11">
        <v>34</v>
      </c>
      <c r="B48" s="11" t="s">
        <v>139</v>
      </c>
      <c r="C48" s="11">
        <v>1329</v>
      </c>
      <c r="D48" s="11">
        <v>610</v>
      </c>
      <c r="E48" s="11">
        <v>719</v>
      </c>
      <c r="H48" s="15"/>
      <c r="I48" s="15"/>
      <c r="J48" s="15"/>
    </row>
    <row r="49" spans="1:10" ht="21.95" customHeight="1" x14ac:dyDescent="0.25">
      <c r="A49" s="11">
        <v>35</v>
      </c>
      <c r="B49" s="11" t="s">
        <v>140</v>
      </c>
      <c r="C49" s="11">
        <v>2859</v>
      </c>
      <c r="D49" s="11">
        <v>1311</v>
      </c>
      <c r="E49" s="11">
        <v>1548</v>
      </c>
      <c r="H49" s="15"/>
      <c r="I49" s="15"/>
      <c r="J49" s="15"/>
    </row>
    <row r="50" spans="1:10" ht="21.95" customHeight="1" x14ac:dyDescent="0.25">
      <c r="A50" s="11">
        <v>36</v>
      </c>
      <c r="B50" s="11" t="s">
        <v>141</v>
      </c>
      <c r="C50" s="11">
        <v>1146</v>
      </c>
      <c r="D50" s="11">
        <v>509</v>
      </c>
      <c r="E50" s="11">
        <v>637</v>
      </c>
      <c r="H50" s="15"/>
      <c r="I50" s="15"/>
      <c r="J50" s="15"/>
    </row>
    <row r="51" spans="1:10" ht="21.95" customHeight="1" x14ac:dyDescent="0.25">
      <c r="A51" s="11">
        <v>37</v>
      </c>
      <c r="B51" s="11" t="s">
        <v>142</v>
      </c>
      <c r="C51" s="11">
        <v>1071</v>
      </c>
      <c r="D51" s="11">
        <v>520</v>
      </c>
      <c r="E51" s="11">
        <v>551</v>
      </c>
      <c r="H51" s="15"/>
      <c r="I51" s="15"/>
      <c r="J51" s="15"/>
    </row>
    <row r="52" spans="1:10" ht="21.95" customHeight="1" x14ac:dyDescent="0.25">
      <c r="A52" s="11">
        <v>38</v>
      </c>
      <c r="B52" s="11" t="s">
        <v>143</v>
      </c>
      <c r="C52" s="11">
        <v>1762</v>
      </c>
      <c r="D52" s="11">
        <v>746</v>
      </c>
      <c r="E52" s="11">
        <v>1016</v>
      </c>
      <c r="H52" s="15"/>
      <c r="I52" s="15"/>
      <c r="J52" s="15"/>
    </row>
    <row r="53" spans="1:10" ht="21.95" customHeight="1" x14ac:dyDescent="0.25">
      <c r="A53" s="11">
        <v>39</v>
      </c>
      <c r="B53" s="11" t="s">
        <v>144</v>
      </c>
      <c r="C53" s="11">
        <v>1588</v>
      </c>
      <c r="D53" s="11">
        <v>728</v>
      </c>
      <c r="E53" s="11">
        <v>860</v>
      </c>
      <c r="H53" s="15"/>
      <c r="I53" s="15"/>
      <c r="J53" s="15"/>
    </row>
    <row r="54" spans="1:10" ht="21.95" customHeight="1" x14ac:dyDescent="0.25">
      <c r="A54" s="11">
        <v>40</v>
      </c>
      <c r="B54" s="11" t="s">
        <v>145</v>
      </c>
      <c r="C54" s="11">
        <v>2575</v>
      </c>
      <c r="D54" s="11">
        <v>1184</v>
      </c>
      <c r="E54" s="11">
        <v>1391</v>
      </c>
      <c r="H54" s="15"/>
      <c r="I54" s="15"/>
      <c r="J54" s="15"/>
    </row>
    <row r="55" spans="1:10" ht="21.95" customHeight="1" x14ac:dyDescent="0.25">
      <c r="A55" s="11">
        <v>41</v>
      </c>
      <c r="B55" s="11" t="s">
        <v>146</v>
      </c>
      <c r="C55" s="11">
        <v>2572</v>
      </c>
      <c r="D55" s="11">
        <v>1136</v>
      </c>
      <c r="E55" s="11">
        <v>1436</v>
      </c>
      <c r="H55" s="15"/>
      <c r="I55" s="15"/>
      <c r="J55" s="15"/>
    </row>
    <row r="56" spans="1:10" ht="21.95" customHeight="1" x14ac:dyDescent="0.25">
      <c r="A56" s="11">
        <v>42</v>
      </c>
      <c r="B56" s="11" t="s">
        <v>147</v>
      </c>
      <c r="C56" s="11">
        <v>2371</v>
      </c>
      <c r="D56" s="11">
        <v>1135</v>
      </c>
      <c r="E56" s="11">
        <v>1236</v>
      </c>
      <c r="H56" s="15"/>
      <c r="I56" s="15"/>
      <c r="J56" s="15"/>
    </row>
    <row r="57" spans="1:10" ht="21.95" customHeight="1" x14ac:dyDescent="0.25">
      <c r="A57" s="11">
        <v>43</v>
      </c>
      <c r="B57" s="11" t="s">
        <v>148</v>
      </c>
      <c r="C57" s="11">
        <v>1125</v>
      </c>
      <c r="D57" s="11">
        <v>532</v>
      </c>
      <c r="E57" s="11">
        <v>593</v>
      </c>
      <c r="H57" s="15"/>
      <c r="I57" s="15"/>
      <c r="J57" s="15"/>
    </row>
    <row r="58" spans="1:10" ht="21.95" customHeight="1" x14ac:dyDescent="0.25">
      <c r="A58" s="11">
        <v>44</v>
      </c>
      <c r="B58" s="11" t="s">
        <v>149</v>
      </c>
      <c r="C58" s="11">
        <v>1184</v>
      </c>
      <c r="D58" s="11">
        <v>554</v>
      </c>
      <c r="E58" s="11">
        <v>630</v>
      </c>
      <c r="H58" s="15"/>
      <c r="I58" s="15"/>
      <c r="J58" s="15"/>
    </row>
    <row r="59" spans="1:10" ht="21.95" customHeight="1" x14ac:dyDescent="0.25">
      <c r="A59" s="11">
        <v>45</v>
      </c>
      <c r="B59" s="11" t="s">
        <v>96</v>
      </c>
      <c r="C59" s="11">
        <v>1381</v>
      </c>
      <c r="D59" s="11">
        <v>571</v>
      </c>
      <c r="E59" s="11">
        <v>810</v>
      </c>
      <c r="H59" s="15"/>
      <c r="I59" s="15"/>
      <c r="J59" s="15"/>
    </row>
    <row r="60" spans="1:10" ht="21.95" customHeight="1" x14ac:dyDescent="0.25">
      <c r="A60" s="11">
        <v>46</v>
      </c>
      <c r="B60" s="11" t="s">
        <v>150</v>
      </c>
      <c r="C60" s="11">
        <v>596</v>
      </c>
      <c r="D60" s="11">
        <v>261</v>
      </c>
      <c r="E60" s="11">
        <v>335</v>
      </c>
      <c r="H60" s="15"/>
      <c r="I60" s="15"/>
      <c r="J60" s="15"/>
    </row>
    <row r="61" spans="1:10" ht="21.95" customHeight="1" x14ac:dyDescent="0.25">
      <c r="A61" s="11">
        <v>47</v>
      </c>
      <c r="B61" s="11" t="s">
        <v>151</v>
      </c>
      <c r="C61" s="11">
        <v>1955</v>
      </c>
      <c r="D61" s="11">
        <v>860</v>
      </c>
      <c r="E61" s="11">
        <v>1095</v>
      </c>
      <c r="H61" s="15"/>
      <c r="I61" s="15"/>
      <c r="J61" s="15"/>
    </row>
    <row r="62" spans="1:10" ht="21.95" customHeight="1" x14ac:dyDescent="0.25">
      <c r="A62" s="11">
        <v>48</v>
      </c>
      <c r="B62" s="17" t="s">
        <v>152</v>
      </c>
      <c r="C62" s="17">
        <v>881</v>
      </c>
      <c r="D62" s="17">
        <v>399</v>
      </c>
      <c r="E62" s="17">
        <v>482</v>
      </c>
      <c r="H62" s="15"/>
      <c r="I62" s="15"/>
      <c r="J62" s="15"/>
    </row>
    <row r="63" spans="1:10" s="19" customFormat="1" ht="24.75" customHeight="1" x14ac:dyDescent="0.25">
      <c r="A63" s="18"/>
      <c r="B63" s="18"/>
      <c r="C63" s="18"/>
      <c r="D63" s="18"/>
      <c r="E63" s="18"/>
    </row>
    <row r="64" spans="1:10" s="21" customFormat="1" ht="24.75" customHeight="1" x14ac:dyDescent="0.25">
      <c r="A64" s="20"/>
      <c r="B64" s="20"/>
      <c r="C64" s="20"/>
      <c r="D64" s="20"/>
      <c r="E64" s="20"/>
    </row>
    <row r="65" spans="1:5" s="21" customFormat="1" ht="24.75" customHeight="1" x14ac:dyDescent="0.25">
      <c r="A65" s="20"/>
      <c r="B65" s="20"/>
      <c r="C65" s="20"/>
      <c r="D65" s="20"/>
      <c r="E65" s="20"/>
    </row>
    <row r="66" spans="1:5" s="21" customFormat="1" ht="24.75" customHeight="1" x14ac:dyDescent="0.25">
      <c r="A66" s="20"/>
      <c r="B66" s="20"/>
      <c r="C66" s="20"/>
      <c r="D66" s="20"/>
      <c r="E66" s="20"/>
    </row>
    <row r="67" spans="1:5" s="21" customFormat="1" ht="24.75" customHeight="1" x14ac:dyDescent="0.25">
      <c r="A67" s="20"/>
      <c r="B67" s="20"/>
      <c r="C67" s="20"/>
      <c r="D67" s="20"/>
      <c r="E67" s="20"/>
    </row>
    <row r="68" spans="1:5" s="21" customFormat="1" ht="24.75" customHeight="1" x14ac:dyDescent="0.25">
      <c r="A68" s="20"/>
      <c r="B68" s="20"/>
      <c r="C68" s="20"/>
      <c r="D68" s="20"/>
      <c r="E68" s="20"/>
    </row>
    <row r="69" spans="1:5" s="21" customFormat="1" ht="24.75" customHeight="1" x14ac:dyDescent="0.25">
      <c r="A69" s="20"/>
      <c r="B69" s="20"/>
      <c r="C69" s="20"/>
      <c r="D69" s="20"/>
      <c r="E69" s="20"/>
    </row>
    <row r="70" spans="1:5" s="21" customFormat="1" ht="24.75" customHeight="1" x14ac:dyDescent="0.25">
      <c r="A70" s="20"/>
      <c r="B70" s="20"/>
      <c r="C70" s="20"/>
      <c r="D70" s="20"/>
      <c r="E70" s="20"/>
    </row>
    <row r="71" spans="1:5" s="21" customFormat="1" ht="24.75" customHeight="1" x14ac:dyDescent="0.25">
      <c r="A71" s="20"/>
      <c r="B71" s="20"/>
      <c r="C71" s="20"/>
      <c r="D71" s="20"/>
      <c r="E71" s="20"/>
    </row>
    <row r="72" spans="1:5" s="21" customFormat="1" ht="24.75" customHeight="1" x14ac:dyDescent="0.25">
      <c r="A72" s="20"/>
      <c r="B72" s="20"/>
      <c r="C72" s="20"/>
      <c r="D72" s="20"/>
      <c r="E72" s="20"/>
    </row>
    <row r="73" spans="1:5" s="21" customFormat="1" ht="24.75" customHeight="1" x14ac:dyDescent="0.25">
      <c r="A73" s="20"/>
      <c r="B73" s="20"/>
      <c r="C73" s="20"/>
      <c r="D73" s="20"/>
      <c r="E73" s="20"/>
    </row>
    <row r="74" spans="1:5" s="21" customFormat="1" ht="24.75" customHeight="1" x14ac:dyDescent="0.25">
      <c r="A74" s="20"/>
      <c r="B74" s="20"/>
      <c r="C74" s="20"/>
      <c r="D74" s="20"/>
      <c r="E74" s="20"/>
    </row>
    <row r="75" spans="1:5" s="21" customFormat="1" ht="24.75" customHeight="1" x14ac:dyDescent="0.25">
      <c r="A75" s="20"/>
      <c r="B75" s="20"/>
      <c r="C75" s="20"/>
      <c r="D75" s="20"/>
      <c r="E75" s="20"/>
    </row>
    <row r="76" spans="1:5" s="21" customFormat="1" ht="24.75" customHeight="1" x14ac:dyDescent="0.25">
      <c r="A76" s="20"/>
      <c r="B76" s="20"/>
      <c r="C76" s="20"/>
      <c r="D76" s="20"/>
      <c r="E76" s="20"/>
    </row>
    <row r="77" spans="1:5" s="21" customFormat="1" ht="24.75" customHeight="1" x14ac:dyDescent="0.25">
      <c r="A77" s="20"/>
      <c r="B77" s="20"/>
      <c r="C77" s="20"/>
      <c r="D77" s="20"/>
      <c r="E77" s="20"/>
    </row>
    <row r="78" spans="1:5" s="21" customFormat="1" ht="24.75" customHeight="1" x14ac:dyDescent="0.25">
      <c r="A78" s="20"/>
      <c r="B78" s="20"/>
      <c r="C78" s="20"/>
      <c r="D78" s="20"/>
      <c r="E78" s="20"/>
    </row>
    <row r="79" spans="1:5" s="21" customFormat="1" ht="24.75" customHeight="1" x14ac:dyDescent="0.25">
      <c r="A79" s="20"/>
      <c r="B79" s="20"/>
      <c r="C79" s="20"/>
      <c r="D79" s="20"/>
      <c r="E79" s="20"/>
    </row>
    <row r="80" spans="1:5" s="21" customFormat="1" ht="24.75" customHeight="1" x14ac:dyDescent="0.25">
      <c r="A80" s="20"/>
      <c r="B80" s="20"/>
      <c r="C80" s="20"/>
      <c r="D80" s="20"/>
      <c r="E80" s="20"/>
    </row>
    <row r="81" spans="1:5" s="21" customFormat="1" ht="24.75" customHeight="1" x14ac:dyDescent="0.25">
      <c r="A81" s="20"/>
      <c r="B81" s="20"/>
      <c r="C81" s="20"/>
      <c r="D81" s="20"/>
      <c r="E81" s="20"/>
    </row>
    <row r="82" spans="1:5" s="21" customFormat="1" ht="24.75" customHeight="1" x14ac:dyDescent="0.25">
      <c r="A82" s="20"/>
      <c r="B82" s="20"/>
      <c r="C82" s="20"/>
      <c r="D82" s="20"/>
      <c r="E82" s="20"/>
    </row>
    <row r="83" spans="1:5" s="21" customFormat="1" ht="24.75" customHeight="1" x14ac:dyDescent="0.25">
      <c r="A83" s="20"/>
      <c r="B83" s="20"/>
      <c r="C83" s="20"/>
      <c r="D83" s="20"/>
      <c r="E83" s="20"/>
    </row>
    <row r="84" spans="1:5" s="21" customFormat="1" ht="24.75" customHeight="1" x14ac:dyDescent="0.25">
      <c r="A84" s="20"/>
      <c r="B84" s="20"/>
      <c r="C84" s="20"/>
      <c r="D84" s="20"/>
      <c r="E84" s="20"/>
    </row>
    <row r="85" spans="1:5" s="21" customFormat="1" ht="24.75" customHeight="1" x14ac:dyDescent="0.25">
      <c r="A85" s="20"/>
      <c r="B85" s="20"/>
      <c r="C85" s="20"/>
      <c r="D85" s="20"/>
      <c r="E85" s="20"/>
    </row>
    <row r="86" spans="1:5" s="21" customFormat="1" ht="24.75" customHeight="1" x14ac:dyDescent="0.25">
      <c r="A86" s="20"/>
      <c r="B86" s="20"/>
      <c r="C86" s="20"/>
      <c r="D86" s="20"/>
      <c r="E86" s="20"/>
    </row>
    <row r="87" spans="1:5" s="21" customFormat="1" ht="24.75" customHeight="1" x14ac:dyDescent="0.25">
      <c r="A87" s="20"/>
      <c r="B87" s="20"/>
      <c r="C87" s="20"/>
      <c r="D87" s="20"/>
      <c r="E87" s="20"/>
    </row>
    <row r="88" spans="1:5" s="21" customFormat="1" ht="24.75" customHeight="1" x14ac:dyDescent="0.25">
      <c r="A88" s="20"/>
      <c r="B88" s="20"/>
      <c r="C88" s="20"/>
      <c r="D88" s="20"/>
      <c r="E88" s="20"/>
    </row>
    <row r="89" spans="1:5" s="21" customFormat="1" ht="24.75" customHeight="1" x14ac:dyDescent="0.25">
      <c r="A89" s="20"/>
      <c r="B89" s="20"/>
      <c r="C89" s="20"/>
      <c r="D89" s="20"/>
      <c r="E89" s="20"/>
    </row>
    <row r="90" spans="1:5" s="21" customFormat="1" ht="24.75" customHeight="1" x14ac:dyDescent="0.25">
      <c r="A90" s="20"/>
      <c r="B90" s="20"/>
      <c r="C90" s="20"/>
      <c r="D90" s="20"/>
      <c r="E90" s="20"/>
    </row>
    <row r="91" spans="1:5" s="21" customFormat="1" ht="24.75" customHeight="1" x14ac:dyDescent="0.25">
      <c r="A91" s="20"/>
      <c r="B91" s="20"/>
      <c r="C91" s="20"/>
      <c r="D91" s="20"/>
      <c r="E91" s="20"/>
    </row>
    <row r="92" spans="1:5" s="21" customFormat="1" ht="24.75" customHeight="1" x14ac:dyDescent="0.25">
      <c r="A92" s="20"/>
      <c r="B92" s="20"/>
      <c r="C92" s="20"/>
      <c r="D92" s="20"/>
      <c r="E92" s="20"/>
    </row>
    <row r="93" spans="1:5" s="21" customFormat="1" ht="24.75" customHeight="1" x14ac:dyDescent="0.25">
      <c r="A93" s="20"/>
      <c r="B93" s="20"/>
      <c r="C93" s="20"/>
      <c r="D93" s="20"/>
      <c r="E93" s="20"/>
    </row>
    <row r="94" spans="1:5" s="21" customFormat="1" ht="24.75" customHeight="1" x14ac:dyDescent="0.25">
      <c r="A94" s="20"/>
      <c r="B94" s="20"/>
      <c r="C94" s="20"/>
      <c r="D94" s="20"/>
      <c r="E94" s="20"/>
    </row>
    <row r="95" spans="1:5" s="21" customFormat="1" ht="24.75" customHeight="1" x14ac:dyDescent="0.25">
      <c r="A95" s="20"/>
      <c r="B95" s="20"/>
      <c r="C95" s="20"/>
      <c r="D95" s="20"/>
      <c r="E95" s="20"/>
    </row>
    <row r="96" spans="1:5" s="21" customFormat="1" ht="24.75" customHeight="1" x14ac:dyDescent="0.25">
      <c r="A96" s="20"/>
      <c r="B96" s="20"/>
      <c r="C96" s="20"/>
      <c r="D96" s="20"/>
      <c r="E96" s="20"/>
    </row>
    <row r="97" spans="1:5" s="21" customFormat="1" ht="24.75" customHeight="1" x14ac:dyDescent="0.25">
      <c r="A97" s="20"/>
      <c r="B97" s="20"/>
      <c r="C97" s="20"/>
      <c r="D97" s="20"/>
      <c r="E97" s="20"/>
    </row>
    <row r="98" spans="1:5" s="21" customFormat="1" ht="24.75" customHeight="1" x14ac:dyDescent="0.25">
      <c r="A98" s="20"/>
      <c r="B98" s="20"/>
      <c r="C98" s="20"/>
      <c r="D98" s="20"/>
      <c r="E98" s="20"/>
    </row>
    <row r="99" spans="1:5" s="21" customFormat="1" ht="24.75" customHeight="1" x14ac:dyDescent="0.25">
      <c r="A99" s="20"/>
      <c r="B99" s="20"/>
      <c r="C99" s="20"/>
      <c r="D99" s="20"/>
      <c r="E99" s="20"/>
    </row>
    <row r="100" spans="1:5" s="21" customFormat="1" ht="24.75" customHeight="1" x14ac:dyDescent="0.25">
      <c r="A100" s="20"/>
      <c r="B100" s="20"/>
      <c r="C100" s="20"/>
      <c r="D100" s="20"/>
      <c r="E100" s="20"/>
    </row>
    <row r="101" spans="1:5" s="21" customFormat="1" ht="24.75" customHeight="1" x14ac:dyDescent="0.25">
      <c r="A101" s="20"/>
      <c r="B101" s="20"/>
      <c r="C101" s="20"/>
      <c r="D101" s="20"/>
      <c r="E101" s="20"/>
    </row>
    <row r="102" spans="1:5" s="21" customFormat="1" ht="24.75" customHeight="1" x14ac:dyDescent="0.25">
      <c r="A102" s="20"/>
      <c r="B102" s="20"/>
      <c r="C102" s="20"/>
      <c r="D102" s="20"/>
      <c r="E102" s="20"/>
    </row>
    <row r="103" spans="1:5" s="21" customFormat="1" ht="24.75" customHeight="1" x14ac:dyDescent="0.25">
      <c r="A103" s="20"/>
      <c r="B103" s="20"/>
      <c r="C103" s="20"/>
      <c r="D103" s="20"/>
      <c r="E103" s="20"/>
    </row>
    <row r="104" spans="1:5" s="21" customFormat="1" ht="24.75" customHeight="1" x14ac:dyDescent="0.25">
      <c r="A104" s="20"/>
      <c r="B104" s="20"/>
      <c r="C104" s="20"/>
      <c r="D104" s="20"/>
      <c r="E104" s="20"/>
    </row>
    <row r="105" spans="1:5" s="21" customFormat="1" ht="24.75" customHeight="1" x14ac:dyDescent="0.25">
      <c r="A105" s="20"/>
      <c r="B105" s="20"/>
      <c r="C105" s="20"/>
      <c r="D105" s="20"/>
      <c r="E105" s="20"/>
    </row>
    <row r="106" spans="1:5" s="21" customFormat="1" ht="24.75" customHeight="1" x14ac:dyDescent="0.25">
      <c r="A106" s="20"/>
      <c r="B106" s="20"/>
      <c r="C106" s="20"/>
      <c r="D106" s="20"/>
      <c r="E106" s="20"/>
    </row>
    <row r="107" spans="1:5" s="21" customFormat="1" ht="24.75" customHeight="1" x14ac:dyDescent="0.25">
      <c r="A107" s="20"/>
      <c r="B107" s="20"/>
      <c r="C107" s="20"/>
      <c r="D107" s="20"/>
      <c r="E107" s="20"/>
    </row>
    <row r="108" spans="1:5" s="21" customFormat="1" ht="24.75" customHeight="1" x14ac:dyDescent="0.25">
      <c r="A108" s="20"/>
      <c r="B108" s="20"/>
      <c r="C108" s="20"/>
      <c r="D108" s="20"/>
      <c r="E108" s="20"/>
    </row>
    <row r="109" spans="1:5" s="21" customFormat="1" ht="24.75" customHeight="1" x14ac:dyDescent="0.25">
      <c r="A109" s="20"/>
      <c r="B109" s="20"/>
      <c r="C109" s="20"/>
      <c r="D109" s="20"/>
      <c r="E109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againg District,  Myinmu Township"/>
  </hyperlinks>
  <pageMargins left="0.75" right="0.5" top="0.5" bottom="0.2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sqref="A1:E1"/>
    </sheetView>
  </sheetViews>
  <sheetFormatPr defaultRowHeight="24.75" customHeight="1" x14ac:dyDescent="0.25"/>
  <cols>
    <col min="1" max="1" width="7" style="3" customWidth="1"/>
    <col min="2" max="2" width="27.28515625" style="3" customWidth="1"/>
    <col min="3" max="5" width="15.7109375" style="3" customWidth="1"/>
    <col min="6" max="16384" width="9.140625" style="3"/>
  </cols>
  <sheetData>
    <row r="1" spans="1:10" ht="24.75" customHeight="1" x14ac:dyDescent="0.25">
      <c r="A1" s="67" t="s">
        <v>1728</v>
      </c>
      <c r="B1" s="67"/>
      <c r="C1" s="67"/>
      <c r="D1" s="67"/>
      <c r="E1" s="67"/>
    </row>
    <row r="2" spans="1:10" ht="24.75" customHeight="1" x14ac:dyDescent="0.4">
      <c r="A2" s="2"/>
      <c r="B2" s="7"/>
      <c r="C2" s="7"/>
      <c r="D2" s="7"/>
      <c r="E2" s="56" t="s">
        <v>1722</v>
      </c>
    </row>
    <row r="3" spans="1:10" ht="24.75" customHeight="1" x14ac:dyDescent="0.4">
      <c r="A3" s="2"/>
      <c r="B3" s="7"/>
      <c r="C3" s="7"/>
      <c r="D3" s="7"/>
      <c r="E3" s="56"/>
    </row>
    <row r="4" spans="1:10" ht="10.5" customHeight="1" x14ac:dyDescent="0.4">
      <c r="A4" s="2"/>
      <c r="B4" s="7"/>
      <c r="C4" s="7"/>
      <c r="D4" s="7"/>
      <c r="E4" s="7"/>
    </row>
    <row r="5" spans="1:10" ht="24.75" customHeight="1" x14ac:dyDescent="0.25">
      <c r="A5" s="57" t="s">
        <v>1723</v>
      </c>
      <c r="B5" s="57" t="s">
        <v>1775</v>
      </c>
      <c r="C5" s="59" t="s">
        <v>1724</v>
      </c>
      <c r="D5" s="60"/>
      <c r="E5" s="61"/>
    </row>
    <row r="6" spans="1:10" ht="24.75" customHeight="1" x14ac:dyDescent="0.25">
      <c r="A6" s="58"/>
      <c r="B6" s="58"/>
      <c r="C6" s="8" t="s">
        <v>0</v>
      </c>
      <c r="D6" s="8" t="s">
        <v>1</v>
      </c>
      <c r="E6" s="8" t="s">
        <v>2</v>
      </c>
    </row>
    <row r="7" spans="1:10" ht="23.1" customHeight="1" x14ac:dyDescent="0.25">
      <c r="A7" s="9"/>
      <c r="B7" s="9" t="s">
        <v>1772</v>
      </c>
      <c r="C7" s="22">
        <f>C9+C14</f>
        <v>106411</v>
      </c>
      <c r="D7" s="22">
        <f t="shared" ref="D7:E7" si="0">D9+D14</f>
        <v>47677</v>
      </c>
      <c r="E7" s="22">
        <f t="shared" si="0"/>
        <v>58734</v>
      </c>
      <c r="G7" s="15"/>
      <c r="H7" s="15"/>
      <c r="I7" s="15"/>
      <c r="J7" s="15"/>
    </row>
    <row r="8" spans="1:10" ht="12" customHeight="1" x14ac:dyDescent="0.25">
      <c r="A8" s="10"/>
      <c r="B8" s="23"/>
      <c r="C8" s="23"/>
      <c r="D8" s="23"/>
      <c r="E8" s="23"/>
      <c r="H8" s="15"/>
      <c r="I8" s="15"/>
      <c r="J8" s="15"/>
    </row>
    <row r="9" spans="1:10" ht="23.1" customHeight="1" x14ac:dyDescent="0.25">
      <c r="A9" s="10"/>
      <c r="B9" s="10" t="s">
        <v>1725</v>
      </c>
      <c r="C9" s="24">
        <f>SUM(C10:C13)</f>
        <v>7795</v>
      </c>
      <c r="D9" s="24">
        <f t="shared" ref="D9:E9" si="1">SUM(D10:D13)</f>
        <v>3523</v>
      </c>
      <c r="E9" s="24">
        <f t="shared" si="1"/>
        <v>4272</v>
      </c>
      <c r="H9" s="15"/>
      <c r="I9" s="15"/>
      <c r="J9" s="15"/>
    </row>
    <row r="10" spans="1:10" ht="23.1" customHeight="1" x14ac:dyDescent="0.25">
      <c r="A10" s="11">
        <v>1</v>
      </c>
      <c r="B10" s="11" t="s">
        <v>153</v>
      </c>
      <c r="C10" s="11">
        <v>2176</v>
      </c>
      <c r="D10" s="11">
        <v>992</v>
      </c>
      <c r="E10" s="11">
        <v>1184</v>
      </c>
      <c r="H10" s="15"/>
      <c r="I10" s="15"/>
      <c r="J10" s="15"/>
    </row>
    <row r="11" spans="1:10" ht="23.1" customHeight="1" x14ac:dyDescent="0.25">
      <c r="A11" s="11">
        <v>2</v>
      </c>
      <c r="B11" s="11" t="s">
        <v>154</v>
      </c>
      <c r="C11" s="11">
        <v>2343</v>
      </c>
      <c r="D11" s="11">
        <v>1048</v>
      </c>
      <c r="E11" s="11">
        <v>1295</v>
      </c>
      <c r="H11" s="15"/>
      <c r="I11" s="15"/>
      <c r="J11" s="15"/>
    </row>
    <row r="12" spans="1:10" ht="23.1" customHeight="1" x14ac:dyDescent="0.25">
      <c r="A12" s="11">
        <v>3</v>
      </c>
      <c r="B12" s="11" t="s">
        <v>155</v>
      </c>
      <c r="C12" s="11">
        <v>1389</v>
      </c>
      <c r="D12" s="11">
        <v>596</v>
      </c>
      <c r="E12" s="11">
        <v>793</v>
      </c>
      <c r="H12" s="15"/>
      <c r="I12" s="15"/>
      <c r="J12" s="15"/>
    </row>
    <row r="13" spans="1:10" ht="23.1" customHeight="1" x14ac:dyDescent="0.25">
      <c r="A13" s="11">
        <v>4</v>
      </c>
      <c r="B13" s="11" t="s">
        <v>156</v>
      </c>
      <c r="C13" s="11">
        <v>1887</v>
      </c>
      <c r="D13" s="11">
        <v>887</v>
      </c>
      <c r="E13" s="11">
        <v>1000</v>
      </c>
      <c r="H13" s="15"/>
      <c r="I13" s="15"/>
      <c r="J13" s="15"/>
    </row>
    <row r="14" spans="1:10" ht="23.1" customHeight="1" x14ac:dyDescent="0.25">
      <c r="A14" s="11"/>
      <c r="B14" s="10" t="s">
        <v>1773</v>
      </c>
      <c r="C14" s="24">
        <f>SUM(C15:C62)</f>
        <v>98616</v>
      </c>
      <c r="D14" s="24">
        <f t="shared" ref="D14:E14" si="2">SUM(D15:D62)</f>
        <v>44154</v>
      </c>
      <c r="E14" s="24">
        <f t="shared" si="2"/>
        <v>54462</v>
      </c>
      <c r="H14" s="15"/>
      <c r="I14" s="15"/>
      <c r="J14" s="15"/>
    </row>
    <row r="15" spans="1:10" ht="23.1" customHeight="1" x14ac:dyDescent="0.25">
      <c r="A15" s="11">
        <v>1</v>
      </c>
      <c r="B15" s="11" t="s">
        <v>157</v>
      </c>
      <c r="C15" s="11">
        <v>2304</v>
      </c>
      <c r="D15" s="11">
        <v>1054</v>
      </c>
      <c r="E15" s="11">
        <v>1250</v>
      </c>
      <c r="H15" s="15"/>
      <c r="I15" s="15"/>
      <c r="J15" s="15"/>
    </row>
    <row r="16" spans="1:10" ht="23.1" customHeight="1" x14ac:dyDescent="0.25">
      <c r="A16" s="11">
        <v>2</v>
      </c>
      <c r="B16" s="11" t="s">
        <v>158</v>
      </c>
      <c r="C16" s="11">
        <v>1925</v>
      </c>
      <c r="D16" s="11">
        <v>907</v>
      </c>
      <c r="E16" s="11">
        <v>1018</v>
      </c>
      <c r="H16" s="15"/>
      <c r="I16" s="15"/>
      <c r="J16" s="15"/>
    </row>
    <row r="17" spans="1:10" ht="23.1" customHeight="1" x14ac:dyDescent="0.25">
      <c r="A17" s="11">
        <v>3</v>
      </c>
      <c r="B17" s="11" t="s">
        <v>159</v>
      </c>
      <c r="C17" s="11">
        <v>2394</v>
      </c>
      <c r="D17" s="11">
        <v>1131</v>
      </c>
      <c r="E17" s="11">
        <v>1263</v>
      </c>
      <c r="H17" s="15"/>
      <c r="I17" s="15"/>
      <c r="J17" s="15"/>
    </row>
    <row r="18" spans="1:10" ht="23.1" customHeight="1" x14ac:dyDescent="0.25">
      <c r="A18" s="11">
        <v>4</v>
      </c>
      <c r="B18" s="11" t="s">
        <v>160</v>
      </c>
      <c r="C18" s="11">
        <v>1068</v>
      </c>
      <c r="D18" s="11">
        <v>479</v>
      </c>
      <c r="E18" s="11">
        <v>589</v>
      </c>
      <c r="H18" s="15"/>
      <c r="I18" s="15"/>
      <c r="J18" s="15"/>
    </row>
    <row r="19" spans="1:10" ht="23.1" customHeight="1" x14ac:dyDescent="0.25">
      <c r="A19" s="11">
        <v>5</v>
      </c>
      <c r="B19" s="11" t="s">
        <v>161</v>
      </c>
      <c r="C19" s="11">
        <v>1525</v>
      </c>
      <c r="D19" s="11">
        <v>684</v>
      </c>
      <c r="E19" s="11">
        <v>841</v>
      </c>
      <c r="H19" s="15"/>
      <c r="I19" s="15"/>
      <c r="J19" s="15"/>
    </row>
    <row r="20" spans="1:10" ht="23.1" customHeight="1" x14ac:dyDescent="0.25">
      <c r="A20" s="11">
        <v>6</v>
      </c>
      <c r="B20" s="11" t="s">
        <v>162</v>
      </c>
      <c r="C20" s="11">
        <v>926</v>
      </c>
      <c r="D20" s="11">
        <v>412</v>
      </c>
      <c r="E20" s="11">
        <v>514</v>
      </c>
      <c r="H20" s="15"/>
      <c r="I20" s="15"/>
      <c r="J20" s="15"/>
    </row>
    <row r="21" spans="1:10" ht="23.1" customHeight="1" x14ac:dyDescent="0.25">
      <c r="A21" s="11">
        <v>7</v>
      </c>
      <c r="B21" s="11" t="s">
        <v>163</v>
      </c>
      <c r="C21" s="11">
        <v>1721</v>
      </c>
      <c r="D21" s="11">
        <v>690</v>
      </c>
      <c r="E21" s="11">
        <v>1031</v>
      </c>
      <c r="H21" s="15"/>
      <c r="I21" s="15"/>
      <c r="J21" s="15"/>
    </row>
    <row r="22" spans="1:10" ht="23.1" customHeight="1" x14ac:dyDescent="0.25">
      <c r="A22" s="11">
        <v>8</v>
      </c>
      <c r="B22" s="11" t="s">
        <v>164</v>
      </c>
      <c r="C22" s="11">
        <v>2741</v>
      </c>
      <c r="D22" s="11">
        <v>1275</v>
      </c>
      <c r="E22" s="11">
        <v>1466</v>
      </c>
      <c r="H22" s="15"/>
      <c r="I22" s="15"/>
      <c r="J22" s="15"/>
    </row>
    <row r="23" spans="1:10" ht="23.1" customHeight="1" x14ac:dyDescent="0.25">
      <c r="A23" s="11">
        <v>9</v>
      </c>
      <c r="B23" s="11" t="s">
        <v>165</v>
      </c>
      <c r="C23" s="11">
        <v>1138</v>
      </c>
      <c r="D23" s="11">
        <v>507</v>
      </c>
      <c r="E23" s="11">
        <v>631</v>
      </c>
      <c r="H23" s="15"/>
      <c r="I23" s="15"/>
      <c r="J23" s="15"/>
    </row>
    <row r="24" spans="1:10" ht="23.1" customHeight="1" x14ac:dyDescent="0.25">
      <c r="A24" s="11">
        <v>10</v>
      </c>
      <c r="B24" s="11" t="s">
        <v>166</v>
      </c>
      <c r="C24" s="11">
        <v>2878</v>
      </c>
      <c r="D24" s="11">
        <v>1343</v>
      </c>
      <c r="E24" s="11">
        <v>1535</v>
      </c>
      <c r="H24" s="15"/>
      <c r="I24" s="15"/>
      <c r="J24" s="15"/>
    </row>
    <row r="25" spans="1:10" ht="23.1" customHeight="1" x14ac:dyDescent="0.25">
      <c r="A25" s="11">
        <v>11</v>
      </c>
      <c r="B25" s="11" t="s">
        <v>167</v>
      </c>
      <c r="C25" s="11">
        <v>1862</v>
      </c>
      <c r="D25" s="11">
        <v>761</v>
      </c>
      <c r="E25" s="11">
        <v>1101</v>
      </c>
      <c r="H25" s="15"/>
      <c r="I25" s="15"/>
      <c r="J25" s="15"/>
    </row>
    <row r="26" spans="1:10" ht="23.1" customHeight="1" x14ac:dyDescent="0.25">
      <c r="A26" s="11">
        <v>12</v>
      </c>
      <c r="B26" s="11" t="s">
        <v>168</v>
      </c>
      <c r="C26" s="11">
        <v>1344</v>
      </c>
      <c r="D26" s="11">
        <v>604</v>
      </c>
      <c r="E26" s="11">
        <v>740</v>
      </c>
      <c r="H26" s="15"/>
      <c r="I26" s="15"/>
      <c r="J26" s="15"/>
    </row>
    <row r="27" spans="1:10" ht="23.1" customHeight="1" x14ac:dyDescent="0.25">
      <c r="A27" s="11">
        <v>13</v>
      </c>
      <c r="B27" s="11" t="s">
        <v>169</v>
      </c>
      <c r="C27" s="11">
        <v>1573</v>
      </c>
      <c r="D27" s="11">
        <v>717</v>
      </c>
      <c r="E27" s="11">
        <v>856</v>
      </c>
      <c r="H27" s="15"/>
      <c r="I27" s="15"/>
      <c r="J27" s="15"/>
    </row>
    <row r="28" spans="1:10" ht="23.1" customHeight="1" x14ac:dyDescent="0.25">
      <c r="A28" s="11">
        <v>14</v>
      </c>
      <c r="B28" s="11" t="s">
        <v>170</v>
      </c>
      <c r="C28" s="11">
        <v>1062</v>
      </c>
      <c r="D28" s="11">
        <v>430</v>
      </c>
      <c r="E28" s="11">
        <v>632</v>
      </c>
      <c r="H28" s="15"/>
      <c r="I28" s="15"/>
      <c r="J28" s="15"/>
    </row>
    <row r="29" spans="1:10" ht="23.1" customHeight="1" x14ac:dyDescent="0.25">
      <c r="A29" s="11">
        <v>15</v>
      </c>
      <c r="B29" s="11" t="s">
        <v>171</v>
      </c>
      <c r="C29" s="11">
        <v>1027</v>
      </c>
      <c r="D29" s="11">
        <v>457</v>
      </c>
      <c r="E29" s="11">
        <v>570</v>
      </c>
      <c r="H29" s="15"/>
      <c r="I29" s="15"/>
      <c r="J29" s="15"/>
    </row>
    <row r="30" spans="1:10" ht="23.1" customHeight="1" x14ac:dyDescent="0.25">
      <c r="A30" s="11">
        <v>16</v>
      </c>
      <c r="B30" s="11" t="s">
        <v>172</v>
      </c>
      <c r="C30" s="11">
        <v>3742</v>
      </c>
      <c r="D30" s="11">
        <v>1592</v>
      </c>
      <c r="E30" s="11">
        <v>2150</v>
      </c>
      <c r="H30" s="15"/>
      <c r="I30" s="15"/>
      <c r="J30" s="15"/>
    </row>
    <row r="31" spans="1:10" ht="23.1" customHeight="1" x14ac:dyDescent="0.25">
      <c r="A31" s="11">
        <v>17</v>
      </c>
      <c r="B31" s="11" t="s">
        <v>173</v>
      </c>
      <c r="C31" s="11">
        <v>1018</v>
      </c>
      <c r="D31" s="11">
        <v>424</v>
      </c>
      <c r="E31" s="11">
        <v>594</v>
      </c>
      <c r="H31" s="15"/>
      <c r="I31" s="15"/>
      <c r="J31" s="15"/>
    </row>
    <row r="32" spans="1:10" ht="23.1" customHeight="1" x14ac:dyDescent="0.25">
      <c r="A32" s="11">
        <v>18</v>
      </c>
      <c r="B32" s="11" t="s">
        <v>174</v>
      </c>
      <c r="C32" s="11">
        <v>1180</v>
      </c>
      <c r="D32" s="11">
        <v>526</v>
      </c>
      <c r="E32" s="11">
        <v>654</v>
      </c>
      <c r="H32" s="15"/>
      <c r="I32" s="15"/>
      <c r="J32" s="15"/>
    </row>
    <row r="33" spans="1:10" ht="23.1" customHeight="1" x14ac:dyDescent="0.25">
      <c r="A33" s="11">
        <v>19</v>
      </c>
      <c r="B33" s="11" t="s">
        <v>175</v>
      </c>
      <c r="C33" s="11">
        <v>4047</v>
      </c>
      <c r="D33" s="11">
        <v>1863</v>
      </c>
      <c r="E33" s="11">
        <v>2184</v>
      </c>
      <c r="H33" s="15"/>
      <c r="I33" s="15"/>
      <c r="J33" s="15"/>
    </row>
    <row r="34" spans="1:10" ht="23.1" customHeight="1" x14ac:dyDescent="0.25">
      <c r="A34" s="11">
        <v>20</v>
      </c>
      <c r="B34" s="11" t="s">
        <v>176</v>
      </c>
      <c r="C34" s="11">
        <v>1322</v>
      </c>
      <c r="D34" s="11">
        <v>621</v>
      </c>
      <c r="E34" s="11">
        <v>701</v>
      </c>
      <c r="H34" s="15"/>
      <c r="I34" s="15"/>
      <c r="J34" s="15"/>
    </row>
    <row r="35" spans="1:10" ht="23.1" customHeight="1" x14ac:dyDescent="0.25">
      <c r="A35" s="11">
        <v>21</v>
      </c>
      <c r="B35" s="11" t="s">
        <v>177</v>
      </c>
      <c r="C35" s="11">
        <v>5079</v>
      </c>
      <c r="D35" s="11">
        <v>2294</v>
      </c>
      <c r="E35" s="11">
        <v>2785</v>
      </c>
      <c r="H35" s="15"/>
      <c r="I35" s="15"/>
      <c r="J35" s="15"/>
    </row>
    <row r="36" spans="1:10" ht="23.1" customHeight="1" x14ac:dyDescent="0.25">
      <c r="A36" s="11">
        <v>22</v>
      </c>
      <c r="B36" s="11" t="s">
        <v>178</v>
      </c>
      <c r="C36" s="11">
        <v>1375</v>
      </c>
      <c r="D36" s="11">
        <v>587</v>
      </c>
      <c r="E36" s="11">
        <v>788</v>
      </c>
      <c r="H36" s="15"/>
      <c r="I36" s="15"/>
      <c r="J36" s="15"/>
    </row>
    <row r="37" spans="1:10" ht="23.1" customHeight="1" x14ac:dyDescent="0.25">
      <c r="A37" s="11">
        <v>23</v>
      </c>
      <c r="B37" s="11" t="s">
        <v>179</v>
      </c>
      <c r="C37" s="11">
        <v>1874</v>
      </c>
      <c r="D37" s="11">
        <v>832</v>
      </c>
      <c r="E37" s="11">
        <v>1042</v>
      </c>
      <c r="H37" s="15"/>
      <c r="I37" s="15"/>
      <c r="J37" s="15"/>
    </row>
    <row r="38" spans="1:10" ht="23.1" customHeight="1" x14ac:dyDescent="0.25">
      <c r="A38" s="11">
        <v>24</v>
      </c>
      <c r="B38" s="11" t="s">
        <v>180</v>
      </c>
      <c r="C38" s="11">
        <v>867</v>
      </c>
      <c r="D38" s="11">
        <v>414</v>
      </c>
      <c r="E38" s="11">
        <v>453</v>
      </c>
      <c r="H38" s="15"/>
      <c r="I38" s="15"/>
      <c r="J38" s="15"/>
    </row>
    <row r="39" spans="1:10" ht="23.1" customHeight="1" x14ac:dyDescent="0.25">
      <c r="A39" s="11">
        <v>25</v>
      </c>
      <c r="B39" s="11" t="s">
        <v>181</v>
      </c>
      <c r="C39" s="11">
        <v>1127</v>
      </c>
      <c r="D39" s="11">
        <v>467</v>
      </c>
      <c r="E39" s="11">
        <v>660</v>
      </c>
      <c r="H39" s="15"/>
      <c r="I39" s="15"/>
      <c r="J39" s="15"/>
    </row>
    <row r="40" spans="1:10" ht="23.1" customHeight="1" x14ac:dyDescent="0.25">
      <c r="A40" s="11">
        <v>26</v>
      </c>
      <c r="B40" s="11" t="s">
        <v>182</v>
      </c>
      <c r="C40" s="11">
        <v>3692</v>
      </c>
      <c r="D40" s="11">
        <v>1661</v>
      </c>
      <c r="E40" s="11">
        <v>2031</v>
      </c>
      <c r="H40" s="15"/>
      <c r="I40" s="15"/>
      <c r="J40" s="15"/>
    </row>
    <row r="41" spans="1:10" ht="23.1" customHeight="1" x14ac:dyDescent="0.25">
      <c r="A41" s="11">
        <v>27</v>
      </c>
      <c r="B41" s="11" t="s">
        <v>183</v>
      </c>
      <c r="C41" s="11">
        <v>3234</v>
      </c>
      <c r="D41" s="11">
        <v>1436</v>
      </c>
      <c r="E41" s="11">
        <v>1798</v>
      </c>
      <c r="H41" s="15"/>
      <c r="I41" s="15"/>
      <c r="J41" s="15"/>
    </row>
    <row r="42" spans="1:10" ht="23.1" customHeight="1" x14ac:dyDescent="0.25">
      <c r="A42" s="11">
        <v>28</v>
      </c>
      <c r="B42" s="11" t="s">
        <v>184</v>
      </c>
      <c r="C42" s="11">
        <v>3020</v>
      </c>
      <c r="D42" s="11">
        <v>1312</v>
      </c>
      <c r="E42" s="11">
        <v>1708</v>
      </c>
      <c r="H42" s="15"/>
      <c r="I42" s="15"/>
      <c r="J42" s="15"/>
    </row>
    <row r="43" spans="1:10" ht="23.1" customHeight="1" x14ac:dyDescent="0.25">
      <c r="A43" s="11">
        <v>29</v>
      </c>
      <c r="B43" s="11" t="s">
        <v>185</v>
      </c>
      <c r="C43" s="11">
        <v>2105</v>
      </c>
      <c r="D43" s="11">
        <v>964</v>
      </c>
      <c r="E43" s="11">
        <v>1141</v>
      </c>
      <c r="H43" s="15"/>
      <c r="I43" s="15"/>
      <c r="J43" s="15"/>
    </row>
    <row r="44" spans="1:10" ht="23.1" customHeight="1" x14ac:dyDescent="0.25">
      <c r="A44" s="11">
        <v>30</v>
      </c>
      <c r="B44" s="11" t="s">
        <v>186</v>
      </c>
      <c r="C44" s="11">
        <v>1470</v>
      </c>
      <c r="D44" s="11">
        <v>692</v>
      </c>
      <c r="E44" s="11">
        <v>778</v>
      </c>
      <c r="H44" s="15"/>
      <c r="I44" s="15"/>
      <c r="J44" s="15"/>
    </row>
    <row r="45" spans="1:10" ht="23.1" customHeight="1" x14ac:dyDescent="0.25">
      <c r="A45" s="11">
        <v>31</v>
      </c>
      <c r="B45" s="11" t="s">
        <v>187</v>
      </c>
      <c r="C45" s="11">
        <v>2457</v>
      </c>
      <c r="D45" s="11">
        <v>1072</v>
      </c>
      <c r="E45" s="11">
        <v>1385</v>
      </c>
      <c r="H45" s="15"/>
      <c r="I45" s="15"/>
      <c r="J45" s="15"/>
    </row>
    <row r="46" spans="1:10" ht="23.1" customHeight="1" x14ac:dyDescent="0.25">
      <c r="A46" s="11">
        <v>32</v>
      </c>
      <c r="B46" s="11" t="s">
        <v>188</v>
      </c>
      <c r="C46" s="11">
        <v>2097</v>
      </c>
      <c r="D46" s="11">
        <v>943</v>
      </c>
      <c r="E46" s="11">
        <v>1154</v>
      </c>
      <c r="H46" s="15"/>
      <c r="I46" s="15"/>
      <c r="J46" s="15"/>
    </row>
    <row r="47" spans="1:10" ht="23.1" customHeight="1" x14ac:dyDescent="0.25">
      <c r="A47" s="11">
        <v>33</v>
      </c>
      <c r="B47" s="11" t="s">
        <v>189</v>
      </c>
      <c r="C47" s="11">
        <v>2189</v>
      </c>
      <c r="D47" s="11">
        <v>972</v>
      </c>
      <c r="E47" s="11">
        <v>1217</v>
      </c>
      <c r="H47" s="15"/>
      <c r="I47" s="15"/>
      <c r="J47" s="15"/>
    </row>
    <row r="48" spans="1:10" ht="23.1" customHeight="1" x14ac:dyDescent="0.25">
      <c r="A48" s="11">
        <v>34</v>
      </c>
      <c r="B48" s="11" t="s">
        <v>190</v>
      </c>
      <c r="C48" s="11">
        <v>3271</v>
      </c>
      <c r="D48" s="11">
        <v>1538</v>
      </c>
      <c r="E48" s="11">
        <v>1733</v>
      </c>
      <c r="H48" s="15"/>
      <c r="I48" s="15"/>
      <c r="J48" s="15"/>
    </row>
    <row r="49" spans="1:10" ht="23.1" customHeight="1" x14ac:dyDescent="0.25">
      <c r="A49" s="11">
        <v>35</v>
      </c>
      <c r="B49" s="11" t="s">
        <v>191</v>
      </c>
      <c r="C49" s="11">
        <v>2269</v>
      </c>
      <c r="D49" s="11">
        <v>932</v>
      </c>
      <c r="E49" s="11">
        <v>1337</v>
      </c>
      <c r="H49" s="15"/>
      <c r="I49" s="15"/>
      <c r="J49" s="15"/>
    </row>
    <row r="50" spans="1:10" ht="23.1" customHeight="1" x14ac:dyDescent="0.25">
      <c r="A50" s="11">
        <v>36</v>
      </c>
      <c r="B50" s="11" t="s">
        <v>192</v>
      </c>
      <c r="C50" s="11">
        <v>2097</v>
      </c>
      <c r="D50" s="11">
        <v>953</v>
      </c>
      <c r="E50" s="11">
        <v>1144</v>
      </c>
      <c r="H50" s="15"/>
      <c r="I50" s="15"/>
      <c r="J50" s="15"/>
    </row>
    <row r="51" spans="1:10" ht="23.1" customHeight="1" x14ac:dyDescent="0.25">
      <c r="A51" s="11">
        <v>37</v>
      </c>
      <c r="B51" s="11" t="s">
        <v>193</v>
      </c>
      <c r="C51" s="11">
        <v>899</v>
      </c>
      <c r="D51" s="11">
        <v>388</v>
      </c>
      <c r="E51" s="11">
        <v>511</v>
      </c>
      <c r="H51" s="15"/>
      <c r="I51" s="15"/>
      <c r="J51" s="15"/>
    </row>
    <row r="52" spans="1:10" ht="23.1" customHeight="1" x14ac:dyDescent="0.25">
      <c r="A52" s="11">
        <v>38</v>
      </c>
      <c r="B52" s="11" t="s">
        <v>194</v>
      </c>
      <c r="C52" s="11">
        <v>2444</v>
      </c>
      <c r="D52" s="11">
        <v>1095</v>
      </c>
      <c r="E52" s="11">
        <v>1349</v>
      </c>
      <c r="H52" s="15"/>
      <c r="I52" s="15"/>
      <c r="J52" s="15"/>
    </row>
    <row r="53" spans="1:10" ht="23.1" customHeight="1" x14ac:dyDescent="0.25">
      <c r="A53" s="11">
        <v>39</v>
      </c>
      <c r="B53" s="11" t="s">
        <v>113</v>
      </c>
      <c r="C53" s="11">
        <v>4086</v>
      </c>
      <c r="D53" s="11">
        <v>1822</v>
      </c>
      <c r="E53" s="11">
        <v>2264</v>
      </c>
      <c r="H53" s="15"/>
      <c r="I53" s="15"/>
      <c r="J53" s="15"/>
    </row>
    <row r="54" spans="1:10" ht="23.1" customHeight="1" x14ac:dyDescent="0.25">
      <c r="A54" s="11">
        <v>40</v>
      </c>
      <c r="B54" s="11" t="s">
        <v>195</v>
      </c>
      <c r="C54" s="11">
        <v>3402</v>
      </c>
      <c r="D54" s="11">
        <v>1507</v>
      </c>
      <c r="E54" s="11">
        <v>1895</v>
      </c>
      <c r="H54" s="15"/>
      <c r="I54" s="15"/>
      <c r="J54" s="15"/>
    </row>
    <row r="55" spans="1:10" ht="23.1" customHeight="1" x14ac:dyDescent="0.25">
      <c r="A55" s="11">
        <v>41</v>
      </c>
      <c r="B55" s="11" t="s">
        <v>196</v>
      </c>
      <c r="C55" s="11">
        <v>752</v>
      </c>
      <c r="D55" s="11">
        <v>310</v>
      </c>
      <c r="E55" s="11">
        <v>442</v>
      </c>
      <c r="H55" s="15"/>
      <c r="I55" s="15"/>
      <c r="J55" s="15"/>
    </row>
    <row r="56" spans="1:10" ht="23.1" customHeight="1" x14ac:dyDescent="0.25">
      <c r="A56" s="11">
        <v>42</v>
      </c>
      <c r="B56" s="11" t="s">
        <v>197</v>
      </c>
      <c r="C56" s="11">
        <v>1662</v>
      </c>
      <c r="D56" s="11">
        <v>741</v>
      </c>
      <c r="E56" s="11">
        <v>921</v>
      </c>
      <c r="H56" s="15"/>
      <c r="I56" s="15"/>
      <c r="J56" s="15"/>
    </row>
    <row r="57" spans="1:10" ht="23.1" customHeight="1" x14ac:dyDescent="0.25">
      <c r="A57" s="11">
        <v>43</v>
      </c>
      <c r="B57" s="11" t="s">
        <v>198</v>
      </c>
      <c r="C57" s="11">
        <v>1162</v>
      </c>
      <c r="D57" s="11">
        <v>517</v>
      </c>
      <c r="E57" s="11">
        <v>645</v>
      </c>
      <c r="H57" s="15"/>
      <c r="I57" s="15"/>
      <c r="J57" s="15"/>
    </row>
    <row r="58" spans="1:10" ht="23.1" customHeight="1" x14ac:dyDescent="0.25">
      <c r="A58" s="11">
        <v>44</v>
      </c>
      <c r="B58" s="11" t="s">
        <v>199</v>
      </c>
      <c r="C58" s="11">
        <v>1650</v>
      </c>
      <c r="D58" s="11">
        <v>760</v>
      </c>
      <c r="E58" s="11">
        <v>890</v>
      </c>
      <c r="H58" s="15"/>
      <c r="I58" s="15"/>
      <c r="J58" s="15"/>
    </row>
    <row r="59" spans="1:10" ht="23.1" customHeight="1" x14ac:dyDescent="0.25">
      <c r="A59" s="11">
        <v>45</v>
      </c>
      <c r="B59" s="11" t="s">
        <v>98</v>
      </c>
      <c r="C59" s="11">
        <v>1041</v>
      </c>
      <c r="D59" s="11">
        <v>483</v>
      </c>
      <c r="E59" s="11">
        <v>558</v>
      </c>
      <c r="H59" s="15"/>
      <c r="I59" s="15"/>
      <c r="J59" s="15"/>
    </row>
    <row r="60" spans="1:10" ht="23.1" customHeight="1" x14ac:dyDescent="0.25">
      <c r="A60" s="11">
        <v>46</v>
      </c>
      <c r="B60" s="11" t="s">
        <v>200</v>
      </c>
      <c r="C60" s="11">
        <v>1665</v>
      </c>
      <c r="D60" s="11">
        <v>784</v>
      </c>
      <c r="E60" s="11">
        <v>881</v>
      </c>
      <c r="H60" s="15"/>
      <c r="I60" s="15"/>
      <c r="J60" s="15"/>
    </row>
    <row r="61" spans="1:10" ht="23.1" customHeight="1" x14ac:dyDescent="0.25">
      <c r="A61" s="11">
        <v>47</v>
      </c>
      <c r="B61" s="11" t="s">
        <v>201</v>
      </c>
      <c r="C61" s="11">
        <v>2075</v>
      </c>
      <c r="D61" s="11">
        <v>961</v>
      </c>
      <c r="E61" s="11">
        <v>1114</v>
      </c>
      <c r="H61" s="15"/>
      <c r="I61" s="15"/>
      <c r="J61" s="15"/>
    </row>
    <row r="62" spans="1:10" ht="23.1" customHeight="1" x14ac:dyDescent="0.25">
      <c r="A62" s="12">
        <v>48</v>
      </c>
      <c r="B62" s="12" t="s">
        <v>202</v>
      </c>
      <c r="C62" s="12">
        <v>2758</v>
      </c>
      <c r="D62" s="12">
        <v>1240</v>
      </c>
      <c r="E62" s="12">
        <v>1518</v>
      </c>
      <c r="H62" s="15"/>
      <c r="I62" s="15"/>
      <c r="J62" s="15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againg District,  Myaung Township"/>
  </hyperlinks>
  <pageMargins left="0.75" right="0.5" top="0.5" bottom="0.2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82"/>
  <sheetViews>
    <sheetView workbookViewId="0">
      <selection sqref="A1:E1"/>
    </sheetView>
  </sheetViews>
  <sheetFormatPr defaultRowHeight="24.75" customHeight="1" x14ac:dyDescent="0.25"/>
  <cols>
    <col min="1" max="1" width="5.7109375" customWidth="1"/>
    <col min="2" max="2" width="30.140625" customWidth="1"/>
    <col min="3" max="5" width="15.7109375" customWidth="1"/>
  </cols>
  <sheetData>
    <row r="1" spans="1:14" ht="24.75" customHeight="1" x14ac:dyDescent="0.25">
      <c r="A1" s="67" t="s">
        <v>1729</v>
      </c>
      <c r="B1" s="67"/>
      <c r="C1" s="67"/>
      <c r="D1" s="67"/>
      <c r="E1" s="67"/>
    </row>
    <row r="2" spans="1:14" ht="24.75" customHeight="1" x14ac:dyDescent="0.4">
      <c r="A2" s="2"/>
      <c r="B2" s="7"/>
      <c r="C2" s="7"/>
      <c r="D2" s="7"/>
      <c r="E2" s="56" t="s">
        <v>1722</v>
      </c>
    </row>
    <row r="3" spans="1:14" ht="24.75" customHeight="1" x14ac:dyDescent="0.4">
      <c r="A3" s="2"/>
      <c r="B3" s="7"/>
      <c r="C3" s="7"/>
      <c r="D3" s="7"/>
      <c r="E3" s="56"/>
    </row>
    <row r="4" spans="1:14" ht="10.5" customHeight="1" x14ac:dyDescent="0.4">
      <c r="A4" s="2"/>
      <c r="B4" s="7"/>
      <c r="C4" s="7"/>
      <c r="D4" s="7"/>
      <c r="E4" s="7"/>
    </row>
    <row r="5" spans="1:14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14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14" ht="21.95" customHeight="1" x14ac:dyDescent="0.25">
      <c r="A7" s="9"/>
      <c r="B7" s="9" t="s">
        <v>1772</v>
      </c>
      <c r="C7" s="9">
        <f>C9+C20</f>
        <v>235542</v>
      </c>
      <c r="D7" s="9">
        <f t="shared" ref="D7:E7" si="0">D9+D20</f>
        <v>108955</v>
      </c>
      <c r="E7" s="9">
        <f t="shared" si="0"/>
        <v>126587</v>
      </c>
      <c r="G7" s="14"/>
      <c r="H7" s="14"/>
      <c r="I7" s="14"/>
      <c r="J7" s="14"/>
      <c r="K7" s="21"/>
      <c r="L7" s="21"/>
      <c r="M7" s="21"/>
      <c r="N7" s="21"/>
    </row>
    <row r="8" spans="1:14" ht="12" customHeight="1" x14ac:dyDescent="0.25">
      <c r="A8" s="25"/>
      <c r="B8" s="16"/>
      <c r="C8" s="16"/>
      <c r="D8" s="16"/>
      <c r="E8" s="16"/>
      <c r="H8" s="14"/>
      <c r="I8" s="14"/>
      <c r="J8" s="14"/>
    </row>
    <row r="9" spans="1:14" ht="21.95" customHeight="1" x14ac:dyDescent="0.25">
      <c r="A9" s="10"/>
      <c r="B9" s="10" t="s">
        <v>1725</v>
      </c>
      <c r="C9" s="10">
        <f>SUM(C10:C19)</f>
        <v>69036</v>
      </c>
      <c r="D9" s="10">
        <f t="shared" ref="D9:E9" si="1">SUM(D10:D19)</f>
        <v>32425</v>
      </c>
      <c r="E9" s="10">
        <f t="shared" si="1"/>
        <v>36611</v>
      </c>
      <c r="H9" s="14"/>
      <c r="I9" s="14"/>
      <c r="J9" s="14"/>
    </row>
    <row r="10" spans="1:14" ht="21.95" customHeight="1" x14ac:dyDescent="0.25">
      <c r="A10" s="11">
        <v>1</v>
      </c>
      <c r="B10" s="11" t="s">
        <v>203</v>
      </c>
      <c r="C10" s="11">
        <v>9581</v>
      </c>
      <c r="D10" s="11">
        <v>4461</v>
      </c>
      <c r="E10" s="11">
        <v>5120</v>
      </c>
      <c r="H10" s="14"/>
      <c r="I10" s="14"/>
      <c r="J10" s="14"/>
    </row>
    <row r="11" spans="1:14" ht="21.95" customHeight="1" x14ac:dyDescent="0.25">
      <c r="A11" s="11">
        <v>2</v>
      </c>
      <c r="B11" s="11" t="s">
        <v>204</v>
      </c>
      <c r="C11" s="11">
        <v>5722</v>
      </c>
      <c r="D11" s="11">
        <v>2659</v>
      </c>
      <c r="E11" s="11">
        <v>3063</v>
      </c>
      <c r="H11" s="14"/>
      <c r="I11" s="14"/>
      <c r="J11" s="14"/>
    </row>
    <row r="12" spans="1:14" ht="21.95" customHeight="1" x14ac:dyDescent="0.25">
      <c r="A12" s="11">
        <v>3</v>
      </c>
      <c r="B12" s="11" t="s">
        <v>205</v>
      </c>
      <c r="C12" s="11">
        <v>4275</v>
      </c>
      <c r="D12" s="11">
        <v>1987</v>
      </c>
      <c r="E12" s="11">
        <v>2288</v>
      </c>
      <c r="H12" s="14"/>
      <c r="I12" s="14"/>
      <c r="J12" s="14"/>
    </row>
    <row r="13" spans="1:14" ht="21.95" customHeight="1" x14ac:dyDescent="0.25">
      <c r="A13" s="11">
        <v>4</v>
      </c>
      <c r="B13" s="11" t="s">
        <v>206</v>
      </c>
      <c r="C13" s="11">
        <v>6555</v>
      </c>
      <c r="D13" s="11">
        <v>3079</v>
      </c>
      <c r="E13" s="11">
        <v>3476</v>
      </c>
      <c r="H13" s="14"/>
      <c r="I13" s="14"/>
      <c r="J13" s="14"/>
    </row>
    <row r="14" spans="1:14" ht="21.95" customHeight="1" x14ac:dyDescent="0.25">
      <c r="A14" s="11">
        <v>5</v>
      </c>
      <c r="B14" s="11" t="s">
        <v>207</v>
      </c>
      <c r="C14" s="11">
        <v>6228</v>
      </c>
      <c r="D14" s="11">
        <v>2866</v>
      </c>
      <c r="E14" s="11">
        <v>3362</v>
      </c>
      <c r="H14" s="14"/>
      <c r="I14" s="14"/>
      <c r="J14" s="14"/>
    </row>
    <row r="15" spans="1:14" ht="21.95" customHeight="1" x14ac:dyDescent="0.25">
      <c r="A15" s="11">
        <v>6</v>
      </c>
      <c r="B15" s="11" t="s">
        <v>208</v>
      </c>
      <c r="C15" s="11">
        <v>3999</v>
      </c>
      <c r="D15" s="11">
        <v>1935</v>
      </c>
      <c r="E15" s="11">
        <v>2064</v>
      </c>
      <c r="H15" s="14"/>
      <c r="I15" s="14"/>
      <c r="J15" s="14"/>
    </row>
    <row r="16" spans="1:14" ht="21.95" customHeight="1" x14ac:dyDescent="0.25">
      <c r="A16" s="11">
        <v>7</v>
      </c>
      <c r="B16" s="11" t="s">
        <v>209</v>
      </c>
      <c r="C16" s="11">
        <v>7237</v>
      </c>
      <c r="D16" s="11">
        <v>3426</v>
      </c>
      <c r="E16" s="11">
        <v>3811</v>
      </c>
      <c r="H16" s="14"/>
      <c r="I16" s="14"/>
      <c r="J16" s="14"/>
    </row>
    <row r="17" spans="1:10" ht="21.95" customHeight="1" x14ac:dyDescent="0.25">
      <c r="A17" s="11">
        <v>8</v>
      </c>
      <c r="B17" s="11" t="s">
        <v>210</v>
      </c>
      <c r="C17" s="11">
        <v>5512</v>
      </c>
      <c r="D17" s="11">
        <v>2477</v>
      </c>
      <c r="E17" s="11">
        <v>3035</v>
      </c>
      <c r="H17" s="14"/>
      <c r="I17" s="14"/>
      <c r="J17" s="14"/>
    </row>
    <row r="18" spans="1:10" ht="21.95" customHeight="1" x14ac:dyDescent="0.25">
      <c r="A18" s="11">
        <v>9</v>
      </c>
      <c r="B18" s="11" t="s">
        <v>211</v>
      </c>
      <c r="C18" s="11">
        <v>4066</v>
      </c>
      <c r="D18" s="11">
        <v>1764</v>
      </c>
      <c r="E18" s="11">
        <v>2302</v>
      </c>
      <c r="H18" s="14"/>
      <c r="I18" s="14"/>
      <c r="J18" s="14"/>
    </row>
    <row r="19" spans="1:10" ht="21.95" customHeight="1" x14ac:dyDescent="0.25">
      <c r="A19" s="11">
        <v>10</v>
      </c>
      <c r="B19" s="11" t="s">
        <v>212</v>
      </c>
      <c r="C19" s="11">
        <v>15861</v>
      </c>
      <c r="D19" s="11">
        <v>7771</v>
      </c>
      <c r="E19" s="11">
        <v>8090</v>
      </c>
      <c r="H19" s="14"/>
      <c r="I19" s="14"/>
      <c r="J19" s="14"/>
    </row>
    <row r="20" spans="1:10" ht="21.95" customHeight="1" x14ac:dyDescent="0.25">
      <c r="A20" s="11"/>
      <c r="B20" s="10" t="s">
        <v>1773</v>
      </c>
      <c r="C20" s="10">
        <f>SUM(C21:C82)</f>
        <v>166506</v>
      </c>
      <c r="D20" s="10">
        <f t="shared" ref="D20:E20" si="2">SUM(D21:D82)</f>
        <v>76530</v>
      </c>
      <c r="E20" s="10">
        <f t="shared" si="2"/>
        <v>89976</v>
      </c>
      <c r="H20" s="14"/>
      <c r="I20" s="14"/>
      <c r="J20" s="14"/>
    </row>
    <row r="21" spans="1:10" ht="21.95" customHeight="1" x14ac:dyDescent="0.25">
      <c r="A21" s="11">
        <v>1</v>
      </c>
      <c r="B21" s="11" t="s">
        <v>213</v>
      </c>
      <c r="C21" s="11">
        <v>3279</v>
      </c>
      <c r="D21" s="11">
        <v>1541</v>
      </c>
      <c r="E21" s="11">
        <v>1738</v>
      </c>
      <c r="H21" s="14"/>
      <c r="I21" s="14"/>
      <c r="J21" s="14"/>
    </row>
    <row r="22" spans="1:10" ht="21.95" customHeight="1" x14ac:dyDescent="0.25">
      <c r="A22" s="11">
        <v>2</v>
      </c>
      <c r="B22" s="11" t="s">
        <v>214</v>
      </c>
      <c r="C22" s="11">
        <v>1541</v>
      </c>
      <c r="D22" s="11">
        <v>701</v>
      </c>
      <c r="E22" s="11">
        <v>840</v>
      </c>
      <c r="H22" s="14"/>
      <c r="I22" s="14"/>
      <c r="J22" s="14"/>
    </row>
    <row r="23" spans="1:10" ht="21.95" customHeight="1" x14ac:dyDescent="0.25">
      <c r="A23" s="11">
        <v>3</v>
      </c>
      <c r="B23" s="11" t="s">
        <v>215</v>
      </c>
      <c r="C23" s="11">
        <v>1925</v>
      </c>
      <c r="D23" s="11">
        <v>880</v>
      </c>
      <c r="E23" s="11">
        <v>1045</v>
      </c>
      <c r="H23" s="14"/>
      <c r="I23" s="14"/>
      <c r="J23" s="14"/>
    </row>
    <row r="24" spans="1:10" ht="21.95" customHeight="1" x14ac:dyDescent="0.25">
      <c r="A24" s="11">
        <v>4</v>
      </c>
      <c r="B24" s="11" t="s">
        <v>216</v>
      </c>
      <c r="C24" s="11">
        <v>1937</v>
      </c>
      <c r="D24" s="11">
        <v>913</v>
      </c>
      <c r="E24" s="11">
        <v>1024</v>
      </c>
      <c r="H24" s="14"/>
      <c r="I24" s="14"/>
      <c r="J24" s="14"/>
    </row>
    <row r="25" spans="1:10" ht="21.95" customHeight="1" x14ac:dyDescent="0.25">
      <c r="A25" s="11">
        <v>5</v>
      </c>
      <c r="B25" s="11" t="s">
        <v>217</v>
      </c>
      <c r="C25" s="11">
        <v>1849</v>
      </c>
      <c r="D25" s="11">
        <v>859</v>
      </c>
      <c r="E25" s="11">
        <v>990</v>
      </c>
      <c r="H25" s="14"/>
      <c r="I25" s="14"/>
      <c r="J25" s="14"/>
    </row>
    <row r="26" spans="1:10" ht="21.95" customHeight="1" x14ac:dyDescent="0.25">
      <c r="A26" s="11">
        <v>6</v>
      </c>
      <c r="B26" s="11" t="s">
        <v>218</v>
      </c>
      <c r="C26" s="11">
        <v>1461</v>
      </c>
      <c r="D26" s="11">
        <v>706</v>
      </c>
      <c r="E26" s="11">
        <v>755</v>
      </c>
      <c r="H26" s="14"/>
      <c r="I26" s="14"/>
      <c r="J26" s="14"/>
    </row>
    <row r="27" spans="1:10" ht="21.95" customHeight="1" x14ac:dyDescent="0.25">
      <c r="A27" s="11">
        <v>7</v>
      </c>
      <c r="B27" s="11" t="s">
        <v>219</v>
      </c>
      <c r="C27" s="11">
        <v>1126</v>
      </c>
      <c r="D27" s="11">
        <v>547</v>
      </c>
      <c r="E27" s="11">
        <v>579</v>
      </c>
      <c r="H27" s="14"/>
      <c r="I27" s="14"/>
      <c r="J27" s="14"/>
    </row>
    <row r="28" spans="1:10" ht="21.95" customHeight="1" x14ac:dyDescent="0.25">
      <c r="A28" s="11">
        <v>8</v>
      </c>
      <c r="B28" s="11" t="s">
        <v>220</v>
      </c>
      <c r="C28" s="11">
        <v>1540</v>
      </c>
      <c r="D28" s="11">
        <v>690</v>
      </c>
      <c r="E28" s="11">
        <v>850</v>
      </c>
      <c r="H28" s="14"/>
      <c r="I28" s="14"/>
      <c r="J28" s="14"/>
    </row>
    <row r="29" spans="1:10" ht="21.95" customHeight="1" x14ac:dyDescent="0.25">
      <c r="A29" s="11">
        <v>9</v>
      </c>
      <c r="B29" s="11" t="s">
        <v>221</v>
      </c>
      <c r="C29" s="11">
        <v>3061</v>
      </c>
      <c r="D29" s="11">
        <v>1394</v>
      </c>
      <c r="E29" s="11">
        <v>1667</v>
      </c>
      <c r="H29" s="14"/>
      <c r="I29" s="14"/>
      <c r="J29" s="14"/>
    </row>
    <row r="30" spans="1:10" ht="21.95" customHeight="1" x14ac:dyDescent="0.25">
      <c r="A30" s="11">
        <v>10</v>
      </c>
      <c r="B30" s="11" t="s">
        <v>222</v>
      </c>
      <c r="C30" s="11">
        <v>2738</v>
      </c>
      <c r="D30" s="11">
        <v>1269</v>
      </c>
      <c r="E30" s="11">
        <v>1469</v>
      </c>
      <c r="H30" s="14"/>
      <c r="I30" s="14"/>
      <c r="J30" s="14"/>
    </row>
    <row r="31" spans="1:10" ht="21.95" customHeight="1" x14ac:dyDescent="0.25">
      <c r="A31" s="11">
        <v>11</v>
      </c>
      <c r="B31" s="11" t="s">
        <v>223</v>
      </c>
      <c r="C31" s="11">
        <v>6272</v>
      </c>
      <c r="D31" s="11">
        <v>2913</v>
      </c>
      <c r="E31" s="11">
        <v>3359</v>
      </c>
      <c r="H31" s="14"/>
      <c r="I31" s="14"/>
      <c r="J31" s="14"/>
    </row>
    <row r="32" spans="1:10" ht="21.95" customHeight="1" x14ac:dyDescent="0.25">
      <c r="A32" s="11">
        <v>12</v>
      </c>
      <c r="B32" s="11" t="s">
        <v>224</v>
      </c>
      <c r="C32" s="11">
        <v>2353</v>
      </c>
      <c r="D32" s="11">
        <v>1101</v>
      </c>
      <c r="E32" s="11">
        <v>1252</v>
      </c>
      <c r="H32" s="14"/>
      <c r="I32" s="14"/>
      <c r="J32" s="14"/>
    </row>
    <row r="33" spans="1:10" ht="21.95" customHeight="1" x14ac:dyDescent="0.25">
      <c r="A33" s="11">
        <v>13</v>
      </c>
      <c r="B33" s="11" t="s">
        <v>225</v>
      </c>
      <c r="C33" s="11">
        <v>6246</v>
      </c>
      <c r="D33" s="11">
        <v>2845</v>
      </c>
      <c r="E33" s="11">
        <v>3401</v>
      </c>
      <c r="H33" s="14"/>
      <c r="I33" s="14"/>
      <c r="J33" s="14"/>
    </row>
    <row r="34" spans="1:10" ht="21.95" customHeight="1" x14ac:dyDescent="0.25">
      <c r="A34" s="11">
        <v>14</v>
      </c>
      <c r="B34" s="11" t="s">
        <v>226</v>
      </c>
      <c r="C34" s="11">
        <v>2069</v>
      </c>
      <c r="D34" s="11">
        <v>897</v>
      </c>
      <c r="E34" s="11">
        <v>1172</v>
      </c>
      <c r="H34" s="14"/>
      <c r="I34" s="14"/>
      <c r="J34" s="14"/>
    </row>
    <row r="35" spans="1:10" ht="21.95" customHeight="1" x14ac:dyDescent="0.25">
      <c r="A35" s="11">
        <v>15</v>
      </c>
      <c r="B35" s="11" t="s">
        <v>227</v>
      </c>
      <c r="C35" s="11">
        <v>3242</v>
      </c>
      <c r="D35" s="11">
        <v>1461</v>
      </c>
      <c r="E35" s="11">
        <v>1781</v>
      </c>
      <c r="H35" s="14"/>
      <c r="I35" s="14"/>
      <c r="J35" s="14"/>
    </row>
    <row r="36" spans="1:10" ht="21.95" customHeight="1" x14ac:dyDescent="0.25">
      <c r="A36" s="11">
        <v>16</v>
      </c>
      <c r="B36" s="11" t="s">
        <v>228</v>
      </c>
      <c r="C36" s="11">
        <v>998</v>
      </c>
      <c r="D36" s="11">
        <v>465</v>
      </c>
      <c r="E36" s="11">
        <v>533</v>
      </c>
      <c r="H36" s="14"/>
      <c r="I36" s="14"/>
      <c r="J36" s="14"/>
    </row>
    <row r="37" spans="1:10" ht="21.95" customHeight="1" x14ac:dyDescent="0.25">
      <c r="A37" s="11">
        <v>17</v>
      </c>
      <c r="B37" s="11" t="s">
        <v>229</v>
      </c>
      <c r="C37" s="11">
        <v>1164</v>
      </c>
      <c r="D37" s="11">
        <v>510</v>
      </c>
      <c r="E37" s="11">
        <v>654</v>
      </c>
      <c r="H37" s="14"/>
      <c r="I37" s="14"/>
      <c r="J37" s="14"/>
    </row>
    <row r="38" spans="1:10" ht="21.95" customHeight="1" x14ac:dyDescent="0.25">
      <c r="A38" s="11">
        <v>18</v>
      </c>
      <c r="B38" s="11" t="s">
        <v>230</v>
      </c>
      <c r="C38" s="11">
        <v>1855</v>
      </c>
      <c r="D38" s="11">
        <v>859</v>
      </c>
      <c r="E38" s="11">
        <v>996</v>
      </c>
      <c r="H38" s="14"/>
      <c r="I38" s="14"/>
      <c r="J38" s="14"/>
    </row>
    <row r="39" spans="1:10" ht="21.95" customHeight="1" x14ac:dyDescent="0.25">
      <c r="A39" s="11">
        <v>19</v>
      </c>
      <c r="B39" s="11" t="s">
        <v>231</v>
      </c>
      <c r="C39" s="11">
        <v>4624</v>
      </c>
      <c r="D39" s="11">
        <v>2149</v>
      </c>
      <c r="E39" s="11">
        <v>2475</v>
      </c>
      <c r="H39" s="14"/>
      <c r="I39" s="14"/>
      <c r="J39" s="14"/>
    </row>
    <row r="40" spans="1:10" ht="21.95" customHeight="1" x14ac:dyDescent="0.25">
      <c r="A40" s="11">
        <v>20</v>
      </c>
      <c r="B40" s="11" t="s">
        <v>232</v>
      </c>
      <c r="C40" s="11">
        <v>1407</v>
      </c>
      <c r="D40" s="11">
        <v>685</v>
      </c>
      <c r="E40" s="11">
        <v>722</v>
      </c>
      <c r="H40" s="14"/>
      <c r="I40" s="14"/>
      <c r="J40" s="14"/>
    </row>
    <row r="41" spans="1:10" ht="21.95" customHeight="1" x14ac:dyDescent="0.25">
      <c r="A41" s="11">
        <v>21</v>
      </c>
      <c r="B41" s="11" t="s">
        <v>233</v>
      </c>
      <c r="C41" s="11">
        <v>870</v>
      </c>
      <c r="D41" s="11">
        <v>435</v>
      </c>
      <c r="E41" s="11">
        <v>435</v>
      </c>
      <c r="H41" s="14"/>
      <c r="I41" s="14"/>
      <c r="J41" s="14"/>
    </row>
    <row r="42" spans="1:10" ht="21.95" customHeight="1" x14ac:dyDescent="0.25">
      <c r="A42" s="11">
        <v>22</v>
      </c>
      <c r="B42" s="11" t="s">
        <v>234</v>
      </c>
      <c r="C42" s="11">
        <v>2984</v>
      </c>
      <c r="D42" s="11">
        <v>1342</v>
      </c>
      <c r="E42" s="11">
        <v>1642</v>
      </c>
      <c r="H42" s="14"/>
      <c r="I42" s="14"/>
      <c r="J42" s="14"/>
    </row>
    <row r="43" spans="1:10" ht="21.95" customHeight="1" x14ac:dyDescent="0.25">
      <c r="A43" s="11">
        <v>23</v>
      </c>
      <c r="B43" s="11" t="s">
        <v>235</v>
      </c>
      <c r="C43" s="11">
        <v>2245</v>
      </c>
      <c r="D43" s="11">
        <v>928</v>
      </c>
      <c r="E43" s="11">
        <v>1317</v>
      </c>
      <c r="H43" s="14"/>
      <c r="I43" s="14"/>
      <c r="J43" s="14"/>
    </row>
    <row r="44" spans="1:10" ht="21.95" customHeight="1" x14ac:dyDescent="0.25">
      <c r="A44" s="11">
        <v>24</v>
      </c>
      <c r="B44" s="11" t="s">
        <v>236</v>
      </c>
      <c r="C44" s="11">
        <v>932</v>
      </c>
      <c r="D44" s="11">
        <v>414</v>
      </c>
      <c r="E44" s="11">
        <v>518</v>
      </c>
      <c r="H44" s="14"/>
      <c r="I44" s="14"/>
      <c r="J44" s="14"/>
    </row>
    <row r="45" spans="1:10" ht="21.95" customHeight="1" x14ac:dyDescent="0.25">
      <c r="A45" s="11">
        <v>25</v>
      </c>
      <c r="B45" s="11" t="s">
        <v>237</v>
      </c>
      <c r="C45" s="11">
        <v>1562</v>
      </c>
      <c r="D45" s="11">
        <v>694</v>
      </c>
      <c r="E45" s="11">
        <v>868</v>
      </c>
      <c r="H45" s="14"/>
      <c r="I45" s="14"/>
      <c r="J45" s="14"/>
    </row>
    <row r="46" spans="1:10" ht="21.95" customHeight="1" x14ac:dyDescent="0.25">
      <c r="A46" s="11">
        <v>26</v>
      </c>
      <c r="B46" s="11" t="s">
        <v>238</v>
      </c>
      <c r="C46" s="11">
        <v>915</v>
      </c>
      <c r="D46" s="11">
        <v>414</v>
      </c>
      <c r="E46" s="11">
        <v>501</v>
      </c>
      <c r="H46" s="14"/>
      <c r="I46" s="14"/>
      <c r="J46" s="14"/>
    </row>
    <row r="47" spans="1:10" ht="21.95" customHeight="1" x14ac:dyDescent="0.25">
      <c r="A47" s="11">
        <v>27</v>
      </c>
      <c r="B47" s="11" t="s">
        <v>239</v>
      </c>
      <c r="C47" s="11">
        <v>582</v>
      </c>
      <c r="D47" s="11">
        <v>262</v>
      </c>
      <c r="E47" s="11">
        <v>320</v>
      </c>
      <c r="H47" s="14"/>
      <c r="I47" s="14"/>
      <c r="J47" s="14"/>
    </row>
    <row r="48" spans="1:10" ht="21.95" customHeight="1" x14ac:dyDescent="0.25">
      <c r="A48" s="11">
        <v>28</v>
      </c>
      <c r="B48" s="11" t="s">
        <v>240</v>
      </c>
      <c r="C48" s="11">
        <v>554</v>
      </c>
      <c r="D48" s="11">
        <v>256</v>
      </c>
      <c r="E48" s="11">
        <v>298</v>
      </c>
      <c r="H48" s="14"/>
      <c r="I48" s="14"/>
      <c r="J48" s="14"/>
    </row>
    <row r="49" spans="1:10" ht="21.95" customHeight="1" x14ac:dyDescent="0.25">
      <c r="A49" s="11">
        <v>29</v>
      </c>
      <c r="B49" s="11" t="s">
        <v>241</v>
      </c>
      <c r="C49" s="11">
        <v>1208</v>
      </c>
      <c r="D49" s="11">
        <v>562</v>
      </c>
      <c r="E49" s="11">
        <v>646</v>
      </c>
      <c r="H49" s="14"/>
      <c r="I49" s="14"/>
      <c r="J49" s="14"/>
    </row>
    <row r="50" spans="1:10" ht="21.95" customHeight="1" x14ac:dyDescent="0.25">
      <c r="A50" s="11">
        <v>30</v>
      </c>
      <c r="B50" s="11" t="s">
        <v>242</v>
      </c>
      <c r="C50" s="11">
        <v>595</v>
      </c>
      <c r="D50" s="11">
        <v>278</v>
      </c>
      <c r="E50" s="11">
        <v>317</v>
      </c>
      <c r="H50" s="14"/>
      <c r="I50" s="14"/>
      <c r="J50" s="14"/>
    </row>
    <row r="51" spans="1:10" ht="21.95" customHeight="1" x14ac:dyDescent="0.25">
      <c r="A51" s="11">
        <v>31</v>
      </c>
      <c r="B51" s="11" t="s">
        <v>243</v>
      </c>
      <c r="C51" s="11">
        <v>3660</v>
      </c>
      <c r="D51" s="11">
        <v>1760</v>
      </c>
      <c r="E51" s="11">
        <v>1900</v>
      </c>
      <c r="H51" s="14"/>
      <c r="I51" s="14"/>
      <c r="J51" s="14"/>
    </row>
    <row r="52" spans="1:10" ht="21.95" customHeight="1" x14ac:dyDescent="0.25">
      <c r="A52" s="11">
        <v>32</v>
      </c>
      <c r="B52" s="11" t="s">
        <v>244</v>
      </c>
      <c r="C52" s="11">
        <v>816</v>
      </c>
      <c r="D52" s="11">
        <v>379</v>
      </c>
      <c r="E52" s="11">
        <v>437</v>
      </c>
      <c r="H52" s="14"/>
      <c r="I52" s="14"/>
      <c r="J52" s="14"/>
    </row>
    <row r="53" spans="1:10" ht="21.95" customHeight="1" x14ac:dyDescent="0.25">
      <c r="A53" s="11">
        <v>33</v>
      </c>
      <c r="B53" s="11" t="s">
        <v>245</v>
      </c>
      <c r="C53" s="11">
        <v>1689</v>
      </c>
      <c r="D53" s="11">
        <v>796</v>
      </c>
      <c r="E53" s="11">
        <v>893</v>
      </c>
      <c r="H53" s="14"/>
      <c r="I53" s="14"/>
      <c r="J53" s="14"/>
    </row>
    <row r="54" spans="1:10" ht="21.95" customHeight="1" x14ac:dyDescent="0.25">
      <c r="A54" s="11">
        <v>34</v>
      </c>
      <c r="B54" s="11" t="s">
        <v>246</v>
      </c>
      <c r="C54" s="11">
        <v>2890</v>
      </c>
      <c r="D54" s="11">
        <v>1365</v>
      </c>
      <c r="E54" s="11">
        <v>1525</v>
      </c>
      <c r="H54" s="14"/>
      <c r="I54" s="14"/>
      <c r="J54" s="14"/>
    </row>
    <row r="55" spans="1:10" ht="21.95" customHeight="1" x14ac:dyDescent="0.25">
      <c r="A55" s="11">
        <v>35</v>
      </c>
      <c r="B55" s="11" t="s">
        <v>247</v>
      </c>
      <c r="C55" s="11">
        <v>4720</v>
      </c>
      <c r="D55" s="11">
        <v>2503</v>
      </c>
      <c r="E55" s="11">
        <v>2217</v>
      </c>
      <c r="H55" s="14"/>
      <c r="I55" s="14"/>
      <c r="J55" s="14"/>
    </row>
    <row r="56" spans="1:10" ht="21.95" customHeight="1" x14ac:dyDescent="0.25">
      <c r="A56" s="11">
        <v>36</v>
      </c>
      <c r="B56" s="11" t="s">
        <v>248</v>
      </c>
      <c r="C56" s="11">
        <v>2629</v>
      </c>
      <c r="D56" s="11">
        <v>1237</v>
      </c>
      <c r="E56" s="11">
        <v>1392</v>
      </c>
      <c r="H56" s="14"/>
      <c r="I56" s="14"/>
      <c r="J56" s="14"/>
    </row>
    <row r="57" spans="1:10" ht="21.95" customHeight="1" x14ac:dyDescent="0.25">
      <c r="A57" s="11">
        <v>37</v>
      </c>
      <c r="B57" s="11" t="s">
        <v>249</v>
      </c>
      <c r="C57" s="11">
        <v>4868</v>
      </c>
      <c r="D57" s="11">
        <v>2137</v>
      </c>
      <c r="E57" s="11">
        <v>2731</v>
      </c>
      <c r="H57" s="14"/>
      <c r="I57" s="14"/>
      <c r="J57" s="14"/>
    </row>
    <row r="58" spans="1:10" ht="21.95" customHeight="1" x14ac:dyDescent="0.25">
      <c r="A58" s="11">
        <v>38</v>
      </c>
      <c r="B58" s="11" t="s">
        <v>250</v>
      </c>
      <c r="C58" s="11">
        <v>1559</v>
      </c>
      <c r="D58" s="11">
        <v>719</v>
      </c>
      <c r="E58" s="11">
        <v>840</v>
      </c>
      <c r="H58" s="14"/>
      <c r="I58" s="14"/>
      <c r="J58" s="14"/>
    </row>
    <row r="59" spans="1:10" ht="21.95" customHeight="1" x14ac:dyDescent="0.25">
      <c r="A59" s="11">
        <v>39</v>
      </c>
      <c r="B59" s="11" t="s">
        <v>251</v>
      </c>
      <c r="C59" s="11">
        <v>1552</v>
      </c>
      <c r="D59" s="11">
        <v>670</v>
      </c>
      <c r="E59" s="11">
        <v>882</v>
      </c>
      <c r="H59" s="14"/>
      <c r="I59" s="14"/>
      <c r="J59" s="14"/>
    </row>
    <row r="60" spans="1:10" ht="21.95" customHeight="1" x14ac:dyDescent="0.25">
      <c r="A60" s="11">
        <v>40</v>
      </c>
      <c r="B60" s="11" t="s">
        <v>252</v>
      </c>
      <c r="C60" s="11">
        <v>3502</v>
      </c>
      <c r="D60" s="11">
        <v>1690</v>
      </c>
      <c r="E60" s="11">
        <v>1812</v>
      </c>
      <c r="H60" s="14"/>
      <c r="I60" s="14"/>
      <c r="J60" s="14"/>
    </row>
    <row r="61" spans="1:10" ht="21.95" customHeight="1" x14ac:dyDescent="0.25">
      <c r="A61" s="11">
        <v>41</v>
      </c>
      <c r="B61" s="11" t="s">
        <v>253</v>
      </c>
      <c r="C61" s="11">
        <v>2268</v>
      </c>
      <c r="D61" s="11">
        <v>1072</v>
      </c>
      <c r="E61" s="11">
        <v>1196</v>
      </c>
      <c r="H61" s="14"/>
      <c r="I61" s="14"/>
      <c r="J61" s="14"/>
    </row>
    <row r="62" spans="1:10" ht="21.95" customHeight="1" x14ac:dyDescent="0.25">
      <c r="A62" s="11">
        <v>42</v>
      </c>
      <c r="B62" s="11" t="s">
        <v>254</v>
      </c>
      <c r="C62" s="11">
        <v>3024</v>
      </c>
      <c r="D62" s="11">
        <v>1407</v>
      </c>
      <c r="E62" s="11">
        <v>1617</v>
      </c>
      <c r="H62" s="14"/>
      <c r="I62" s="14"/>
      <c r="J62" s="14"/>
    </row>
    <row r="63" spans="1:10" ht="21.95" customHeight="1" x14ac:dyDescent="0.25">
      <c r="A63" s="11">
        <v>43</v>
      </c>
      <c r="B63" s="11" t="s">
        <v>255</v>
      </c>
      <c r="C63" s="11">
        <v>1990</v>
      </c>
      <c r="D63" s="11">
        <v>872</v>
      </c>
      <c r="E63" s="11">
        <v>1118</v>
      </c>
      <c r="H63" s="14"/>
      <c r="I63" s="14"/>
      <c r="J63" s="14"/>
    </row>
    <row r="64" spans="1:10" ht="21.95" customHeight="1" x14ac:dyDescent="0.25">
      <c r="A64" s="11">
        <v>44</v>
      </c>
      <c r="B64" s="11" t="s">
        <v>256</v>
      </c>
      <c r="C64" s="11">
        <v>6940</v>
      </c>
      <c r="D64" s="11">
        <v>2929</v>
      </c>
      <c r="E64" s="11">
        <v>4011</v>
      </c>
      <c r="H64" s="14"/>
      <c r="I64" s="14"/>
      <c r="J64" s="14"/>
    </row>
    <row r="65" spans="1:10" ht="21.95" customHeight="1" x14ac:dyDescent="0.25">
      <c r="A65" s="11">
        <v>45</v>
      </c>
      <c r="B65" s="11" t="s">
        <v>257</v>
      </c>
      <c r="C65" s="11">
        <v>1805</v>
      </c>
      <c r="D65" s="11">
        <v>849</v>
      </c>
      <c r="E65" s="11">
        <v>956</v>
      </c>
      <c r="H65" s="14"/>
      <c r="I65" s="14"/>
      <c r="J65" s="14"/>
    </row>
    <row r="66" spans="1:10" ht="21.95" customHeight="1" x14ac:dyDescent="0.25">
      <c r="A66" s="11">
        <v>46</v>
      </c>
      <c r="B66" s="11" t="s">
        <v>258</v>
      </c>
      <c r="C66" s="11">
        <v>735</v>
      </c>
      <c r="D66" s="11">
        <v>341</v>
      </c>
      <c r="E66" s="11">
        <v>394</v>
      </c>
      <c r="H66" s="14"/>
      <c r="I66" s="14"/>
      <c r="J66" s="14"/>
    </row>
    <row r="67" spans="1:10" ht="21.95" customHeight="1" x14ac:dyDescent="0.25">
      <c r="A67" s="11">
        <v>47</v>
      </c>
      <c r="B67" s="11" t="s">
        <v>259</v>
      </c>
      <c r="C67" s="11">
        <v>1208</v>
      </c>
      <c r="D67" s="11">
        <v>537</v>
      </c>
      <c r="E67" s="11">
        <v>671</v>
      </c>
      <c r="H67" s="14"/>
      <c r="I67" s="14"/>
      <c r="J67" s="14"/>
    </row>
    <row r="68" spans="1:10" ht="21.95" customHeight="1" x14ac:dyDescent="0.25">
      <c r="A68" s="11">
        <v>48</v>
      </c>
      <c r="B68" s="11" t="s">
        <v>260</v>
      </c>
      <c r="C68" s="11">
        <v>13015</v>
      </c>
      <c r="D68" s="11">
        <v>5546</v>
      </c>
      <c r="E68" s="11">
        <v>7469</v>
      </c>
      <c r="H68" s="14"/>
      <c r="I68" s="14"/>
      <c r="J68" s="14"/>
    </row>
    <row r="69" spans="1:10" ht="21.95" customHeight="1" x14ac:dyDescent="0.25">
      <c r="A69" s="11">
        <v>49</v>
      </c>
      <c r="B69" s="11" t="s">
        <v>261</v>
      </c>
      <c r="C69" s="11">
        <v>2794</v>
      </c>
      <c r="D69" s="11">
        <v>1243</v>
      </c>
      <c r="E69" s="11">
        <v>1551</v>
      </c>
      <c r="H69" s="14"/>
      <c r="I69" s="14"/>
      <c r="J69" s="14"/>
    </row>
    <row r="70" spans="1:10" ht="21.95" customHeight="1" x14ac:dyDescent="0.25">
      <c r="A70" s="11">
        <v>50</v>
      </c>
      <c r="B70" s="11" t="s">
        <v>262</v>
      </c>
      <c r="C70" s="11">
        <v>3655</v>
      </c>
      <c r="D70" s="11">
        <v>1734</v>
      </c>
      <c r="E70" s="11">
        <v>1921</v>
      </c>
      <c r="H70" s="14"/>
      <c r="I70" s="14"/>
      <c r="J70" s="14"/>
    </row>
    <row r="71" spans="1:10" ht="21.95" customHeight="1" x14ac:dyDescent="0.25">
      <c r="A71" s="11">
        <v>51</v>
      </c>
      <c r="B71" s="11" t="s">
        <v>263</v>
      </c>
      <c r="C71" s="11">
        <v>3444</v>
      </c>
      <c r="D71" s="11">
        <v>1615</v>
      </c>
      <c r="E71" s="11">
        <v>1829</v>
      </c>
      <c r="H71" s="14"/>
      <c r="I71" s="14"/>
      <c r="J71" s="14"/>
    </row>
    <row r="72" spans="1:10" ht="21.95" customHeight="1" x14ac:dyDescent="0.25">
      <c r="A72" s="11">
        <v>52</v>
      </c>
      <c r="B72" s="11" t="s">
        <v>264</v>
      </c>
      <c r="C72" s="11">
        <v>2157</v>
      </c>
      <c r="D72" s="11">
        <v>999</v>
      </c>
      <c r="E72" s="11">
        <v>1158</v>
      </c>
      <c r="H72" s="14"/>
      <c r="I72" s="14"/>
      <c r="J72" s="14"/>
    </row>
    <row r="73" spans="1:10" ht="21.95" customHeight="1" x14ac:dyDescent="0.25">
      <c r="A73" s="11">
        <v>53</v>
      </c>
      <c r="B73" s="11" t="s">
        <v>265</v>
      </c>
      <c r="C73" s="11">
        <v>3827</v>
      </c>
      <c r="D73" s="11">
        <v>1806</v>
      </c>
      <c r="E73" s="11">
        <v>2021</v>
      </c>
      <c r="H73" s="14"/>
      <c r="I73" s="14"/>
      <c r="J73" s="14"/>
    </row>
    <row r="74" spans="1:10" ht="21.95" customHeight="1" x14ac:dyDescent="0.25">
      <c r="A74" s="11">
        <v>54</v>
      </c>
      <c r="B74" s="11" t="s">
        <v>266</v>
      </c>
      <c r="C74" s="11">
        <v>3667</v>
      </c>
      <c r="D74" s="11">
        <v>1706</v>
      </c>
      <c r="E74" s="11">
        <v>1961</v>
      </c>
      <c r="H74" s="14"/>
      <c r="I74" s="14"/>
      <c r="J74" s="14"/>
    </row>
    <row r="75" spans="1:10" ht="21.95" customHeight="1" x14ac:dyDescent="0.25">
      <c r="A75" s="11">
        <v>55</v>
      </c>
      <c r="B75" s="11" t="s">
        <v>267</v>
      </c>
      <c r="C75" s="11">
        <v>2070</v>
      </c>
      <c r="D75" s="11">
        <v>979</v>
      </c>
      <c r="E75" s="11">
        <v>1091</v>
      </c>
      <c r="H75" s="14"/>
      <c r="I75" s="14"/>
      <c r="J75" s="14"/>
    </row>
    <row r="76" spans="1:10" ht="21.95" customHeight="1" x14ac:dyDescent="0.25">
      <c r="A76" s="11">
        <v>56</v>
      </c>
      <c r="B76" s="11" t="s">
        <v>268</v>
      </c>
      <c r="C76" s="11">
        <v>3214</v>
      </c>
      <c r="D76" s="11">
        <v>1472</v>
      </c>
      <c r="E76" s="11">
        <v>1742</v>
      </c>
      <c r="H76" s="14"/>
      <c r="I76" s="14"/>
      <c r="J76" s="14"/>
    </row>
    <row r="77" spans="1:10" ht="21.95" customHeight="1" x14ac:dyDescent="0.25">
      <c r="A77" s="11">
        <v>57</v>
      </c>
      <c r="B77" s="11" t="s">
        <v>64</v>
      </c>
      <c r="C77" s="11">
        <v>8327</v>
      </c>
      <c r="D77" s="11">
        <v>4095</v>
      </c>
      <c r="E77" s="11">
        <v>4232</v>
      </c>
      <c r="H77" s="14"/>
      <c r="I77" s="14"/>
      <c r="J77" s="14"/>
    </row>
    <row r="78" spans="1:10" ht="21.95" customHeight="1" x14ac:dyDescent="0.25">
      <c r="A78" s="11">
        <v>58</v>
      </c>
      <c r="B78" s="11" t="s">
        <v>269</v>
      </c>
      <c r="C78" s="11">
        <v>4323</v>
      </c>
      <c r="D78" s="11">
        <v>1950</v>
      </c>
      <c r="E78" s="11">
        <v>2373</v>
      </c>
      <c r="H78" s="14"/>
      <c r="I78" s="14"/>
      <c r="J78" s="14"/>
    </row>
    <row r="79" spans="1:10" ht="21.95" customHeight="1" x14ac:dyDescent="0.25">
      <c r="A79" s="11">
        <v>59</v>
      </c>
      <c r="B79" s="11" t="s">
        <v>270</v>
      </c>
      <c r="C79" s="11">
        <v>3976</v>
      </c>
      <c r="D79" s="11">
        <v>1742</v>
      </c>
      <c r="E79" s="11">
        <v>2234</v>
      </c>
      <c r="H79" s="14"/>
      <c r="I79" s="14"/>
      <c r="J79" s="14"/>
    </row>
    <row r="80" spans="1:10" ht="21.95" customHeight="1" x14ac:dyDescent="0.25">
      <c r="A80" s="11">
        <v>60</v>
      </c>
      <c r="B80" s="11" t="s">
        <v>271</v>
      </c>
      <c r="C80" s="11">
        <v>1267</v>
      </c>
      <c r="D80" s="11">
        <v>572</v>
      </c>
      <c r="E80" s="11">
        <v>695</v>
      </c>
      <c r="H80" s="14"/>
      <c r="I80" s="14"/>
      <c r="J80" s="14"/>
    </row>
    <row r="81" spans="1:10" ht="21.95" customHeight="1" x14ac:dyDescent="0.25">
      <c r="A81" s="11">
        <v>61</v>
      </c>
      <c r="B81" s="11" t="s">
        <v>272</v>
      </c>
      <c r="C81" s="11">
        <v>678</v>
      </c>
      <c r="D81" s="11">
        <v>312</v>
      </c>
      <c r="E81" s="11">
        <v>366</v>
      </c>
      <c r="H81" s="14"/>
      <c r="I81" s="14"/>
      <c r="J81" s="14"/>
    </row>
    <row r="82" spans="1:10" ht="21.95" customHeight="1" x14ac:dyDescent="0.25">
      <c r="A82" s="12">
        <v>62</v>
      </c>
      <c r="B82" s="12" t="s">
        <v>273</v>
      </c>
      <c r="C82" s="12">
        <v>1103</v>
      </c>
      <c r="D82" s="12">
        <v>526</v>
      </c>
      <c r="E82" s="12">
        <v>577</v>
      </c>
      <c r="H82" s="14"/>
      <c r="I82" s="14"/>
      <c r="J82" s="14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hwebo District, Shwebo Township"/>
  </hyperlinks>
  <pageMargins left="0.75" right="0.5" top="0.5" bottom="0.2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"/>
  <sheetViews>
    <sheetView workbookViewId="0">
      <selection sqref="A1:E1"/>
    </sheetView>
  </sheetViews>
  <sheetFormatPr defaultRowHeight="24.75" customHeight="1" x14ac:dyDescent="0.25"/>
  <cols>
    <col min="1" max="1" width="5.7109375" style="3" customWidth="1"/>
    <col min="2" max="2" width="28.28515625" style="3" customWidth="1"/>
    <col min="3" max="5" width="15.7109375" style="3" customWidth="1"/>
    <col min="6" max="16384" width="9.140625" style="3"/>
  </cols>
  <sheetData>
    <row r="1" spans="1:9" ht="24.75" customHeight="1" x14ac:dyDescent="0.25">
      <c r="A1" s="67" t="s">
        <v>1730</v>
      </c>
      <c r="B1" s="67"/>
      <c r="C1" s="67"/>
      <c r="D1" s="67"/>
      <c r="E1" s="67"/>
    </row>
    <row r="2" spans="1:9" ht="24.75" customHeight="1" x14ac:dyDescent="0.4">
      <c r="A2" s="2"/>
      <c r="B2" s="7"/>
      <c r="C2" s="7"/>
      <c r="D2" s="7"/>
      <c r="E2" s="56" t="s">
        <v>1722</v>
      </c>
    </row>
    <row r="3" spans="1:9" ht="24.75" customHeight="1" x14ac:dyDescent="0.4">
      <c r="A3" s="2"/>
      <c r="B3" s="7"/>
      <c r="C3" s="7"/>
      <c r="D3" s="7"/>
      <c r="E3" s="56"/>
    </row>
    <row r="4" spans="1:9" ht="10.5" customHeight="1" x14ac:dyDescent="0.4">
      <c r="A4" s="2"/>
      <c r="B4" s="7"/>
      <c r="C4" s="7"/>
      <c r="D4" s="7"/>
      <c r="E4" s="7"/>
    </row>
    <row r="5" spans="1:9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9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9" ht="21.95" customHeight="1" x14ac:dyDescent="0.25">
      <c r="A7" s="9"/>
      <c r="B7" s="9" t="s">
        <v>1772</v>
      </c>
      <c r="C7" s="22">
        <f>C9+C14</f>
        <v>146457</v>
      </c>
      <c r="D7" s="22">
        <f t="shared" ref="D7:E7" si="0">D9+D14</f>
        <v>67929</v>
      </c>
      <c r="E7" s="22">
        <f t="shared" si="0"/>
        <v>78528</v>
      </c>
      <c r="G7" s="15"/>
      <c r="H7" s="15"/>
      <c r="I7" s="15"/>
    </row>
    <row r="8" spans="1:9" ht="8.25" customHeight="1" x14ac:dyDescent="0.25">
      <c r="A8" s="10"/>
      <c r="B8" s="23"/>
      <c r="C8" s="23"/>
      <c r="D8" s="23"/>
      <c r="E8" s="23"/>
      <c r="G8" s="15"/>
      <c r="H8" s="15"/>
      <c r="I8" s="15"/>
    </row>
    <row r="9" spans="1:9" ht="21.95" customHeight="1" x14ac:dyDescent="0.25">
      <c r="A9" s="10"/>
      <c r="B9" s="10" t="s">
        <v>1725</v>
      </c>
      <c r="C9" s="24">
        <f>SUM(C10:C13)</f>
        <v>11334</v>
      </c>
      <c r="D9" s="24">
        <f t="shared" ref="D9:E9" si="1">SUM(D10:D13)</f>
        <v>5194</v>
      </c>
      <c r="E9" s="24">
        <f t="shared" si="1"/>
        <v>6140</v>
      </c>
      <c r="G9" s="15"/>
      <c r="H9" s="15"/>
      <c r="I9" s="15"/>
    </row>
    <row r="10" spans="1:9" ht="21.95" customHeight="1" x14ac:dyDescent="0.25">
      <c r="A10" s="11">
        <v>1</v>
      </c>
      <c r="B10" s="11" t="s">
        <v>274</v>
      </c>
      <c r="C10" s="11">
        <v>4324</v>
      </c>
      <c r="D10" s="11">
        <v>2034</v>
      </c>
      <c r="E10" s="11">
        <v>2290</v>
      </c>
      <c r="G10" s="15"/>
      <c r="H10" s="15"/>
      <c r="I10" s="15"/>
    </row>
    <row r="11" spans="1:9" ht="21.95" customHeight="1" x14ac:dyDescent="0.25">
      <c r="A11" s="11">
        <v>2</v>
      </c>
      <c r="B11" s="11" t="s">
        <v>275</v>
      </c>
      <c r="C11" s="11">
        <v>1589</v>
      </c>
      <c r="D11" s="11">
        <v>706</v>
      </c>
      <c r="E11" s="11">
        <v>883</v>
      </c>
      <c r="G11" s="15"/>
      <c r="H11" s="15"/>
      <c r="I11" s="15"/>
    </row>
    <row r="12" spans="1:9" ht="21.95" customHeight="1" x14ac:dyDescent="0.25">
      <c r="A12" s="11">
        <v>3</v>
      </c>
      <c r="B12" s="11" t="s">
        <v>276</v>
      </c>
      <c r="C12" s="11">
        <v>2529</v>
      </c>
      <c r="D12" s="11">
        <v>1151</v>
      </c>
      <c r="E12" s="11">
        <v>1378</v>
      </c>
      <c r="G12" s="15"/>
      <c r="H12" s="15"/>
      <c r="I12" s="15"/>
    </row>
    <row r="13" spans="1:9" ht="21.95" customHeight="1" x14ac:dyDescent="0.25">
      <c r="A13" s="11">
        <v>4</v>
      </c>
      <c r="B13" s="11" t="s">
        <v>277</v>
      </c>
      <c r="C13" s="11">
        <v>2892</v>
      </c>
      <c r="D13" s="11">
        <v>1303</v>
      </c>
      <c r="E13" s="11">
        <v>1589</v>
      </c>
      <c r="G13" s="15"/>
      <c r="H13" s="15"/>
      <c r="I13" s="15"/>
    </row>
    <row r="14" spans="1:9" ht="21.95" customHeight="1" x14ac:dyDescent="0.25">
      <c r="A14" s="11"/>
      <c r="B14" s="10" t="s">
        <v>1773</v>
      </c>
      <c r="C14" s="24">
        <f>SUM(C15:C73)</f>
        <v>135123</v>
      </c>
      <c r="D14" s="24">
        <f t="shared" ref="D14:E14" si="2">SUM(D15:D73)</f>
        <v>62735</v>
      </c>
      <c r="E14" s="24">
        <f t="shared" si="2"/>
        <v>72388</v>
      </c>
      <c r="G14" s="15"/>
      <c r="H14" s="15"/>
      <c r="I14" s="15"/>
    </row>
    <row r="15" spans="1:9" ht="21.95" customHeight="1" x14ac:dyDescent="0.25">
      <c r="A15" s="11">
        <v>1</v>
      </c>
      <c r="B15" s="11" t="s">
        <v>278</v>
      </c>
      <c r="C15" s="11">
        <v>2274</v>
      </c>
      <c r="D15" s="11">
        <v>1026</v>
      </c>
      <c r="E15" s="11">
        <v>1248</v>
      </c>
      <c r="G15" s="15"/>
      <c r="H15" s="15"/>
      <c r="I15" s="15"/>
    </row>
    <row r="16" spans="1:9" ht="21.95" customHeight="1" x14ac:dyDescent="0.25">
      <c r="A16" s="11">
        <v>2</v>
      </c>
      <c r="B16" s="11" t="s">
        <v>279</v>
      </c>
      <c r="C16" s="11">
        <v>1237</v>
      </c>
      <c r="D16" s="11">
        <v>570</v>
      </c>
      <c r="E16" s="11">
        <v>667</v>
      </c>
      <c r="G16" s="15"/>
      <c r="H16" s="15"/>
      <c r="I16" s="15"/>
    </row>
    <row r="17" spans="1:9" ht="21.95" customHeight="1" x14ac:dyDescent="0.25">
      <c r="A17" s="11">
        <v>3</v>
      </c>
      <c r="B17" s="11" t="s">
        <v>280</v>
      </c>
      <c r="C17" s="11">
        <v>1136</v>
      </c>
      <c r="D17" s="11">
        <v>521</v>
      </c>
      <c r="E17" s="11">
        <v>615</v>
      </c>
      <c r="G17" s="15"/>
      <c r="H17" s="15"/>
      <c r="I17" s="15"/>
    </row>
    <row r="18" spans="1:9" ht="21.95" customHeight="1" x14ac:dyDescent="0.25">
      <c r="A18" s="11">
        <v>4</v>
      </c>
      <c r="B18" s="11" t="s">
        <v>281</v>
      </c>
      <c r="C18" s="11">
        <v>895</v>
      </c>
      <c r="D18" s="11">
        <v>431</v>
      </c>
      <c r="E18" s="11">
        <v>464</v>
      </c>
      <c r="G18" s="15"/>
      <c r="H18" s="15"/>
      <c r="I18" s="15"/>
    </row>
    <row r="19" spans="1:9" ht="21.95" customHeight="1" x14ac:dyDescent="0.25">
      <c r="A19" s="11">
        <v>5</v>
      </c>
      <c r="B19" s="11" t="s">
        <v>282</v>
      </c>
      <c r="C19" s="11">
        <v>2449</v>
      </c>
      <c r="D19" s="11">
        <v>1074</v>
      </c>
      <c r="E19" s="11">
        <v>1375</v>
      </c>
      <c r="G19" s="15"/>
      <c r="H19" s="15"/>
      <c r="I19" s="15"/>
    </row>
    <row r="20" spans="1:9" ht="21.95" customHeight="1" x14ac:dyDescent="0.25">
      <c r="A20" s="11">
        <v>6</v>
      </c>
      <c r="B20" s="11" t="s">
        <v>283</v>
      </c>
      <c r="C20" s="11">
        <v>430</v>
      </c>
      <c r="D20" s="11">
        <v>198</v>
      </c>
      <c r="E20" s="11">
        <v>232</v>
      </c>
      <c r="G20" s="15"/>
      <c r="H20" s="15"/>
      <c r="I20" s="15"/>
    </row>
    <row r="21" spans="1:9" ht="21.95" customHeight="1" x14ac:dyDescent="0.25">
      <c r="A21" s="11">
        <v>7</v>
      </c>
      <c r="B21" s="11" t="s">
        <v>284</v>
      </c>
      <c r="C21" s="11">
        <v>2259</v>
      </c>
      <c r="D21" s="11">
        <v>1022</v>
      </c>
      <c r="E21" s="11">
        <v>1237</v>
      </c>
      <c r="G21" s="15"/>
      <c r="H21" s="15"/>
      <c r="I21" s="15"/>
    </row>
    <row r="22" spans="1:9" ht="21.95" customHeight="1" x14ac:dyDescent="0.25">
      <c r="A22" s="11">
        <v>8</v>
      </c>
      <c r="B22" s="11" t="s">
        <v>285</v>
      </c>
      <c r="C22" s="11">
        <v>1489</v>
      </c>
      <c r="D22" s="11">
        <v>664</v>
      </c>
      <c r="E22" s="11">
        <v>825</v>
      </c>
      <c r="G22" s="15"/>
      <c r="H22" s="15"/>
      <c r="I22" s="15"/>
    </row>
    <row r="23" spans="1:9" ht="21.95" customHeight="1" x14ac:dyDescent="0.25">
      <c r="A23" s="11">
        <v>9</v>
      </c>
      <c r="B23" s="11" t="s">
        <v>286</v>
      </c>
      <c r="C23" s="11">
        <v>5657</v>
      </c>
      <c r="D23" s="11">
        <v>2685</v>
      </c>
      <c r="E23" s="11">
        <v>2972</v>
      </c>
      <c r="G23" s="15"/>
      <c r="H23" s="15"/>
      <c r="I23" s="15"/>
    </row>
    <row r="24" spans="1:9" ht="21.95" customHeight="1" x14ac:dyDescent="0.25">
      <c r="A24" s="11">
        <v>10</v>
      </c>
      <c r="B24" s="11" t="s">
        <v>287</v>
      </c>
      <c r="C24" s="11">
        <v>2544</v>
      </c>
      <c r="D24" s="11">
        <v>1162</v>
      </c>
      <c r="E24" s="11">
        <v>1382</v>
      </c>
      <c r="G24" s="15"/>
      <c r="H24" s="15"/>
      <c r="I24" s="15"/>
    </row>
    <row r="25" spans="1:9" ht="21.95" customHeight="1" x14ac:dyDescent="0.25">
      <c r="A25" s="11">
        <v>11</v>
      </c>
      <c r="B25" s="11" t="s">
        <v>288</v>
      </c>
      <c r="C25" s="11">
        <v>5587</v>
      </c>
      <c r="D25" s="11">
        <v>2516</v>
      </c>
      <c r="E25" s="11">
        <v>3071</v>
      </c>
      <c r="G25" s="15"/>
      <c r="H25" s="15"/>
      <c r="I25" s="15"/>
    </row>
    <row r="26" spans="1:9" ht="21.95" customHeight="1" x14ac:dyDescent="0.25">
      <c r="A26" s="11">
        <v>12</v>
      </c>
      <c r="B26" s="11" t="s">
        <v>289</v>
      </c>
      <c r="C26" s="11">
        <v>496</v>
      </c>
      <c r="D26" s="11">
        <v>221</v>
      </c>
      <c r="E26" s="11">
        <v>275</v>
      </c>
      <c r="G26" s="15"/>
      <c r="H26" s="15"/>
      <c r="I26" s="15"/>
    </row>
    <row r="27" spans="1:9" ht="21.95" customHeight="1" x14ac:dyDescent="0.25">
      <c r="A27" s="11">
        <v>13</v>
      </c>
      <c r="B27" s="11" t="s">
        <v>290</v>
      </c>
      <c r="C27" s="11">
        <v>2709</v>
      </c>
      <c r="D27" s="11">
        <v>1206</v>
      </c>
      <c r="E27" s="11">
        <v>1503</v>
      </c>
      <c r="G27" s="15"/>
      <c r="H27" s="15"/>
      <c r="I27" s="15"/>
    </row>
    <row r="28" spans="1:9" ht="21.95" customHeight="1" x14ac:dyDescent="0.25">
      <c r="A28" s="11">
        <v>14</v>
      </c>
      <c r="B28" s="11" t="s">
        <v>291</v>
      </c>
      <c r="C28" s="11">
        <v>1554</v>
      </c>
      <c r="D28" s="11">
        <v>692</v>
      </c>
      <c r="E28" s="11">
        <v>862</v>
      </c>
      <c r="G28" s="15"/>
      <c r="H28" s="15"/>
      <c r="I28" s="15"/>
    </row>
    <row r="29" spans="1:9" ht="21.95" customHeight="1" x14ac:dyDescent="0.25">
      <c r="A29" s="11">
        <v>15</v>
      </c>
      <c r="B29" s="11" t="s">
        <v>59</v>
      </c>
      <c r="C29" s="11">
        <v>2788</v>
      </c>
      <c r="D29" s="11">
        <v>1260</v>
      </c>
      <c r="E29" s="11">
        <v>1528</v>
      </c>
      <c r="G29" s="15"/>
      <c r="H29" s="15"/>
      <c r="I29" s="15"/>
    </row>
    <row r="30" spans="1:9" ht="21.95" customHeight="1" x14ac:dyDescent="0.25">
      <c r="A30" s="11">
        <v>16</v>
      </c>
      <c r="B30" s="11" t="s">
        <v>292</v>
      </c>
      <c r="C30" s="11">
        <v>3054</v>
      </c>
      <c r="D30" s="11">
        <v>1390</v>
      </c>
      <c r="E30" s="11">
        <v>1664</v>
      </c>
      <c r="G30" s="15"/>
      <c r="H30" s="15"/>
      <c r="I30" s="15"/>
    </row>
    <row r="31" spans="1:9" ht="21.95" customHeight="1" x14ac:dyDescent="0.25">
      <c r="A31" s="11">
        <v>17</v>
      </c>
      <c r="B31" s="11" t="s">
        <v>293</v>
      </c>
      <c r="C31" s="11">
        <v>5045</v>
      </c>
      <c r="D31" s="11">
        <v>2329</v>
      </c>
      <c r="E31" s="11">
        <v>2716</v>
      </c>
      <c r="G31" s="15"/>
      <c r="H31" s="15"/>
      <c r="I31" s="15"/>
    </row>
    <row r="32" spans="1:9" ht="21.95" customHeight="1" x14ac:dyDescent="0.25">
      <c r="A32" s="11">
        <v>18</v>
      </c>
      <c r="B32" s="11" t="s">
        <v>294</v>
      </c>
      <c r="C32" s="11">
        <v>2370</v>
      </c>
      <c r="D32" s="11">
        <v>1067</v>
      </c>
      <c r="E32" s="11">
        <v>1303</v>
      </c>
      <c r="G32" s="15"/>
      <c r="H32" s="15"/>
      <c r="I32" s="15"/>
    </row>
    <row r="33" spans="1:9" ht="21.95" customHeight="1" x14ac:dyDescent="0.25">
      <c r="A33" s="11">
        <v>19</v>
      </c>
      <c r="B33" s="11" t="s">
        <v>295</v>
      </c>
      <c r="C33" s="11">
        <v>3197</v>
      </c>
      <c r="D33" s="11">
        <v>1619</v>
      </c>
      <c r="E33" s="11">
        <v>1578</v>
      </c>
      <c r="G33" s="15"/>
      <c r="H33" s="15"/>
      <c r="I33" s="15"/>
    </row>
    <row r="34" spans="1:9" ht="21.95" customHeight="1" x14ac:dyDescent="0.25">
      <c r="A34" s="11">
        <v>20</v>
      </c>
      <c r="B34" s="11" t="s">
        <v>296</v>
      </c>
      <c r="C34" s="11">
        <v>4255</v>
      </c>
      <c r="D34" s="11">
        <v>2007</v>
      </c>
      <c r="E34" s="11">
        <v>2248</v>
      </c>
      <c r="G34" s="15"/>
      <c r="H34" s="15"/>
      <c r="I34" s="15"/>
    </row>
    <row r="35" spans="1:9" ht="21.95" customHeight="1" x14ac:dyDescent="0.25">
      <c r="A35" s="11">
        <v>21</v>
      </c>
      <c r="B35" s="11" t="s">
        <v>297</v>
      </c>
      <c r="C35" s="11">
        <v>4208</v>
      </c>
      <c r="D35" s="11">
        <v>1899</v>
      </c>
      <c r="E35" s="11">
        <v>2309</v>
      </c>
      <c r="G35" s="15"/>
      <c r="H35" s="15"/>
      <c r="I35" s="15"/>
    </row>
    <row r="36" spans="1:9" ht="21.95" customHeight="1" x14ac:dyDescent="0.25">
      <c r="A36" s="11">
        <v>22</v>
      </c>
      <c r="B36" s="11" t="s">
        <v>298</v>
      </c>
      <c r="C36" s="11">
        <v>1893</v>
      </c>
      <c r="D36" s="11">
        <v>865</v>
      </c>
      <c r="E36" s="11">
        <v>1028</v>
      </c>
      <c r="G36" s="15"/>
      <c r="H36" s="15"/>
      <c r="I36" s="15"/>
    </row>
    <row r="37" spans="1:9" ht="21.95" customHeight="1" x14ac:dyDescent="0.25">
      <c r="A37" s="11">
        <v>23</v>
      </c>
      <c r="B37" s="11" t="s">
        <v>299</v>
      </c>
      <c r="C37" s="11">
        <v>2632</v>
      </c>
      <c r="D37" s="11">
        <v>1193</v>
      </c>
      <c r="E37" s="11">
        <v>1439</v>
      </c>
      <c r="G37" s="15"/>
      <c r="H37" s="15"/>
      <c r="I37" s="15"/>
    </row>
    <row r="38" spans="1:9" ht="21.95" customHeight="1" x14ac:dyDescent="0.25">
      <c r="A38" s="11">
        <v>24</v>
      </c>
      <c r="B38" s="11" t="s">
        <v>300</v>
      </c>
      <c r="C38" s="11">
        <v>1170</v>
      </c>
      <c r="D38" s="11">
        <v>558</v>
      </c>
      <c r="E38" s="11">
        <v>612</v>
      </c>
      <c r="G38" s="15"/>
      <c r="H38" s="15"/>
      <c r="I38" s="15"/>
    </row>
    <row r="39" spans="1:9" ht="21.95" customHeight="1" x14ac:dyDescent="0.25">
      <c r="A39" s="11">
        <v>25</v>
      </c>
      <c r="B39" s="11" t="s">
        <v>301</v>
      </c>
      <c r="C39" s="11">
        <v>1179</v>
      </c>
      <c r="D39" s="11">
        <v>550</v>
      </c>
      <c r="E39" s="11">
        <v>629</v>
      </c>
      <c r="G39" s="15"/>
      <c r="H39" s="15"/>
      <c r="I39" s="15"/>
    </row>
    <row r="40" spans="1:9" ht="21.95" customHeight="1" x14ac:dyDescent="0.25">
      <c r="A40" s="11">
        <v>26</v>
      </c>
      <c r="B40" s="11" t="s">
        <v>302</v>
      </c>
      <c r="C40" s="11">
        <v>2752</v>
      </c>
      <c r="D40" s="11">
        <v>1286</v>
      </c>
      <c r="E40" s="11">
        <v>1466</v>
      </c>
      <c r="G40" s="15"/>
      <c r="H40" s="15"/>
      <c r="I40" s="15"/>
    </row>
    <row r="41" spans="1:9" ht="21.95" customHeight="1" x14ac:dyDescent="0.25">
      <c r="A41" s="11">
        <v>27</v>
      </c>
      <c r="B41" s="11" t="s">
        <v>303</v>
      </c>
      <c r="C41" s="11">
        <v>3145</v>
      </c>
      <c r="D41" s="11">
        <v>1446</v>
      </c>
      <c r="E41" s="11">
        <v>1699</v>
      </c>
      <c r="G41" s="15"/>
      <c r="H41" s="15"/>
      <c r="I41" s="15"/>
    </row>
    <row r="42" spans="1:9" ht="21.95" customHeight="1" x14ac:dyDescent="0.25">
      <c r="A42" s="11">
        <v>28</v>
      </c>
      <c r="B42" s="11" t="s">
        <v>304</v>
      </c>
      <c r="C42" s="11">
        <v>1123</v>
      </c>
      <c r="D42" s="11">
        <v>504</v>
      </c>
      <c r="E42" s="11">
        <v>619</v>
      </c>
      <c r="G42" s="15"/>
      <c r="H42" s="15"/>
      <c r="I42" s="15"/>
    </row>
    <row r="43" spans="1:9" ht="21.95" customHeight="1" x14ac:dyDescent="0.25">
      <c r="A43" s="11">
        <v>29</v>
      </c>
      <c r="B43" s="11" t="s">
        <v>305</v>
      </c>
      <c r="C43" s="11">
        <v>1367</v>
      </c>
      <c r="D43" s="11">
        <v>643</v>
      </c>
      <c r="E43" s="11">
        <v>724</v>
      </c>
      <c r="G43" s="15"/>
      <c r="H43" s="15"/>
      <c r="I43" s="15"/>
    </row>
    <row r="44" spans="1:9" ht="21.95" customHeight="1" x14ac:dyDescent="0.25">
      <c r="A44" s="11">
        <v>30</v>
      </c>
      <c r="B44" s="11" t="s">
        <v>306</v>
      </c>
      <c r="C44" s="11">
        <v>2071</v>
      </c>
      <c r="D44" s="11">
        <v>953</v>
      </c>
      <c r="E44" s="11">
        <v>1118</v>
      </c>
      <c r="G44" s="15"/>
      <c r="H44" s="15"/>
      <c r="I44" s="15"/>
    </row>
    <row r="45" spans="1:9" ht="21.95" customHeight="1" x14ac:dyDescent="0.25">
      <c r="A45" s="11">
        <v>31</v>
      </c>
      <c r="B45" s="11" t="s">
        <v>307</v>
      </c>
      <c r="C45" s="11">
        <v>1415</v>
      </c>
      <c r="D45" s="11">
        <v>673</v>
      </c>
      <c r="E45" s="11">
        <v>742</v>
      </c>
      <c r="G45" s="15"/>
      <c r="H45" s="15"/>
      <c r="I45" s="15"/>
    </row>
    <row r="46" spans="1:9" ht="21.95" customHeight="1" x14ac:dyDescent="0.25">
      <c r="A46" s="11">
        <v>32</v>
      </c>
      <c r="B46" s="11" t="s">
        <v>308</v>
      </c>
      <c r="C46" s="11">
        <v>2262</v>
      </c>
      <c r="D46" s="11">
        <v>1042</v>
      </c>
      <c r="E46" s="11">
        <v>1220</v>
      </c>
      <c r="G46" s="15"/>
      <c r="H46" s="15"/>
      <c r="I46" s="15"/>
    </row>
    <row r="47" spans="1:9" ht="21.95" customHeight="1" x14ac:dyDescent="0.25">
      <c r="A47" s="11">
        <v>33</v>
      </c>
      <c r="B47" s="11" t="s">
        <v>309</v>
      </c>
      <c r="C47" s="11">
        <v>506</v>
      </c>
      <c r="D47" s="11">
        <v>215</v>
      </c>
      <c r="E47" s="11">
        <v>291</v>
      </c>
      <c r="G47" s="15"/>
      <c r="H47" s="15"/>
      <c r="I47" s="15"/>
    </row>
    <row r="48" spans="1:9" ht="21.95" customHeight="1" x14ac:dyDescent="0.25">
      <c r="A48" s="11">
        <v>34</v>
      </c>
      <c r="B48" s="11" t="s">
        <v>310</v>
      </c>
      <c r="C48" s="11">
        <v>814</v>
      </c>
      <c r="D48" s="11">
        <v>396</v>
      </c>
      <c r="E48" s="11">
        <v>418</v>
      </c>
      <c r="G48" s="15"/>
      <c r="H48" s="15"/>
      <c r="I48" s="15"/>
    </row>
    <row r="49" spans="1:9" ht="21.95" customHeight="1" x14ac:dyDescent="0.25">
      <c r="A49" s="11">
        <v>35</v>
      </c>
      <c r="B49" s="11" t="s">
        <v>311</v>
      </c>
      <c r="C49" s="11">
        <v>424</v>
      </c>
      <c r="D49" s="11">
        <v>198</v>
      </c>
      <c r="E49" s="11">
        <v>226</v>
      </c>
      <c r="G49" s="15"/>
      <c r="H49" s="15"/>
      <c r="I49" s="15"/>
    </row>
    <row r="50" spans="1:9" ht="21.95" customHeight="1" x14ac:dyDescent="0.25">
      <c r="A50" s="11">
        <v>36</v>
      </c>
      <c r="B50" s="11" t="s">
        <v>312</v>
      </c>
      <c r="C50" s="11">
        <v>1725</v>
      </c>
      <c r="D50" s="11">
        <v>787</v>
      </c>
      <c r="E50" s="11">
        <v>938</v>
      </c>
      <c r="G50" s="15"/>
      <c r="H50" s="15"/>
      <c r="I50" s="15"/>
    </row>
    <row r="51" spans="1:9" ht="21.95" customHeight="1" x14ac:dyDescent="0.25">
      <c r="A51" s="11">
        <v>37</v>
      </c>
      <c r="B51" s="11" t="s">
        <v>313</v>
      </c>
      <c r="C51" s="11">
        <v>1506</v>
      </c>
      <c r="D51" s="11">
        <v>638</v>
      </c>
      <c r="E51" s="11">
        <v>868</v>
      </c>
      <c r="G51" s="15"/>
      <c r="H51" s="15"/>
      <c r="I51" s="15"/>
    </row>
    <row r="52" spans="1:9" ht="21.95" customHeight="1" x14ac:dyDescent="0.25">
      <c r="A52" s="11">
        <v>38</v>
      </c>
      <c r="B52" s="11" t="s">
        <v>314</v>
      </c>
      <c r="C52" s="11">
        <v>1096</v>
      </c>
      <c r="D52" s="11">
        <v>498</v>
      </c>
      <c r="E52" s="11">
        <v>598</v>
      </c>
      <c r="G52" s="15"/>
      <c r="H52" s="15"/>
      <c r="I52" s="15"/>
    </row>
    <row r="53" spans="1:9" ht="21.95" customHeight="1" x14ac:dyDescent="0.25">
      <c r="A53" s="11">
        <v>39</v>
      </c>
      <c r="B53" s="11" t="s">
        <v>315</v>
      </c>
      <c r="C53" s="11">
        <v>1349</v>
      </c>
      <c r="D53" s="11">
        <v>614</v>
      </c>
      <c r="E53" s="11">
        <v>735</v>
      </c>
      <c r="G53" s="15"/>
      <c r="H53" s="15"/>
      <c r="I53" s="15"/>
    </row>
    <row r="54" spans="1:9" ht="21.95" customHeight="1" x14ac:dyDescent="0.25">
      <c r="A54" s="11">
        <v>40</v>
      </c>
      <c r="B54" s="11" t="s">
        <v>316</v>
      </c>
      <c r="C54" s="11">
        <v>1629</v>
      </c>
      <c r="D54" s="11">
        <v>760</v>
      </c>
      <c r="E54" s="11">
        <v>869</v>
      </c>
      <c r="G54" s="15"/>
      <c r="H54" s="15"/>
      <c r="I54" s="15"/>
    </row>
    <row r="55" spans="1:9" ht="21.95" customHeight="1" x14ac:dyDescent="0.25">
      <c r="A55" s="11">
        <v>41</v>
      </c>
      <c r="B55" s="11" t="s">
        <v>317</v>
      </c>
      <c r="C55" s="11">
        <v>1742</v>
      </c>
      <c r="D55" s="11">
        <v>746</v>
      </c>
      <c r="E55" s="11">
        <v>996</v>
      </c>
      <c r="G55" s="15"/>
      <c r="H55" s="15"/>
      <c r="I55" s="15"/>
    </row>
    <row r="56" spans="1:9" ht="21.95" customHeight="1" x14ac:dyDescent="0.25">
      <c r="A56" s="11">
        <v>42</v>
      </c>
      <c r="B56" s="11" t="s">
        <v>318</v>
      </c>
      <c r="C56" s="11">
        <v>2873</v>
      </c>
      <c r="D56" s="11">
        <v>1333</v>
      </c>
      <c r="E56" s="11">
        <v>1540</v>
      </c>
      <c r="G56" s="15"/>
      <c r="H56" s="15"/>
      <c r="I56" s="15"/>
    </row>
    <row r="57" spans="1:9" ht="21.95" customHeight="1" x14ac:dyDescent="0.25">
      <c r="A57" s="11">
        <v>43</v>
      </c>
      <c r="B57" s="11" t="s">
        <v>319</v>
      </c>
      <c r="C57" s="11">
        <v>1220</v>
      </c>
      <c r="D57" s="11">
        <v>576</v>
      </c>
      <c r="E57" s="11">
        <v>644</v>
      </c>
      <c r="G57" s="15"/>
      <c r="H57" s="15"/>
      <c r="I57" s="15"/>
    </row>
    <row r="58" spans="1:9" ht="21.95" customHeight="1" x14ac:dyDescent="0.25">
      <c r="A58" s="11">
        <v>44</v>
      </c>
      <c r="B58" s="11" t="s">
        <v>271</v>
      </c>
      <c r="C58" s="11">
        <v>864</v>
      </c>
      <c r="D58" s="11">
        <v>419</v>
      </c>
      <c r="E58" s="11">
        <v>445</v>
      </c>
      <c r="G58" s="15"/>
      <c r="H58" s="15"/>
      <c r="I58" s="15"/>
    </row>
    <row r="59" spans="1:9" ht="21.95" customHeight="1" x14ac:dyDescent="0.25">
      <c r="A59" s="11">
        <v>45</v>
      </c>
      <c r="B59" s="11" t="s">
        <v>320</v>
      </c>
      <c r="C59" s="11">
        <v>2918</v>
      </c>
      <c r="D59" s="11">
        <v>1352</v>
      </c>
      <c r="E59" s="11">
        <v>1566</v>
      </c>
      <c r="G59" s="15"/>
      <c r="H59" s="15"/>
      <c r="I59" s="15"/>
    </row>
    <row r="60" spans="1:9" ht="21.95" customHeight="1" x14ac:dyDescent="0.25">
      <c r="A60" s="11">
        <v>46</v>
      </c>
      <c r="B60" s="11" t="s">
        <v>321</v>
      </c>
      <c r="C60" s="11">
        <v>1755</v>
      </c>
      <c r="D60" s="11">
        <v>847</v>
      </c>
      <c r="E60" s="11">
        <v>908</v>
      </c>
      <c r="G60" s="15"/>
      <c r="H60" s="15"/>
      <c r="I60" s="15"/>
    </row>
    <row r="61" spans="1:9" ht="21.95" customHeight="1" x14ac:dyDescent="0.25">
      <c r="A61" s="11">
        <v>47</v>
      </c>
      <c r="B61" s="11" t="s">
        <v>322</v>
      </c>
      <c r="C61" s="11">
        <v>5029</v>
      </c>
      <c r="D61" s="11">
        <v>2395</v>
      </c>
      <c r="E61" s="11">
        <v>2634</v>
      </c>
      <c r="G61" s="15"/>
      <c r="H61" s="15"/>
      <c r="I61" s="15"/>
    </row>
    <row r="62" spans="1:9" ht="21.95" customHeight="1" x14ac:dyDescent="0.25">
      <c r="A62" s="11">
        <v>48</v>
      </c>
      <c r="B62" s="11" t="s">
        <v>323</v>
      </c>
      <c r="C62" s="11">
        <v>2968</v>
      </c>
      <c r="D62" s="11">
        <v>1405</v>
      </c>
      <c r="E62" s="11">
        <v>1563</v>
      </c>
      <c r="G62" s="15"/>
      <c r="H62" s="15"/>
      <c r="I62" s="15"/>
    </row>
    <row r="63" spans="1:9" ht="21.95" customHeight="1" x14ac:dyDescent="0.25">
      <c r="A63" s="11">
        <v>49</v>
      </c>
      <c r="B63" s="11" t="s">
        <v>324</v>
      </c>
      <c r="C63" s="11">
        <v>5369</v>
      </c>
      <c r="D63" s="11">
        <v>2562</v>
      </c>
      <c r="E63" s="11">
        <v>2807</v>
      </c>
      <c r="G63" s="15"/>
      <c r="H63" s="15"/>
      <c r="I63" s="15"/>
    </row>
    <row r="64" spans="1:9" ht="21.95" customHeight="1" x14ac:dyDescent="0.25">
      <c r="A64" s="11">
        <v>50</v>
      </c>
      <c r="B64" s="11" t="s">
        <v>325</v>
      </c>
      <c r="C64" s="11">
        <v>1177</v>
      </c>
      <c r="D64" s="11">
        <v>534</v>
      </c>
      <c r="E64" s="11">
        <v>643</v>
      </c>
      <c r="G64" s="15"/>
      <c r="H64" s="15"/>
      <c r="I64" s="15"/>
    </row>
    <row r="65" spans="1:9" ht="21.95" customHeight="1" x14ac:dyDescent="0.25">
      <c r="A65" s="11">
        <v>51</v>
      </c>
      <c r="B65" s="11" t="s">
        <v>326</v>
      </c>
      <c r="C65" s="11">
        <v>3776</v>
      </c>
      <c r="D65" s="11">
        <v>1769</v>
      </c>
      <c r="E65" s="11">
        <v>2007</v>
      </c>
      <c r="G65" s="15"/>
      <c r="H65" s="15"/>
      <c r="I65" s="15"/>
    </row>
    <row r="66" spans="1:9" ht="21.95" customHeight="1" x14ac:dyDescent="0.25">
      <c r="A66" s="11">
        <v>52</v>
      </c>
      <c r="B66" s="11" t="s">
        <v>327</v>
      </c>
      <c r="C66" s="11">
        <v>2011</v>
      </c>
      <c r="D66" s="11">
        <v>899</v>
      </c>
      <c r="E66" s="11">
        <v>1112</v>
      </c>
      <c r="G66" s="15"/>
      <c r="H66" s="15"/>
      <c r="I66" s="15"/>
    </row>
    <row r="67" spans="1:9" ht="21.95" customHeight="1" x14ac:dyDescent="0.25">
      <c r="A67" s="11">
        <v>53</v>
      </c>
      <c r="B67" s="11" t="s">
        <v>328</v>
      </c>
      <c r="C67" s="11">
        <v>2008</v>
      </c>
      <c r="D67" s="11">
        <v>929</v>
      </c>
      <c r="E67" s="11">
        <v>1079</v>
      </c>
      <c r="G67" s="15"/>
      <c r="H67" s="15"/>
      <c r="I67" s="15"/>
    </row>
    <row r="68" spans="1:9" ht="21.95" customHeight="1" x14ac:dyDescent="0.25">
      <c r="A68" s="11">
        <v>54</v>
      </c>
      <c r="B68" s="11" t="s">
        <v>329</v>
      </c>
      <c r="C68" s="11">
        <v>2213</v>
      </c>
      <c r="D68" s="11">
        <v>1004</v>
      </c>
      <c r="E68" s="11">
        <v>1209</v>
      </c>
      <c r="G68" s="15"/>
      <c r="H68" s="15"/>
      <c r="I68" s="15"/>
    </row>
    <row r="69" spans="1:9" ht="21.95" customHeight="1" x14ac:dyDescent="0.25">
      <c r="A69" s="11">
        <v>55</v>
      </c>
      <c r="B69" s="11" t="s">
        <v>330</v>
      </c>
      <c r="C69" s="11">
        <v>3934</v>
      </c>
      <c r="D69" s="11">
        <v>1900</v>
      </c>
      <c r="E69" s="11">
        <v>2034</v>
      </c>
      <c r="G69" s="15"/>
      <c r="H69" s="15"/>
      <c r="I69" s="15"/>
    </row>
    <row r="70" spans="1:9" ht="21.95" customHeight="1" x14ac:dyDescent="0.25">
      <c r="A70" s="11">
        <v>56</v>
      </c>
      <c r="B70" s="11" t="s">
        <v>331</v>
      </c>
      <c r="C70" s="11">
        <v>3413</v>
      </c>
      <c r="D70" s="11">
        <v>1675</v>
      </c>
      <c r="E70" s="11">
        <v>1738</v>
      </c>
      <c r="G70" s="15"/>
      <c r="H70" s="15"/>
      <c r="I70" s="15"/>
    </row>
    <row r="71" spans="1:9" ht="21.95" customHeight="1" x14ac:dyDescent="0.25">
      <c r="A71" s="11">
        <v>57</v>
      </c>
      <c r="B71" s="11" t="s">
        <v>332</v>
      </c>
      <c r="C71" s="11">
        <v>2610</v>
      </c>
      <c r="D71" s="11">
        <v>1271</v>
      </c>
      <c r="E71" s="11">
        <v>1339</v>
      </c>
      <c r="G71" s="15"/>
      <c r="H71" s="15"/>
      <c r="I71" s="15"/>
    </row>
    <row r="72" spans="1:9" ht="21.95" customHeight="1" x14ac:dyDescent="0.25">
      <c r="A72" s="11">
        <v>58</v>
      </c>
      <c r="B72" s="11" t="s">
        <v>333</v>
      </c>
      <c r="C72" s="11">
        <v>1624</v>
      </c>
      <c r="D72" s="11">
        <v>775</v>
      </c>
      <c r="E72" s="11">
        <v>849</v>
      </c>
      <c r="G72" s="15"/>
      <c r="H72" s="15"/>
      <c r="I72" s="15"/>
    </row>
    <row r="73" spans="1:9" ht="21.95" customHeight="1" x14ac:dyDescent="0.25">
      <c r="A73" s="17">
        <v>59</v>
      </c>
      <c r="B73" s="12" t="s">
        <v>334</v>
      </c>
      <c r="C73" s="12">
        <v>1928</v>
      </c>
      <c r="D73" s="12">
        <v>966</v>
      </c>
      <c r="E73" s="12">
        <v>962</v>
      </c>
      <c r="G73" s="15"/>
      <c r="H73" s="15"/>
      <c r="I73" s="15"/>
    </row>
    <row r="74" spans="1:9" ht="24.75" customHeight="1" x14ac:dyDescent="0.25">
      <c r="A74" s="18"/>
      <c r="B74" s="13"/>
      <c r="C74" s="13"/>
      <c r="D74" s="13"/>
      <c r="E74" s="13"/>
    </row>
    <row r="75" spans="1:9" ht="24.75" customHeight="1" x14ac:dyDescent="0.25">
      <c r="A75" s="20"/>
      <c r="B75" s="13"/>
      <c r="C75" s="13"/>
      <c r="D75" s="13"/>
      <c r="E75" s="13"/>
    </row>
    <row r="76" spans="1:9" ht="24.75" customHeight="1" x14ac:dyDescent="0.25">
      <c r="A76" s="20"/>
      <c r="B76" s="13"/>
      <c r="C76" s="13"/>
      <c r="D76" s="13"/>
      <c r="E76" s="13"/>
    </row>
    <row r="77" spans="1:9" ht="24.75" customHeight="1" x14ac:dyDescent="0.25">
      <c r="A77" s="20"/>
      <c r="B77" s="13"/>
      <c r="C77" s="13"/>
      <c r="D77" s="13"/>
      <c r="E77" s="13"/>
    </row>
    <row r="78" spans="1:9" ht="24.75" customHeight="1" x14ac:dyDescent="0.25">
      <c r="A78" s="20"/>
      <c r="B78" s="13"/>
      <c r="C78" s="13"/>
      <c r="D78" s="13"/>
      <c r="E78" s="13"/>
    </row>
    <row r="79" spans="1:9" ht="24.75" customHeight="1" x14ac:dyDescent="0.25">
      <c r="A79" s="20"/>
      <c r="B79" s="13"/>
      <c r="C79" s="13"/>
      <c r="D79" s="13"/>
      <c r="E79" s="13"/>
    </row>
    <row r="80" spans="1:9" ht="24.75" customHeight="1" x14ac:dyDescent="0.25">
      <c r="A80" s="20"/>
      <c r="B80" s="13"/>
      <c r="C80" s="13"/>
      <c r="D80" s="13"/>
      <c r="E80" s="13"/>
    </row>
    <row r="81" spans="1:5" ht="24.75" customHeight="1" x14ac:dyDescent="0.25">
      <c r="A81" s="20"/>
      <c r="B81" s="13"/>
      <c r="C81" s="13"/>
      <c r="D81" s="13"/>
      <c r="E81" s="13"/>
    </row>
    <row r="82" spans="1:5" ht="24.75" customHeight="1" x14ac:dyDescent="0.25">
      <c r="A82" s="20"/>
      <c r="B82" s="13"/>
      <c r="C82" s="13"/>
      <c r="D82" s="13"/>
      <c r="E82" s="13"/>
    </row>
    <row r="83" spans="1:5" ht="24.75" customHeight="1" x14ac:dyDescent="0.25">
      <c r="A83" s="26"/>
      <c r="B83" s="13"/>
      <c r="C83" s="13"/>
      <c r="D83" s="13"/>
      <c r="E83" s="13"/>
    </row>
    <row r="84" spans="1:5" ht="24.75" customHeight="1" x14ac:dyDescent="0.25">
      <c r="A84" s="26"/>
      <c r="B84" s="13"/>
      <c r="C84" s="13"/>
      <c r="D84" s="13"/>
      <c r="E84" s="13"/>
    </row>
    <row r="85" spans="1:5" ht="24.75" customHeight="1" x14ac:dyDescent="0.25">
      <c r="A85" s="26"/>
      <c r="B85" s="13"/>
      <c r="C85" s="13"/>
      <c r="D85" s="13"/>
      <c r="E85" s="13"/>
    </row>
    <row r="86" spans="1:5" ht="24.75" customHeight="1" x14ac:dyDescent="0.25">
      <c r="A86" s="26"/>
      <c r="B86" s="13"/>
      <c r="C86" s="13"/>
      <c r="D86" s="13"/>
      <c r="E86" s="13"/>
    </row>
    <row r="87" spans="1:5" ht="24.75" customHeight="1" x14ac:dyDescent="0.25">
      <c r="A87" s="26"/>
      <c r="B87" s="13"/>
      <c r="C87" s="13"/>
      <c r="D87" s="13"/>
      <c r="E87" s="13"/>
    </row>
    <row r="88" spans="1:5" ht="24.75" customHeight="1" x14ac:dyDescent="0.25">
      <c r="A88" s="26"/>
      <c r="B88" s="13"/>
      <c r="C88" s="13"/>
      <c r="D88" s="13"/>
      <c r="E88" s="13"/>
    </row>
    <row r="89" spans="1:5" ht="24.75" customHeight="1" x14ac:dyDescent="0.25">
      <c r="A89" s="26"/>
      <c r="B89" s="13"/>
      <c r="C89" s="13"/>
      <c r="D89" s="13"/>
      <c r="E89" s="13"/>
    </row>
    <row r="90" spans="1:5" ht="24.75" customHeight="1" x14ac:dyDescent="0.25">
      <c r="A90" s="26"/>
      <c r="B90" s="13"/>
      <c r="C90" s="13"/>
      <c r="D90" s="13"/>
      <c r="E90" s="13"/>
    </row>
    <row r="91" spans="1:5" ht="24.75" customHeight="1" x14ac:dyDescent="0.25">
      <c r="A91" s="26"/>
      <c r="B91" s="13"/>
      <c r="C91" s="13"/>
      <c r="D91" s="13"/>
      <c r="E91" s="13"/>
    </row>
    <row r="92" spans="1:5" ht="24.75" customHeight="1" x14ac:dyDescent="0.25">
      <c r="A92" s="26"/>
      <c r="B92" s="13"/>
      <c r="C92" s="13"/>
      <c r="D92" s="13"/>
      <c r="E92" s="13"/>
    </row>
    <row r="93" spans="1:5" ht="24.75" customHeight="1" x14ac:dyDescent="0.25">
      <c r="A93" s="26"/>
      <c r="B93" s="13"/>
      <c r="C93" s="13"/>
      <c r="D93" s="13"/>
      <c r="E93" s="13"/>
    </row>
    <row r="94" spans="1:5" ht="24.75" customHeight="1" x14ac:dyDescent="0.25">
      <c r="A94" s="26"/>
      <c r="B94" s="13"/>
      <c r="C94" s="13"/>
      <c r="D94" s="13"/>
      <c r="E94" s="13"/>
    </row>
    <row r="95" spans="1:5" ht="24.75" customHeight="1" x14ac:dyDescent="0.25">
      <c r="A95" s="26"/>
      <c r="B95" s="13"/>
      <c r="C95" s="13"/>
      <c r="D95" s="13"/>
      <c r="E95" s="13"/>
    </row>
    <row r="96" spans="1:5" ht="24.75" customHeight="1" x14ac:dyDescent="0.25">
      <c r="A96" s="26"/>
      <c r="B96" s="13"/>
      <c r="C96" s="13"/>
      <c r="D96" s="13"/>
      <c r="E96" s="13"/>
    </row>
    <row r="97" spans="1:5" ht="24.75" customHeight="1" x14ac:dyDescent="0.25">
      <c r="A97" s="26"/>
      <c r="B97" s="13"/>
      <c r="C97" s="13"/>
      <c r="D97" s="13"/>
      <c r="E97" s="13"/>
    </row>
    <row r="98" spans="1:5" ht="24.75" customHeight="1" x14ac:dyDescent="0.25">
      <c r="A98" s="26"/>
      <c r="B98" s="13"/>
      <c r="C98" s="13"/>
      <c r="D98" s="13"/>
      <c r="E98" s="13"/>
    </row>
    <row r="99" spans="1:5" ht="24.75" customHeight="1" x14ac:dyDescent="0.25">
      <c r="A99" s="26"/>
      <c r="B99" s="13"/>
      <c r="C99" s="13"/>
      <c r="D99" s="13"/>
      <c r="E99" s="13"/>
    </row>
    <row r="100" spans="1:5" ht="24.75" customHeight="1" x14ac:dyDescent="0.25">
      <c r="A100" s="26"/>
      <c r="B100" s="13"/>
      <c r="C100" s="13"/>
      <c r="D100" s="13"/>
      <c r="E100" s="13"/>
    </row>
    <row r="101" spans="1:5" ht="24.75" customHeight="1" x14ac:dyDescent="0.25">
      <c r="A101" s="26"/>
      <c r="B101" s="13"/>
      <c r="C101" s="13"/>
      <c r="D101" s="13"/>
      <c r="E101" s="13"/>
    </row>
    <row r="102" spans="1:5" ht="24.75" customHeight="1" x14ac:dyDescent="0.25">
      <c r="A102" s="26"/>
      <c r="B102" s="13"/>
      <c r="C102" s="13"/>
      <c r="D102" s="13"/>
      <c r="E102" s="13"/>
    </row>
    <row r="103" spans="1:5" ht="24.75" customHeight="1" x14ac:dyDescent="0.25">
      <c r="A103" s="26"/>
      <c r="B103" s="13"/>
      <c r="C103" s="13"/>
      <c r="D103" s="13"/>
      <c r="E103" s="13"/>
    </row>
    <row r="104" spans="1:5" ht="24.75" customHeight="1" x14ac:dyDescent="0.25">
      <c r="A104" s="26"/>
      <c r="B104" s="13"/>
      <c r="C104" s="13"/>
      <c r="D104" s="13"/>
      <c r="E104" s="13"/>
    </row>
    <row r="105" spans="1:5" ht="24.75" customHeight="1" x14ac:dyDescent="0.25">
      <c r="A105" s="26"/>
      <c r="B105" s="13"/>
      <c r="C105" s="13"/>
      <c r="D105" s="13"/>
      <c r="E105" s="13"/>
    </row>
    <row r="106" spans="1:5" ht="24.75" customHeight="1" x14ac:dyDescent="0.25">
      <c r="A106" s="26"/>
      <c r="B106" s="13"/>
      <c r="C106" s="13"/>
      <c r="D106" s="13"/>
      <c r="E106" s="13"/>
    </row>
    <row r="107" spans="1:5" ht="24.75" customHeight="1" x14ac:dyDescent="0.25">
      <c r="A107" s="26"/>
      <c r="B107" s="13"/>
      <c r="C107" s="13"/>
      <c r="D107" s="13"/>
      <c r="E107" s="13"/>
    </row>
    <row r="108" spans="1:5" ht="24.75" customHeight="1" x14ac:dyDescent="0.25">
      <c r="A108" s="26"/>
      <c r="B108" s="13"/>
      <c r="C108" s="13"/>
      <c r="D108" s="13"/>
      <c r="E108" s="13"/>
    </row>
    <row r="109" spans="1:5" ht="24.75" customHeight="1" x14ac:dyDescent="0.25">
      <c r="A109" s="26"/>
      <c r="B109" s="13"/>
      <c r="C109" s="13"/>
      <c r="D109" s="13"/>
      <c r="E109" s="13"/>
    </row>
    <row r="110" spans="1:5" ht="24.75" customHeight="1" x14ac:dyDescent="0.25">
      <c r="A110" s="26"/>
      <c r="B110" s="13"/>
      <c r="C110" s="13"/>
      <c r="D110" s="13"/>
      <c r="E110" s="13"/>
    </row>
    <row r="111" spans="1:5" ht="24.75" customHeight="1" x14ac:dyDescent="0.25">
      <c r="A111" s="26"/>
      <c r="B111" s="13"/>
      <c r="C111" s="13"/>
      <c r="D111" s="13"/>
      <c r="E111" s="13"/>
    </row>
    <row r="112" spans="1:5" ht="24.75" customHeight="1" x14ac:dyDescent="0.25">
      <c r="A112" s="26"/>
      <c r="B112" s="13"/>
      <c r="C112" s="13"/>
      <c r="D112" s="13"/>
      <c r="E112" s="13"/>
    </row>
    <row r="113" spans="1:5" ht="24.75" customHeight="1" x14ac:dyDescent="0.25">
      <c r="A113" s="26"/>
      <c r="B113" s="13"/>
      <c r="C113" s="13"/>
      <c r="D113" s="13"/>
      <c r="E113" s="13"/>
    </row>
    <row r="114" spans="1:5" ht="24.75" customHeight="1" x14ac:dyDescent="0.25">
      <c r="A114" s="26"/>
      <c r="B114" s="13"/>
      <c r="C114" s="13"/>
      <c r="D114" s="13"/>
      <c r="E114" s="13"/>
    </row>
    <row r="115" spans="1:5" ht="24.75" customHeight="1" x14ac:dyDescent="0.25">
      <c r="A115" s="26"/>
      <c r="B115" s="13"/>
      <c r="C115" s="13"/>
      <c r="D115" s="13"/>
      <c r="E115" s="13"/>
    </row>
    <row r="116" spans="1:5" ht="24.75" customHeight="1" x14ac:dyDescent="0.25">
      <c r="A116" s="26"/>
      <c r="B116" s="13"/>
      <c r="C116" s="13"/>
      <c r="D116" s="13"/>
      <c r="E116" s="13"/>
    </row>
    <row r="117" spans="1:5" ht="24.75" customHeight="1" x14ac:dyDescent="0.25">
      <c r="A117" s="26"/>
      <c r="B117" s="13"/>
      <c r="C117" s="13"/>
      <c r="D117" s="13"/>
      <c r="E117" s="13"/>
    </row>
    <row r="118" spans="1:5" ht="24.75" customHeight="1" x14ac:dyDescent="0.25">
      <c r="A118" s="26"/>
      <c r="B118" s="13"/>
      <c r="C118" s="13"/>
      <c r="D118" s="13"/>
      <c r="E118" s="13"/>
    </row>
    <row r="119" spans="1:5" ht="24.75" customHeight="1" x14ac:dyDescent="0.25">
      <c r="B119"/>
      <c r="C119"/>
      <c r="D119"/>
      <c r="E119"/>
    </row>
    <row r="120" spans="1:5" ht="24.75" customHeight="1" x14ac:dyDescent="0.25">
      <c r="B120"/>
      <c r="C120"/>
      <c r="D120"/>
      <c r="E120"/>
    </row>
    <row r="121" spans="1:5" ht="24.75" customHeight="1" x14ac:dyDescent="0.25">
      <c r="B121"/>
      <c r="C121"/>
      <c r="D121"/>
      <c r="E121"/>
    </row>
    <row r="122" spans="1:5" ht="24.75" customHeight="1" x14ac:dyDescent="0.25">
      <c r="B122"/>
      <c r="C122"/>
      <c r="D122"/>
      <c r="E122"/>
    </row>
    <row r="123" spans="1:5" ht="24.75" customHeight="1" x14ac:dyDescent="0.25">
      <c r="B123"/>
      <c r="C123"/>
      <c r="D123"/>
      <c r="E123"/>
    </row>
    <row r="124" spans="1:5" ht="24.75" customHeight="1" x14ac:dyDescent="0.25">
      <c r="B124"/>
      <c r="C124"/>
      <c r="D124"/>
      <c r="E124"/>
    </row>
    <row r="125" spans="1:5" ht="24.75" customHeight="1" x14ac:dyDescent="0.25">
      <c r="B125"/>
      <c r="C125"/>
      <c r="D125"/>
      <c r="E125"/>
    </row>
    <row r="126" spans="1:5" ht="24.75" customHeight="1" x14ac:dyDescent="0.25">
      <c r="B126"/>
      <c r="C126"/>
      <c r="D126"/>
      <c r="E126"/>
    </row>
    <row r="127" spans="1:5" ht="24.75" customHeight="1" x14ac:dyDescent="0.25">
      <c r="B127"/>
      <c r="C127"/>
      <c r="D127"/>
      <c r="E127"/>
    </row>
    <row r="128" spans="1:5" ht="24.75" customHeight="1" x14ac:dyDescent="0.25">
      <c r="B128"/>
      <c r="C128"/>
      <c r="D128"/>
      <c r="E128"/>
    </row>
    <row r="129" spans="2:5" ht="24.75" customHeight="1" x14ac:dyDescent="0.25">
      <c r="B129"/>
      <c r="C129"/>
      <c r="D129"/>
      <c r="E129"/>
    </row>
    <row r="130" spans="2:5" ht="24.75" customHeight="1" x14ac:dyDescent="0.25">
      <c r="B130"/>
      <c r="C130"/>
      <c r="D130"/>
      <c r="E130"/>
    </row>
    <row r="131" spans="2:5" ht="24.75" customHeight="1" x14ac:dyDescent="0.25">
      <c r="B131"/>
      <c r="C131"/>
      <c r="D131"/>
      <c r="E131"/>
    </row>
    <row r="132" spans="2:5" ht="24.75" customHeight="1" x14ac:dyDescent="0.25">
      <c r="B132"/>
      <c r="C132"/>
      <c r="D132"/>
      <c r="E132"/>
    </row>
    <row r="133" spans="2:5" ht="24.75" customHeight="1" x14ac:dyDescent="0.25">
      <c r="B133"/>
      <c r="C133"/>
      <c r="D133"/>
      <c r="E133"/>
    </row>
    <row r="134" spans="2:5" ht="24.75" customHeight="1" x14ac:dyDescent="0.25">
      <c r="B134"/>
      <c r="C134"/>
      <c r="D134"/>
      <c r="E134"/>
    </row>
    <row r="135" spans="2:5" ht="24.75" customHeight="1" x14ac:dyDescent="0.25">
      <c r="B135"/>
      <c r="C135"/>
      <c r="D135"/>
      <c r="E135"/>
    </row>
    <row r="136" spans="2:5" ht="24.75" customHeight="1" x14ac:dyDescent="0.25">
      <c r="B136"/>
      <c r="C136"/>
      <c r="D136"/>
      <c r="E136"/>
    </row>
    <row r="137" spans="2:5" ht="24.75" customHeight="1" x14ac:dyDescent="0.25">
      <c r="B137"/>
      <c r="C137"/>
      <c r="D137"/>
      <c r="E137"/>
    </row>
    <row r="138" spans="2:5" ht="24.75" customHeight="1" x14ac:dyDescent="0.25">
      <c r="B138"/>
      <c r="C138"/>
      <c r="D138"/>
      <c r="E138"/>
    </row>
    <row r="139" spans="2:5" ht="24.75" customHeight="1" x14ac:dyDescent="0.25">
      <c r="B139"/>
      <c r="C139"/>
      <c r="D139"/>
      <c r="E139"/>
    </row>
    <row r="140" spans="2:5" ht="24.75" customHeight="1" x14ac:dyDescent="0.25">
      <c r="B140"/>
      <c r="C140"/>
      <c r="D140"/>
      <c r="E140"/>
    </row>
    <row r="141" spans="2:5" ht="24.75" customHeight="1" x14ac:dyDescent="0.25">
      <c r="B141"/>
      <c r="C141"/>
      <c r="D141"/>
      <c r="E141"/>
    </row>
    <row r="142" spans="2:5" ht="24.75" customHeight="1" x14ac:dyDescent="0.25">
      <c r="B142"/>
      <c r="C142"/>
      <c r="D142"/>
      <c r="E142"/>
    </row>
    <row r="143" spans="2:5" ht="24.75" customHeight="1" x14ac:dyDescent="0.25">
      <c r="B143"/>
      <c r="C143"/>
      <c r="D143"/>
      <c r="E143"/>
    </row>
    <row r="144" spans="2:5" ht="24.75" customHeight="1" x14ac:dyDescent="0.25">
      <c r="B144"/>
      <c r="C144"/>
      <c r="D144"/>
      <c r="E144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hwebo District,  Khin U Township"/>
  </hyperlinks>
  <pageMargins left="0.75" right="0.5" top="0.5" bottom="0.2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sqref="A1:E1"/>
    </sheetView>
  </sheetViews>
  <sheetFormatPr defaultRowHeight="24.75" customHeight="1" x14ac:dyDescent="0.25"/>
  <cols>
    <col min="1" max="1" width="5.42578125" style="3" customWidth="1"/>
    <col min="2" max="2" width="32.5703125" style="3" customWidth="1"/>
    <col min="3" max="5" width="15.5703125" style="3" customWidth="1"/>
    <col min="6" max="16384" width="9.140625" style="3"/>
  </cols>
  <sheetData>
    <row r="1" spans="1:5" ht="24.75" customHeight="1" x14ac:dyDescent="0.25">
      <c r="A1" s="67" t="s">
        <v>1731</v>
      </c>
      <c r="B1" s="67"/>
      <c r="C1" s="67"/>
      <c r="D1" s="67"/>
      <c r="E1" s="67"/>
    </row>
    <row r="2" spans="1:5" ht="24.75" customHeight="1" x14ac:dyDescent="0.4">
      <c r="A2" s="2"/>
      <c r="B2" s="7"/>
      <c r="C2" s="7"/>
      <c r="D2" s="7"/>
      <c r="E2" s="56" t="s">
        <v>1722</v>
      </c>
    </row>
    <row r="3" spans="1:5" ht="24.75" customHeight="1" x14ac:dyDescent="0.4">
      <c r="A3" s="2"/>
      <c r="B3" s="7"/>
      <c r="C3" s="7"/>
      <c r="D3" s="7"/>
      <c r="E3" s="56"/>
    </row>
    <row r="4" spans="1:5" ht="10.5" customHeight="1" x14ac:dyDescent="0.4">
      <c r="A4" s="2"/>
      <c r="B4" s="7"/>
      <c r="C4" s="7"/>
      <c r="D4" s="7"/>
      <c r="E4" s="7"/>
    </row>
    <row r="5" spans="1:5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5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5" ht="24.75" customHeight="1" x14ac:dyDescent="0.25">
      <c r="A7" s="27"/>
      <c r="B7" s="9" t="s">
        <v>1772</v>
      </c>
      <c r="C7" s="22">
        <f>C9+C13</f>
        <v>196216</v>
      </c>
      <c r="D7" s="22">
        <f t="shared" ref="D7:E7" si="0">D9+D13</f>
        <v>90089</v>
      </c>
      <c r="E7" s="22">
        <f t="shared" si="0"/>
        <v>106127</v>
      </c>
    </row>
    <row r="8" spans="1:5" ht="10.5" customHeight="1" x14ac:dyDescent="0.25">
      <c r="A8" s="28"/>
      <c r="B8" s="23"/>
      <c r="C8" s="23"/>
      <c r="D8" s="23"/>
      <c r="E8" s="23"/>
    </row>
    <row r="9" spans="1:5" ht="24.75" customHeight="1" x14ac:dyDescent="0.25">
      <c r="A9" s="28"/>
      <c r="B9" s="10" t="s">
        <v>1725</v>
      </c>
      <c r="C9" s="24">
        <f>SUM(C10:C12)</f>
        <v>10814</v>
      </c>
      <c r="D9" s="24">
        <f t="shared" ref="D9:E9" si="1">SUM(D10:D12)</f>
        <v>4931</v>
      </c>
      <c r="E9" s="24">
        <f t="shared" si="1"/>
        <v>5883</v>
      </c>
    </row>
    <row r="10" spans="1:5" ht="24.75" customHeight="1" x14ac:dyDescent="0.25">
      <c r="A10" s="29">
        <v>1</v>
      </c>
      <c r="B10" s="23" t="s">
        <v>203</v>
      </c>
      <c r="C10" s="23">
        <v>4121</v>
      </c>
      <c r="D10" s="23">
        <v>1862</v>
      </c>
      <c r="E10" s="23">
        <v>2259</v>
      </c>
    </row>
    <row r="11" spans="1:5" ht="24.75" customHeight="1" x14ac:dyDescent="0.25">
      <c r="A11" s="29">
        <v>2</v>
      </c>
      <c r="B11" s="23" t="s">
        <v>204</v>
      </c>
      <c r="C11" s="23">
        <v>2525</v>
      </c>
      <c r="D11" s="23">
        <v>1117</v>
      </c>
      <c r="E11" s="23">
        <v>1408</v>
      </c>
    </row>
    <row r="12" spans="1:5" ht="24.75" customHeight="1" x14ac:dyDescent="0.25">
      <c r="A12" s="29">
        <v>3</v>
      </c>
      <c r="B12" s="23" t="s">
        <v>205</v>
      </c>
      <c r="C12" s="23">
        <v>4168</v>
      </c>
      <c r="D12" s="23">
        <v>1952</v>
      </c>
      <c r="E12" s="23">
        <v>2216</v>
      </c>
    </row>
    <row r="13" spans="1:5" ht="24.75" customHeight="1" x14ac:dyDescent="0.25">
      <c r="A13" s="29"/>
      <c r="B13" s="10" t="s">
        <v>1773</v>
      </c>
      <c r="C13" s="24">
        <f>SUM(C14:C82)</f>
        <v>185402</v>
      </c>
      <c r="D13" s="24">
        <f t="shared" ref="D13:E13" si="2">SUM(D14:D82)</f>
        <v>85158</v>
      </c>
      <c r="E13" s="24">
        <f t="shared" si="2"/>
        <v>100244</v>
      </c>
    </row>
    <row r="14" spans="1:5" ht="24.75" customHeight="1" x14ac:dyDescent="0.25">
      <c r="A14" s="29">
        <v>1</v>
      </c>
      <c r="B14" s="23" t="s">
        <v>335</v>
      </c>
      <c r="C14" s="23">
        <v>2951</v>
      </c>
      <c r="D14" s="23">
        <v>1344</v>
      </c>
      <c r="E14" s="23">
        <v>1607</v>
      </c>
    </row>
    <row r="15" spans="1:5" ht="24.75" customHeight="1" x14ac:dyDescent="0.25">
      <c r="A15" s="29">
        <v>2</v>
      </c>
      <c r="B15" s="23" t="s">
        <v>336</v>
      </c>
      <c r="C15" s="23">
        <v>975</v>
      </c>
      <c r="D15" s="23">
        <v>445</v>
      </c>
      <c r="E15" s="23">
        <v>530</v>
      </c>
    </row>
    <row r="16" spans="1:5" ht="24.75" customHeight="1" x14ac:dyDescent="0.25">
      <c r="A16" s="29">
        <v>3</v>
      </c>
      <c r="B16" s="23" t="s">
        <v>337</v>
      </c>
      <c r="C16" s="23">
        <v>1373</v>
      </c>
      <c r="D16" s="23">
        <v>637</v>
      </c>
      <c r="E16" s="23">
        <v>736</v>
      </c>
    </row>
    <row r="17" spans="1:5" ht="24.75" customHeight="1" x14ac:dyDescent="0.25">
      <c r="A17" s="29">
        <v>4</v>
      </c>
      <c r="B17" s="23" t="s">
        <v>338</v>
      </c>
      <c r="C17" s="23">
        <v>825</v>
      </c>
      <c r="D17" s="23">
        <v>360</v>
      </c>
      <c r="E17" s="23">
        <v>465</v>
      </c>
    </row>
    <row r="18" spans="1:5" ht="24.75" customHeight="1" x14ac:dyDescent="0.25">
      <c r="A18" s="29">
        <v>5</v>
      </c>
      <c r="B18" s="23" t="s">
        <v>339</v>
      </c>
      <c r="C18" s="23">
        <v>4240</v>
      </c>
      <c r="D18" s="23">
        <v>1949</v>
      </c>
      <c r="E18" s="23">
        <v>2291</v>
      </c>
    </row>
    <row r="19" spans="1:5" ht="24.75" customHeight="1" x14ac:dyDescent="0.25">
      <c r="A19" s="29">
        <v>6</v>
      </c>
      <c r="B19" s="23" t="s">
        <v>340</v>
      </c>
      <c r="C19" s="23">
        <v>1155</v>
      </c>
      <c r="D19" s="23">
        <v>515</v>
      </c>
      <c r="E19" s="23">
        <v>640</v>
      </c>
    </row>
    <row r="20" spans="1:5" ht="24.75" customHeight="1" x14ac:dyDescent="0.25">
      <c r="A20" s="29">
        <v>7</v>
      </c>
      <c r="B20" s="23" t="s">
        <v>341</v>
      </c>
      <c r="C20" s="23">
        <v>3979</v>
      </c>
      <c r="D20" s="23">
        <v>1815</v>
      </c>
      <c r="E20" s="23">
        <v>2164</v>
      </c>
    </row>
    <row r="21" spans="1:5" ht="24.75" customHeight="1" x14ac:dyDescent="0.25">
      <c r="A21" s="29">
        <v>8</v>
      </c>
      <c r="B21" s="23" t="s">
        <v>342</v>
      </c>
      <c r="C21" s="23">
        <v>2646</v>
      </c>
      <c r="D21" s="23">
        <v>1211</v>
      </c>
      <c r="E21" s="23">
        <v>1435</v>
      </c>
    </row>
    <row r="22" spans="1:5" ht="24.75" customHeight="1" x14ac:dyDescent="0.25">
      <c r="A22" s="29">
        <v>9</v>
      </c>
      <c r="B22" s="23" t="s">
        <v>343</v>
      </c>
      <c r="C22" s="23">
        <v>3449</v>
      </c>
      <c r="D22" s="23">
        <v>1587</v>
      </c>
      <c r="E22" s="23">
        <v>1862</v>
      </c>
    </row>
    <row r="23" spans="1:5" ht="24.75" customHeight="1" x14ac:dyDescent="0.25">
      <c r="A23" s="29">
        <v>10</v>
      </c>
      <c r="B23" s="23" t="s">
        <v>52</v>
      </c>
      <c r="C23" s="23">
        <v>1765</v>
      </c>
      <c r="D23" s="23">
        <v>757</v>
      </c>
      <c r="E23" s="23">
        <v>1008</v>
      </c>
    </row>
    <row r="24" spans="1:5" ht="24.75" customHeight="1" x14ac:dyDescent="0.25">
      <c r="A24" s="29">
        <v>11</v>
      </c>
      <c r="B24" s="23" t="s">
        <v>344</v>
      </c>
      <c r="C24" s="23">
        <v>2046</v>
      </c>
      <c r="D24" s="23">
        <v>949</v>
      </c>
      <c r="E24" s="23">
        <v>1097</v>
      </c>
    </row>
    <row r="25" spans="1:5" ht="24.75" customHeight="1" x14ac:dyDescent="0.25">
      <c r="A25" s="29">
        <v>12</v>
      </c>
      <c r="B25" s="23" t="s">
        <v>345</v>
      </c>
      <c r="C25" s="23">
        <v>6040</v>
      </c>
      <c r="D25" s="23">
        <v>2779</v>
      </c>
      <c r="E25" s="23">
        <v>3261</v>
      </c>
    </row>
    <row r="26" spans="1:5" ht="24.75" customHeight="1" x14ac:dyDescent="0.25">
      <c r="A26" s="29">
        <v>13</v>
      </c>
      <c r="B26" s="23" t="s">
        <v>346</v>
      </c>
      <c r="C26" s="23">
        <v>2250</v>
      </c>
      <c r="D26" s="23">
        <v>1018</v>
      </c>
      <c r="E26" s="23">
        <v>1232</v>
      </c>
    </row>
    <row r="27" spans="1:5" ht="24.75" customHeight="1" x14ac:dyDescent="0.25">
      <c r="A27" s="29">
        <v>14</v>
      </c>
      <c r="B27" s="23" t="s">
        <v>347</v>
      </c>
      <c r="C27" s="23">
        <v>2036</v>
      </c>
      <c r="D27" s="23">
        <v>977</v>
      </c>
      <c r="E27" s="23">
        <v>1059</v>
      </c>
    </row>
    <row r="28" spans="1:5" ht="24.75" customHeight="1" x14ac:dyDescent="0.25">
      <c r="A28" s="29">
        <v>15</v>
      </c>
      <c r="B28" s="23" t="s">
        <v>348</v>
      </c>
      <c r="C28" s="23">
        <v>1048</v>
      </c>
      <c r="D28" s="23">
        <v>476</v>
      </c>
      <c r="E28" s="23">
        <v>572</v>
      </c>
    </row>
    <row r="29" spans="1:5" ht="24.75" customHeight="1" x14ac:dyDescent="0.25">
      <c r="A29" s="29">
        <v>16</v>
      </c>
      <c r="B29" s="23" t="s">
        <v>349</v>
      </c>
      <c r="C29" s="23">
        <v>1265</v>
      </c>
      <c r="D29" s="23">
        <v>576</v>
      </c>
      <c r="E29" s="23">
        <v>689</v>
      </c>
    </row>
    <row r="30" spans="1:5" ht="24.75" customHeight="1" x14ac:dyDescent="0.25">
      <c r="A30" s="29">
        <v>17</v>
      </c>
      <c r="B30" s="23" t="s">
        <v>350</v>
      </c>
      <c r="C30" s="23">
        <v>1019</v>
      </c>
      <c r="D30" s="23">
        <v>495</v>
      </c>
      <c r="E30" s="23">
        <v>524</v>
      </c>
    </row>
    <row r="31" spans="1:5" ht="24.75" customHeight="1" x14ac:dyDescent="0.25">
      <c r="A31" s="29">
        <v>18</v>
      </c>
      <c r="B31" s="23" t="s">
        <v>351</v>
      </c>
      <c r="C31" s="23">
        <v>2381</v>
      </c>
      <c r="D31" s="23">
        <v>1069</v>
      </c>
      <c r="E31" s="23">
        <v>1312</v>
      </c>
    </row>
    <row r="32" spans="1:5" ht="24.75" customHeight="1" x14ac:dyDescent="0.25">
      <c r="A32" s="29">
        <v>19</v>
      </c>
      <c r="B32" s="23" t="s">
        <v>352</v>
      </c>
      <c r="C32" s="23">
        <v>3175</v>
      </c>
      <c r="D32" s="23">
        <v>1481</v>
      </c>
      <c r="E32" s="23">
        <v>1694</v>
      </c>
    </row>
    <row r="33" spans="1:5" ht="24.75" customHeight="1" x14ac:dyDescent="0.25">
      <c r="A33" s="29">
        <v>20</v>
      </c>
      <c r="B33" s="23" t="s">
        <v>353</v>
      </c>
      <c r="C33" s="23">
        <v>1160</v>
      </c>
      <c r="D33" s="23">
        <v>568</v>
      </c>
      <c r="E33" s="23">
        <v>592</v>
      </c>
    </row>
    <row r="34" spans="1:5" ht="24.75" customHeight="1" x14ac:dyDescent="0.25">
      <c r="A34" s="29">
        <v>21</v>
      </c>
      <c r="B34" s="23" t="s">
        <v>354</v>
      </c>
      <c r="C34" s="23">
        <v>2120</v>
      </c>
      <c r="D34" s="23">
        <v>987</v>
      </c>
      <c r="E34" s="23">
        <v>1133</v>
      </c>
    </row>
    <row r="35" spans="1:5" ht="24.75" customHeight="1" x14ac:dyDescent="0.25">
      <c r="A35" s="29">
        <v>22</v>
      </c>
      <c r="B35" s="23" t="s">
        <v>355</v>
      </c>
      <c r="C35" s="23">
        <v>697</v>
      </c>
      <c r="D35" s="23">
        <v>327</v>
      </c>
      <c r="E35" s="23">
        <v>370</v>
      </c>
    </row>
    <row r="36" spans="1:5" ht="24.75" customHeight="1" x14ac:dyDescent="0.25">
      <c r="A36" s="29">
        <v>23</v>
      </c>
      <c r="B36" s="23" t="s">
        <v>356</v>
      </c>
      <c r="C36" s="23">
        <v>1091</v>
      </c>
      <c r="D36" s="23">
        <v>529</v>
      </c>
      <c r="E36" s="23">
        <v>562</v>
      </c>
    </row>
    <row r="37" spans="1:5" ht="24.75" customHeight="1" x14ac:dyDescent="0.25">
      <c r="A37" s="29">
        <v>24</v>
      </c>
      <c r="B37" s="23" t="s">
        <v>357</v>
      </c>
      <c r="C37" s="23">
        <v>7083</v>
      </c>
      <c r="D37" s="23">
        <v>3275</v>
      </c>
      <c r="E37" s="23">
        <v>3808</v>
      </c>
    </row>
    <row r="38" spans="1:5" ht="24.75" customHeight="1" x14ac:dyDescent="0.25">
      <c r="A38" s="29">
        <v>25</v>
      </c>
      <c r="B38" s="23" t="s">
        <v>358</v>
      </c>
      <c r="C38" s="23">
        <v>4337</v>
      </c>
      <c r="D38" s="23">
        <v>1994</v>
      </c>
      <c r="E38" s="23">
        <v>2343</v>
      </c>
    </row>
    <row r="39" spans="1:5" ht="24.75" customHeight="1" x14ac:dyDescent="0.25">
      <c r="A39" s="29">
        <v>26</v>
      </c>
      <c r="B39" s="23" t="s">
        <v>359</v>
      </c>
      <c r="C39" s="23">
        <v>3527</v>
      </c>
      <c r="D39" s="23">
        <v>1666</v>
      </c>
      <c r="E39" s="23">
        <v>1861</v>
      </c>
    </row>
    <row r="40" spans="1:5" ht="24.75" customHeight="1" x14ac:dyDescent="0.25">
      <c r="A40" s="29">
        <v>27</v>
      </c>
      <c r="B40" s="23" t="s">
        <v>187</v>
      </c>
      <c r="C40" s="23">
        <v>2655</v>
      </c>
      <c r="D40" s="23">
        <v>1235</v>
      </c>
      <c r="E40" s="23">
        <v>1420</v>
      </c>
    </row>
    <row r="41" spans="1:5" ht="24.75" customHeight="1" x14ac:dyDescent="0.25">
      <c r="A41" s="29">
        <v>28</v>
      </c>
      <c r="B41" s="23" t="s">
        <v>360</v>
      </c>
      <c r="C41" s="23">
        <v>1316</v>
      </c>
      <c r="D41" s="23">
        <v>586</v>
      </c>
      <c r="E41" s="23">
        <v>730</v>
      </c>
    </row>
    <row r="42" spans="1:5" ht="24.75" customHeight="1" x14ac:dyDescent="0.25">
      <c r="A42" s="29">
        <v>29</v>
      </c>
      <c r="B42" s="23" t="s">
        <v>361</v>
      </c>
      <c r="C42" s="23">
        <v>2720</v>
      </c>
      <c r="D42" s="23">
        <v>1224</v>
      </c>
      <c r="E42" s="23">
        <v>1496</v>
      </c>
    </row>
    <row r="43" spans="1:5" ht="24.75" customHeight="1" x14ac:dyDescent="0.25">
      <c r="A43" s="29">
        <v>30</v>
      </c>
      <c r="B43" s="23" t="s">
        <v>362</v>
      </c>
      <c r="C43" s="23">
        <v>4765</v>
      </c>
      <c r="D43" s="23">
        <v>2176</v>
      </c>
      <c r="E43" s="23">
        <v>2589</v>
      </c>
    </row>
    <row r="44" spans="1:5" ht="24.75" customHeight="1" x14ac:dyDescent="0.25">
      <c r="A44" s="29">
        <v>31</v>
      </c>
      <c r="B44" s="23" t="s">
        <v>363</v>
      </c>
      <c r="C44" s="23">
        <v>3045</v>
      </c>
      <c r="D44" s="23">
        <v>1417</v>
      </c>
      <c r="E44" s="23">
        <v>1628</v>
      </c>
    </row>
    <row r="45" spans="1:5" ht="24.75" customHeight="1" x14ac:dyDescent="0.25">
      <c r="A45" s="29">
        <v>32</v>
      </c>
      <c r="B45" s="23" t="s">
        <v>364</v>
      </c>
      <c r="C45" s="23">
        <v>5293</v>
      </c>
      <c r="D45" s="23">
        <v>2396</v>
      </c>
      <c r="E45" s="23">
        <v>2897</v>
      </c>
    </row>
    <row r="46" spans="1:5" ht="24.75" customHeight="1" x14ac:dyDescent="0.25">
      <c r="A46" s="29">
        <v>33</v>
      </c>
      <c r="B46" s="23" t="s">
        <v>316</v>
      </c>
      <c r="C46" s="23">
        <v>3277</v>
      </c>
      <c r="D46" s="23">
        <v>1518</v>
      </c>
      <c r="E46" s="23">
        <v>1759</v>
      </c>
    </row>
    <row r="47" spans="1:5" ht="24.75" customHeight="1" x14ac:dyDescent="0.25">
      <c r="A47" s="29">
        <v>34</v>
      </c>
      <c r="B47" s="23" t="s">
        <v>365</v>
      </c>
      <c r="C47" s="23">
        <v>2990</v>
      </c>
      <c r="D47" s="23">
        <v>1439</v>
      </c>
      <c r="E47" s="23">
        <v>1551</v>
      </c>
    </row>
    <row r="48" spans="1:5" ht="24.75" customHeight="1" x14ac:dyDescent="0.25">
      <c r="A48" s="29">
        <v>35</v>
      </c>
      <c r="B48" s="23" t="s">
        <v>366</v>
      </c>
      <c r="C48" s="23">
        <v>4415</v>
      </c>
      <c r="D48" s="23">
        <v>2048</v>
      </c>
      <c r="E48" s="23">
        <v>2367</v>
      </c>
    </row>
    <row r="49" spans="1:5" ht="24.75" customHeight="1" x14ac:dyDescent="0.25">
      <c r="A49" s="29">
        <v>36</v>
      </c>
      <c r="B49" s="23" t="s">
        <v>367</v>
      </c>
      <c r="C49" s="23">
        <v>2064</v>
      </c>
      <c r="D49" s="23">
        <v>939</v>
      </c>
      <c r="E49" s="23">
        <v>1125</v>
      </c>
    </row>
    <row r="50" spans="1:5" ht="24.75" customHeight="1" x14ac:dyDescent="0.25">
      <c r="A50" s="29">
        <v>37</v>
      </c>
      <c r="B50" s="23" t="s">
        <v>368</v>
      </c>
      <c r="C50" s="23">
        <v>1298</v>
      </c>
      <c r="D50" s="23">
        <v>579</v>
      </c>
      <c r="E50" s="23">
        <v>719</v>
      </c>
    </row>
    <row r="51" spans="1:5" ht="24.75" customHeight="1" x14ac:dyDescent="0.25">
      <c r="A51" s="29">
        <v>38</v>
      </c>
      <c r="B51" s="23" t="s">
        <v>369</v>
      </c>
      <c r="C51" s="23">
        <v>3882</v>
      </c>
      <c r="D51" s="23">
        <v>1799</v>
      </c>
      <c r="E51" s="23">
        <v>2083</v>
      </c>
    </row>
    <row r="52" spans="1:5" ht="24.75" customHeight="1" x14ac:dyDescent="0.25">
      <c r="A52" s="29">
        <v>39</v>
      </c>
      <c r="B52" s="23" t="s">
        <v>370</v>
      </c>
      <c r="C52" s="23">
        <v>4539</v>
      </c>
      <c r="D52" s="23">
        <v>2107</v>
      </c>
      <c r="E52" s="23">
        <v>2432</v>
      </c>
    </row>
    <row r="53" spans="1:5" ht="24.75" customHeight="1" x14ac:dyDescent="0.25">
      <c r="A53" s="29">
        <v>40</v>
      </c>
      <c r="B53" s="23" t="s">
        <v>371</v>
      </c>
      <c r="C53" s="23">
        <v>3942</v>
      </c>
      <c r="D53" s="23">
        <v>1810</v>
      </c>
      <c r="E53" s="23">
        <v>2132</v>
      </c>
    </row>
    <row r="54" spans="1:5" ht="24.75" customHeight="1" x14ac:dyDescent="0.25">
      <c r="A54" s="29">
        <v>41</v>
      </c>
      <c r="B54" s="23" t="s">
        <v>372</v>
      </c>
      <c r="C54" s="23">
        <v>3433</v>
      </c>
      <c r="D54" s="23">
        <v>1564</v>
      </c>
      <c r="E54" s="23">
        <v>1869</v>
      </c>
    </row>
    <row r="55" spans="1:5" ht="24.75" customHeight="1" x14ac:dyDescent="0.25">
      <c r="A55" s="29">
        <v>42</v>
      </c>
      <c r="B55" s="23" t="s">
        <v>373</v>
      </c>
      <c r="C55" s="23">
        <v>5039</v>
      </c>
      <c r="D55" s="23">
        <v>2289</v>
      </c>
      <c r="E55" s="23">
        <v>2750</v>
      </c>
    </row>
    <row r="56" spans="1:5" ht="24.75" customHeight="1" x14ac:dyDescent="0.25">
      <c r="A56" s="29">
        <v>43</v>
      </c>
      <c r="B56" s="23" t="s">
        <v>374</v>
      </c>
      <c r="C56" s="23">
        <v>3548</v>
      </c>
      <c r="D56" s="23">
        <v>1581</v>
      </c>
      <c r="E56" s="23">
        <v>1967</v>
      </c>
    </row>
    <row r="57" spans="1:5" ht="24.75" customHeight="1" x14ac:dyDescent="0.25">
      <c r="A57" s="29">
        <v>44</v>
      </c>
      <c r="B57" s="23" t="s">
        <v>375</v>
      </c>
      <c r="C57" s="23">
        <v>1981</v>
      </c>
      <c r="D57" s="23">
        <v>953</v>
      </c>
      <c r="E57" s="23">
        <v>1028</v>
      </c>
    </row>
    <row r="58" spans="1:5" ht="24.75" customHeight="1" x14ac:dyDescent="0.25">
      <c r="A58" s="29">
        <v>45</v>
      </c>
      <c r="B58" s="23" t="s">
        <v>376</v>
      </c>
      <c r="C58" s="23">
        <v>1962</v>
      </c>
      <c r="D58" s="23">
        <v>912</v>
      </c>
      <c r="E58" s="23">
        <v>1050</v>
      </c>
    </row>
    <row r="59" spans="1:5" ht="24.75" customHeight="1" x14ac:dyDescent="0.25">
      <c r="A59" s="29">
        <v>46</v>
      </c>
      <c r="B59" s="23" t="s">
        <v>377</v>
      </c>
      <c r="C59" s="23">
        <v>1430</v>
      </c>
      <c r="D59" s="23">
        <v>663</v>
      </c>
      <c r="E59" s="23">
        <v>767</v>
      </c>
    </row>
    <row r="60" spans="1:5" ht="24.75" customHeight="1" x14ac:dyDescent="0.25">
      <c r="A60" s="29">
        <v>47</v>
      </c>
      <c r="B60" s="23" t="s">
        <v>378</v>
      </c>
      <c r="C60" s="23">
        <v>1291</v>
      </c>
      <c r="D60" s="23">
        <v>587</v>
      </c>
      <c r="E60" s="23">
        <v>704</v>
      </c>
    </row>
    <row r="61" spans="1:5" ht="24.75" customHeight="1" x14ac:dyDescent="0.25">
      <c r="A61" s="29">
        <v>48</v>
      </c>
      <c r="B61" s="23" t="s">
        <v>379</v>
      </c>
      <c r="C61" s="23">
        <v>3036</v>
      </c>
      <c r="D61" s="23">
        <v>1393</v>
      </c>
      <c r="E61" s="23">
        <v>1643</v>
      </c>
    </row>
    <row r="62" spans="1:5" ht="24.75" customHeight="1" x14ac:dyDescent="0.25">
      <c r="A62" s="29">
        <v>49</v>
      </c>
      <c r="B62" s="23" t="s">
        <v>380</v>
      </c>
      <c r="C62" s="23">
        <v>3440</v>
      </c>
      <c r="D62" s="23">
        <v>1573</v>
      </c>
      <c r="E62" s="23">
        <v>1867</v>
      </c>
    </row>
    <row r="63" spans="1:5" ht="24.75" customHeight="1" x14ac:dyDescent="0.25">
      <c r="A63" s="29">
        <v>50</v>
      </c>
      <c r="B63" s="23" t="s">
        <v>381</v>
      </c>
      <c r="C63" s="23">
        <v>2022</v>
      </c>
      <c r="D63" s="23">
        <v>927</v>
      </c>
      <c r="E63" s="23">
        <v>1095</v>
      </c>
    </row>
    <row r="64" spans="1:5" ht="24.75" customHeight="1" x14ac:dyDescent="0.25">
      <c r="A64" s="29">
        <v>51</v>
      </c>
      <c r="B64" s="23" t="s">
        <v>382</v>
      </c>
      <c r="C64" s="23">
        <v>3393</v>
      </c>
      <c r="D64" s="23">
        <v>1538</v>
      </c>
      <c r="E64" s="23">
        <v>1855</v>
      </c>
    </row>
    <row r="65" spans="1:5" ht="24.75" customHeight="1" x14ac:dyDescent="0.25">
      <c r="A65" s="29">
        <v>52</v>
      </c>
      <c r="B65" s="23" t="s">
        <v>244</v>
      </c>
      <c r="C65" s="23">
        <v>4016</v>
      </c>
      <c r="D65" s="23">
        <v>1955</v>
      </c>
      <c r="E65" s="23">
        <v>2061</v>
      </c>
    </row>
    <row r="66" spans="1:5" ht="24.75" customHeight="1" x14ac:dyDescent="0.25">
      <c r="A66" s="29">
        <v>53</v>
      </c>
      <c r="B66" s="23" t="s">
        <v>383</v>
      </c>
      <c r="C66" s="23">
        <v>2717</v>
      </c>
      <c r="D66" s="23">
        <v>1242</v>
      </c>
      <c r="E66" s="23">
        <v>1475</v>
      </c>
    </row>
    <row r="67" spans="1:5" ht="24.75" customHeight="1" x14ac:dyDescent="0.25">
      <c r="A67" s="29">
        <v>54</v>
      </c>
      <c r="B67" s="23" t="s">
        <v>384</v>
      </c>
      <c r="C67" s="23">
        <v>2008</v>
      </c>
      <c r="D67" s="23">
        <v>890</v>
      </c>
      <c r="E67" s="23">
        <v>1118</v>
      </c>
    </row>
    <row r="68" spans="1:5" ht="24.75" customHeight="1" x14ac:dyDescent="0.25">
      <c r="A68" s="29">
        <v>55</v>
      </c>
      <c r="B68" s="23" t="s">
        <v>385</v>
      </c>
      <c r="C68" s="23">
        <v>1456</v>
      </c>
      <c r="D68" s="23">
        <v>617</v>
      </c>
      <c r="E68" s="23">
        <v>839</v>
      </c>
    </row>
    <row r="69" spans="1:5" ht="24.75" customHeight="1" x14ac:dyDescent="0.25">
      <c r="A69" s="29">
        <v>56</v>
      </c>
      <c r="B69" s="23" t="s">
        <v>386</v>
      </c>
      <c r="C69" s="23">
        <v>3616</v>
      </c>
      <c r="D69" s="23">
        <v>1723</v>
      </c>
      <c r="E69" s="23">
        <v>1893</v>
      </c>
    </row>
    <row r="70" spans="1:5" ht="24.75" customHeight="1" x14ac:dyDescent="0.25">
      <c r="A70" s="29">
        <v>57</v>
      </c>
      <c r="B70" s="23" t="s">
        <v>387</v>
      </c>
      <c r="C70" s="23">
        <v>2943</v>
      </c>
      <c r="D70" s="23">
        <v>1323</v>
      </c>
      <c r="E70" s="23">
        <v>1620</v>
      </c>
    </row>
    <row r="71" spans="1:5" ht="24.75" customHeight="1" x14ac:dyDescent="0.25">
      <c r="A71" s="29">
        <v>58</v>
      </c>
      <c r="B71" s="23" t="s">
        <v>388</v>
      </c>
      <c r="C71" s="23">
        <v>2625</v>
      </c>
      <c r="D71" s="23">
        <v>1195</v>
      </c>
      <c r="E71" s="23">
        <v>1430</v>
      </c>
    </row>
    <row r="72" spans="1:5" ht="24.75" customHeight="1" x14ac:dyDescent="0.25">
      <c r="A72" s="29">
        <v>59</v>
      </c>
      <c r="B72" s="23" t="s">
        <v>389</v>
      </c>
      <c r="C72" s="23">
        <v>3037</v>
      </c>
      <c r="D72" s="23">
        <v>1367</v>
      </c>
      <c r="E72" s="23">
        <v>1670</v>
      </c>
    </row>
    <row r="73" spans="1:5" ht="24.75" customHeight="1" x14ac:dyDescent="0.25">
      <c r="A73" s="29">
        <v>60</v>
      </c>
      <c r="B73" s="23" t="s">
        <v>390</v>
      </c>
      <c r="C73" s="23">
        <v>637</v>
      </c>
      <c r="D73" s="23">
        <v>275</v>
      </c>
      <c r="E73" s="23">
        <v>362</v>
      </c>
    </row>
    <row r="74" spans="1:5" ht="24.75" customHeight="1" x14ac:dyDescent="0.25">
      <c r="A74" s="29">
        <v>61</v>
      </c>
      <c r="B74" s="23" t="s">
        <v>391</v>
      </c>
      <c r="C74" s="23">
        <v>2021</v>
      </c>
      <c r="D74" s="23">
        <v>906</v>
      </c>
      <c r="E74" s="23">
        <v>1115</v>
      </c>
    </row>
    <row r="75" spans="1:5" ht="24.75" customHeight="1" x14ac:dyDescent="0.25">
      <c r="A75" s="29">
        <v>62</v>
      </c>
      <c r="B75" s="23" t="s">
        <v>392</v>
      </c>
      <c r="C75" s="23">
        <v>1779</v>
      </c>
      <c r="D75" s="23">
        <v>788</v>
      </c>
      <c r="E75" s="23">
        <v>991</v>
      </c>
    </row>
    <row r="76" spans="1:5" ht="24.75" customHeight="1" x14ac:dyDescent="0.25">
      <c r="A76" s="29">
        <v>63</v>
      </c>
      <c r="B76" s="23" t="s">
        <v>393</v>
      </c>
      <c r="C76" s="23">
        <v>1738</v>
      </c>
      <c r="D76" s="23">
        <v>750</v>
      </c>
      <c r="E76" s="23">
        <v>988</v>
      </c>
    </row>
    <row r="77" spans="1:5" ht="24.75" customHeight="1" x14ac:dyDescent="0.25">
      <c r="A77" s="29">
        <v>64</v>
      </c>
      <c r="B77" s="23" t="s">
        <v>394</v>
      </c>
      <c r="C77" s="23">
        <v>2624</v>
      </c>
      <c r="D77" s="23">
        <v>1248</v>
      </c>
      <c r="E77" s="23">
        <v>1376</v>
      </c>
    </row>
    <row r="78" spans="1:5" ht="24.75" customHeight="1" x14ac:dyDescent="0.25">
      <c r="A78" s="29">
        <v>65</v>
      </c>
      <c r="B78" s="23" t="s">
        <v>395</v>
      </c>
      <c r="C78" s="23">
        <v>4142</v>
      </c>
      <c r="D78" s="23">
        <v>1940</v>
      </c>
      <c r="E78" s="23">
        <v>2202</v>
      </c>
    </row>
    <row r="79" spans="1:5" ht="24.75" customHeight="1" x14ac:dyDescent="0.25">
      <c r="A79" s="29">
        <v>66</v>
      </c>
      <c r="B79" s="23" t="s">
        <v>221</v>
      </c>
      <c r="C79" s="23">
        <v>5675</v>
      </c>
      <c r="D79" s="23">
        <v>2576</v>
      </c>
      <c r="E79" s="23">
        <v>3099</v>
      </c>
    </row>
    <row r="80" spans="1:5" ht="24.75" customHeight="1" x14ac:dyDescent="0.25">
      <c r="A80" s="29">
        <v>67</v>
      </c>
      <c r="B80" s="23" t="s">
        <v>396</v>
      </c>
      <c r="C80" s="23">
        <v>370</v>
      </c>
      <c r="D80" s="23">
        <v>170</v>
      </c>
      <c r="E80" s="23">
        <v>200</v>
      </c>
    </row>
    <row r="81" spans="1:5" ht="24.75" customHeight="1" x14ac:dyDescent="0.25">
      <c r="A81" s="29">
        <v>68</v>
      </c>
      <c r="B81" s="23" t="s">
        <v>397</v>
      </c>
      <c r="C81" s="23">
        <v>834</v>
      </c>
      <c r="D81" s="23">
        <v>369</v>
      </c>
      <c r="E81" s="23">
        <v>465</v>
      </c>
    </row>
    <row r="82" spans="1:5" ht="24.75" customHeight="1" x14ac:dyDescent="0.25">
      <c r="A82" s="12">
        <v>69</v>
      </c>
      <c r="B82" s="30" t="s">
        <v>398</v>
      </c>
      <c r="C82" s="30">
        <v>1755</v>
      </c>
      <c r="D82" s="30">
        <v>785</v>
      </c>
      <c r="E82" s="30">
        <v>970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hwebo District,  Wetlet Township"/>
  </hyperlinks>
  <pageMargins left="0.75" right="0.5" top="0.5" bottom="0.2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workbookViewId="0">
      <selection sqref="A1:E1"/>
    </sheetView>
  </sheetViews>
  <sheetFormatPr defaultRowHeight="24.75" customHeight="1" x14ac:dyDescent="0.25"/>
  <cols>
    <col min="1" max="1" width="6.140625" style="3" customWidth="1"/>
    <col min="2" max="2" width="37.7109375" style="3" customWidth="1"/>
    <col min="3" max="5" width="15.7109375" style="3" customWidth="1"/>
    <col min="6" max="16384" width="9.140625" style="3"/>
  </cols>
  <sheetData>
    <row r="1" spans="1:13" ht="24.75" customHeight="1" x14ac:dyDescent="0.25">
      <c r="A1" s="67" t="s">
        <v>1732</v>
      </c>
      <c r="B1" s="67"/>
      <c r="C1" s="67"/>
      <c r="D1" s="67"/>
      <c r="E1" s="67"/>
    </row>
    <row r="2" spans="1:13" ht="24.75" customHeight="1" x14ac:dyDescent="0.4">
      <c r="A2" s="2"/>
      <c r="B2" s="7"/>
      <c r="C2" s="7"/>
      <c r="D2" s="7"/>
      <c r="E2" s="56" t="s">
        <v>1722</v>
      </c>
    </row>
    <row r="3" spans="1:13" ht="24.75" customHeight="1" x14ac:dyDescent="0.4">
      <c r="A3" s="2"/>
      <c r="B3" s="7"/>
      <c r="C3" s="7"/>
      <c r="D3" s="7"/>
      <c r="E3" s="56"/>
    </row>
    <row r="4" spans="1:13" ht="10.5" customHeight="1" x14ac:dyDescent="0.4">
      <c r="A4" s="2"/>
      <c r="B4" s="7"/>
      <c r="C4" s="7"/>
      <c r="D4" s="7"/>
      <c r="E4" s="7"/>
    </row>
    <row r="5" spans="1:13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13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13" ht="21.95" customHeight="1" x14ac:dyDescent="0.25">
      <c r="A7" s="9"/>
      <c r="B7" s="9" t="s">
        <v>1772</v>
      </c>
      <c r="C7" s="22">
        <f>C9+C15</f>
        <v>295561</v>
      </c>
      <c r="D7" s="22">
        <f t="shared" ref="D7:E7" si="0">D9+D15</f>
        <v>139944</v>
      </c>
      <c r="E7" s="22">
        <f t="shared" si="0"/>
        <v>155617</v>
      </c>
      <c r="G7"/>
      <c r="H7"/>
      <c r="I7"/>
      <c r="J7"/>
      <c r="K7"/>
      <c r="L7"/>
      <c r="M7"/>
    </row>
    <row r="8" spans="1:13" ht="9" customHeight="1" x14ac:dyDescent="0.25">
      <c r="A8" s="10"/>
      <c r="B8" s="23"/>
      <c r="C8" s="23"/>
      <c r="D8" s="23"/>
      <c r="E8" s="23"/>
      <c r="H8"/>
      <c r="I8"/>
      <c r="J8"/>
      <c r="K8"/>
      <c r="L8"/>
    </row>
    <row r="9" spans="1:13" ht="21.95" customHeight="1" x14ac:dyDescent="0.25">
      <c r="A9" s="10"/>
      <c r="B9" s="10" t="s">
        <v>1725</v>
      </c>
      <c r="C9" s="24">
        <f>SUM(C10:C14)</f>
        <v>25022</v>
      </c>
      <c r="D9" s="24">
        <f t="shared" ref="D9:E9" si="1">SUM(D10:D14)</f>
        <v>11976</v>
      </c>
      <c r="E9" s="24">
        <f t="shared" si="1"/>
        <v>13046</v>
      </c>
      <c r="H9"/>
      <c r="I9"/>
      <c r="J9"/>
      <c r="K9"/>
      <c r="L9"/>
    </row>
    <row r="10" spans="1:13" ht="21.95" customHeight="1" x14ac:dyDescent="0.25">
      <c r="A10" s="11">
        <v>1</v>
      </c>
      <c r="B10" s="11" t="s">
        <v>203</v>
      </c>
      <c r="C10" s="11">
        <v>3868</v>
      </c>
      <c r="D10" s="11">
        <v>1767</v>
      </c>
      <c r="E10" s="11">
        <v>2101</v>
      </c>
      <c r="H10"/>
      <c r="I10"/>
      <c r="J10"/>
      <c r="K10"/>
      <c r="L10"/>
    </row>
    <row r="11" spans="1:13" ht="21.95" customHeight="1" x14ac:dyDescent="0.25">
      <c r="A11" s="11">
        <v>2</v>
      </c>
      <c r="B11" s="11" t="s">
        <v>204</v>
      </c>
      <c r="C11" s="11">
        <v>6395</v>
      </c>
      <c r="D11" s="11">
        <v>3001</v>
      </c>
      <c r="E11" s="11">
        <v>3394</v>
      </c>
      <c r="H11"/>
      <c r="I11"/>
      <c r="J11"/>
      <c r="K11"/>
      <c r="L11"/>
    </row>
    <row r="12" spans="1:13" ht="21.95" customHeight="1" x14ac:dyDescent="0.25">
      <c r="A12" s="11">
        <v>3</v>
      </c>
      <c r="B12" s="11" t="s">
        <v>205</v>
      </c>
      <c r="C12" s="11">
        <v>7929</v>
      </c>
      <c r="D12" s="11">
        <v>3721</v>
      </c>
      <c r="E12" s="11">
        <v>4208</v>
      </c>
      <c r="H12"/>
      <c r="I12"/>
      <c r="J12"/>
      <c r="K12"/>
      <c r="L12"/>
    </row>
    <row r="13" spans="1:13" ht="21.95" customHeight="1" x14ac:dyDescent="0.25">
      <c r="A13" s="11">
        <v>4</v>
      </c>
      <c r="B13" s="11" t="s">
        <v>206</v>
      </c>
      <c r="C13" s="11">
        <v>2457</v>
      </c>
      <c r="D13" s="11">
        <v>1121</v>
      </c>
      <c r="E13" s="11">
        <v>1336</v>
      </c>
      <c r="H13"/>
      <c r="I13"/>
      <c r="J13"/>
      <c r="K13"/>
      <c r="L13"/>
    </row>
    <row r="14" spans="1:13" ht="21.95" customHeight="1" x14ac:dyDescent="0.25">
      <c r="A14" s="11">
        <v>5</v>
      </c>
      <c r="B14" s="11" t="s">
        <v>207</v>
      </c>
      <c r="C14" s="11">
        <v>4373</v>
      </c>
      <c r="D14" s="11">
        <v>2366</v>
      </c>
      <c r="E14" s="11">
        <v>2007</v>
      </c>
      <c r="H14"/>
      <c r="I14"/>
      <c r="J14"/>
      <c r="K14"/>
      <c r="L14"/>
    </row>
    <row r="15" spans="1:13" ht="21.95" customHeight="1" x14ac:dyDescent="0.25">
      <c r="A15" s="11"/>
      <c r="B15" s="10" t="s">
        <v>1773</v>
      </c>
      <c r="C15" s="24">
        <f>SUM(C16:C101)</f>
        <v>270539</v>
      </c>
      <c r="D15" s="24">
        <f t="shared" ref="D15:E15" si="2">SUM(D16:D101)</f>
        <v>127968</v>
      </c>
      <c r="E15" s="24">
        <f t="shared" si="2"/>
        <v>142571</v>
      </c>
      <c r="H15"/>
      <c r="I15"/>
      <c r="J15"/>
      <c r="K15"/>
      <c r="L15"/>
    </row>
    <row r="16" spans="1:13" ht="21.95" customHeight="1" x14ac:dyDescent="0.25">
      <c r="A16" s="11">
        <v>1</v>
      </c>
      <c r="B16" s="11" t="s">
        <v>399</v>
      </c>
      <c r="C16" s="11">
        <v>785</v>
      </c>
      <c r="D16" s="11">
        <v>384</v>
      </c>
      <c r="E16" s="11">
        <v>401</v>
      </c>
      <c r="H16"/>
      <c r="I16"/>
      <c r="J16"/>
      <c r="K16"/>
      <c r="L16"/>
    </row>
    <row r="17" spans="1:12" ht="21.95" customHeight="1" x14ac:dyDescent="0.25">
      <c r="A17" s="11">
        <v>2</v>
      </c>
      <c r="B17" s="11" t="s">
        <v>400</v>
      </c>
      <c r="C17" s="11">
        <v>6226</v>
      </c>
      <c r="D17" s="11">
        <v>2888</v>
      </c>
      <c r="E17" s="11">
        <v>3338</v>
      </c>
      <c r="H17"/>
      <c r="I17"/>
      <c r="J17"/>
      <c r="K17"/>
      <c r="L17"/>
    </row>
    <row r="18" spans="1:12" ht="21.95" customHeight="1" x14ac:dyDescent="0.25">
      <c r="A18" s="11">
        <v>3</v>
      </c>
      <c r="B18" s="11" t="s">
        <v>401</v>
      </c>
      <c r="C18" s="11">
        <v>2399</v>
      </c>
      <c r="D18" s="11">
        <v>1146</v>
      </c>
      <c r="E18" s="11">
        <v>1253</v>
      </c>
      <c r="H18"/>
      <c r="I18"/>
      <c r="J18"/>
      <c r="K18"/>
      <c r="L18"/>
    </row>
    <row r="19" spans="1:12" ht="21.95" customHeight="1" x14ac:dyDescent="0.25">
      <c r="A19" s="11">
        <v>4</v>
      </c>
      <c r="B19" s="11" t="s">
        <v>402</v>
      </c>
      <c r="C19" s="11">
        <v>5207</v>
      </c>
      <c r="D19" s="11">
        <v>2535</v>
      </c>
      <c r="E19" s="11">
        <v>2672</v>
      </c>
      <c r="H19"/>
      <c r="I19"/>
      <c r="J19"/>
      <c r="K19"/>
      <c r="L19"/>
    </row>
    <row r="20" spans="1:12" ht="21.95" customHeight="1" x14ac:dyDescent="0.25">
      <c r="A20" s="11">
        <v>5</v>
      </c>
      <c r="B20" s="11" t="s">
        <v>403</v>
      </c>
      <c r="C20" s="11">
        <v>3948</v>
      </c>
      <c r="D20" s="11">
        <v>1888</v>
      </c>
      <c r="E20" s="11">
        <v>2060</v>
      </c>
      <c r="H20"/>
      <c r="I20"/>
      <c r="J20"/>
      <c r="K20"/>
      <c r="L20"/>
    </row>
    <row r="21" spans="1:12" ht="21.95" customHeight="1" x14ac:dyDescent="0.25">
      <c r="A21" s="11">
        <v>6</v>
      </c>
      <c r="B21" s="11" t="s">
        <v>404</v>
      </c>
      <c r="C21" s="11">
        <v>3195</v>
      </c>
      <c r="D21" s="11">
        <v>1565</v>
      </c>
      <c r="E21" s="11">
        <v>1630</v>
      </c>
      <c r="H21"/>
      <c r="I21"/>
      <c r="J21"/>
      <c r="K21"/>
      <c r="L21"/>
    </row>
    <row r="22" spans="1:12" ht="21.95" customHeight="1" x14ac:dyDescent="0.25">
      <c r="A22" s="11">
        <v>7</v>
      </c>
      <c r="B22" s="11" t="s">
        <v>405</v>
      </c>
      <c r="C22" s="11">
        <v>1959</v>
      </c>
      <c r="D22" s="11">
        <v>996</v>
      </c>
      <c r="E22" s="11">
        <v>963</v>
      </c>
      <c r="H22"/>
      <c r="I22"/>
      <c r="J22"/>
      <c r="K22"/>
      <c r="L22"/>
    </row>
    <row r="23" spans="1:12" ht="21.95" customHeight="1" x14ac:dyDescent="0.25">
      <c r="A23" s="11">
        <v>8</v>
      </c>
      <c r="B23" s="11" t="s">
        <v>406</v>
      </c>
      <c r="C23" s="11">
        <v>5831</v>
      </c>
      <c r="D23" s="11">
        <v>2681</v>
      </c>
      <c r="E23" s="11">
        <v>3150</v>
      </c>
      <c r="H23"/>
      <c r="I23"/>
      <c r="J23"/>
      <c r="K23"/>
      <c r="L23"/>
    </row>
    <row r="24" spans="1:12" ht="21.95" customHeight="1" x14ac:dyDescent="0.25">
      <c r="A24" s="11">
        <v>9</v>
      </c>
      <c r="B24" s="11" t="s">
        <v>407</v>
      </c>
      <c r="C24" s="11">
        <v>2777</v>
      </c>
      <c r="D24" s="11">
        <v>1302</v>
      </c>
      <c r="E24" s="11">
        <v>1475</v>
      </c>
      <c r="H24"/>
      <c r="I24"/>
      <c r="J24"/>
      <c r="K24"/>
      <c r="L24"/>
    </row>
    <row r="25" spans="1:12" ht="21.95" customHeight="1" x14ac:dyDescent="0.25">
      <c r="A25" s="11">
        <v>10</v>
      </c>
      <c r="B25" s="11" t="s">
        <v>408</v>
      </c>
      <c r="C25" s="11">
        <v>1693</v>
      </c>
      <c r="D25" s="11">
        <v>793</v>
      </c>
      <c r="E25" s="11">
        <v>900</v>
      </c>
      <c r="H25"/>
      <c r="I25"/>
      <c r="J25"/>
      <c r="K25"/>
      <c r="L25"/>
    </row>
    <row r="26" spans="1:12" ht="21.95" customHeight="1" x14ac:dyDescent="0.25">
      <c r="A26" s="11">
        <v>11</v>
      </c>
      <c r="B26" s="11" t="s">
        <v>409</v>
      </c>
      <c r="C26" s="11">
        <v>2037</v>
      </c>
      <c r="D26" s="11">
        <v>919</v>
      </c>
      <c r="E26" s="11">
        <v>1118</v>
      </c>
      <c r="H26"/>
      <c r="I26"/>
      <c r="J26"/>
      <c r="K26"/>
      <c r="L26"/>
    </row>
    <row r="27" spans="1:12" ht="21.95" customHeight="1" x14ac:dyDescent="0.25">
      <c r="A27" s="11">
        <v>12</v>
      </c>
      <c r="B27" s="11" t="s">
        <v>410</v>
      </c>
      <c r="C27" s="11">
        <v>1634</v>
      </c>
      <c r="D27" s="11">
        <v>832</v>
      </c>
      <c r="E27" s="11">
        <v>802</v>
      </c>
      <c r="H27"/>
      <c r="I27"/>
      <c r="J27"/>
      <c r="K27"/>
      <c r="L27"/>
    </row>
    <row r="28" spans="1:12" ht="21.95" customHeight="1" x14ac:dyDescent="0.25">
      <c r="A28" s="11">
        <v>13</v>
      </c>
      <c r="B28" s="11" t="s">
        <v>411</v>
      </c>
      <c r="C28" s="11">
        <v>7672</v>
      </c>
      <c r="D28" s="11">
        <v>3920</v>
      </c>
      <c r="E28" s="11">
        <v>3752</v>
      </c>
      <c r="H28"/>
      <c r="I28"/>
      <c r="J28"/>
      <c r="K28"/>
      <c r="L28"/>
    </row>
    <row r="29" spans="1:12" ht="21.95" customHeight="1" x14ac:dyDescent="0.25">
      <c r="A29" s="11">
        <v>14</v>
      </c>
      <c r="B29" s="11" t="s">
        <v>412</v>
      </c>
      <c r="C29" s="11">
        <v>1947</v>
      </c>
      <c r="D29" s="11">
        <v>941</v>
      </c>
      <c r="E29" s="11">
        <v>1006</v>
      </c>
      <c r="H29"/>
      <c r="I29"/>
      <c r="J29"/>
      <c r="K29"/>
      <c r="L29"/>
    </row>
    <row r="30" spans="1:12" ht="21.95" customHeight="1" x14ac:dyDescent="0.25">
      <c r="A30" s="11">
        <v>15</v>
      </c>
      <c r="B30" s="11" t="s">
        <v>413</v>
      </c>
      <c r="C30" s="11">
        <v>1885</v>
      </c>
      <c r="D30" s="11">
        <v>879</v>
      </c>
      <c r="E30" s="11">
        <v>1006</v>
      </c>
      <c r="H30"/>
      <c r="I30"/>
      <c r="J30"/>
      <c r="K30"/>
      <c r="L30"/>
    </row>
    <row r="31" spans="1:12" ht="21.95" customHeight="1" x14ac:dyDescent="0.25">
      <c r="A31" s="11">
        <v>16</v>
      </c>
      <c r="B31" s="11" t="s">
        <v>414</v>
      </c>
      <c r="C31" s="11">
        <v>4647</v>
      </c>
      <c r="D31" s="11">
        <v>2204</v>
      </c>
      <c r="E31" s="11">
        <v>2443</v>
      </c>
      <c r="H31"/>
      <c r="I31"/>
      <c r="J31"/>
      <c r="K31"/>
      <c r="L31"/>
    </row>
    <row r="32" spans="1:12" ht="21.95" customHeight="1" x14ac:dyDescent="0.25">
      <c r="A32" s="11">
        <v>17</v>
      </c>
      <c r="B32" s="11" t="s">
        <v>415</v>
      </c>
      <c r="C32" s="11">
        <v>1825</v>
      </c>
      <c r="D32" s="11">
        <v>864</v>
      </c>
      <c r="E32" s="11">
        <v>961</v>
      </c>
      <c r="H32"/>
      <c r="I32"/>
      <c r="J32"/>
      <c r="K32"/>
      <c r="L32"/>
    </row>
    <row r="33" spans="1:12" ht="21.95" customHeight="1" x14ac:dyDescent="0.25">
      <c r="A33" s="11">
        <v>18</v>
      </c>
      <c r="B33" s="11" t="s">
        <v>416</v>
      </c>
      <c r="C33" s="11">
        <v>1107</v>
      </c>
      <c r="D33" s="11">
        <v>528</v>
      </c>
      <c r="E33" s="11">
        <v>579</v>
      </c>
      <c r="H33"/>
      <c r="I33"/>
      <c r="J33"/>
      <c r="K33"/>
      <c r="L33"/>
    </row>
    <row r="34" spans="1:12" ht="21.95" customHeight="1" x14ac:dyDescent="0.25">
      <c r="A34" s="11">
        <v>19</v>
      </c>
      <c r="B34" s="11" t="s">
        <v>256</v>
      </c>
      <c r="C34" s="11">
        <v>3512</v>
      </c>
      <c r="D34" s="11">
        <v>1633</v>
      </c>
      <c r="E34" s="11">
        <v>1879</v>
      </c>
      <c r="H34"/>
      <c r="I34"/>
      <c r="J34"/>
      <c r="K34"/>
      <c r="L34"/>
    </row>
    <row r="35" spans="1:12" ht="21.95" customHeight="1" x14ac:dyDescent="0.25">
      <c r="A35" s="11">
        <v>20</v>
      </c>
      <c r="B35" s="11" t="s">
        <v>417</v>
      </c>
      <c r="C35" s="11">
        <v>1793</v>
      </c>
      <c r="D35" s="11">
        <v>878</v>
      </c>
      <c r="E35" s="11">
        <v>915</v>
      </c>
      <c r="H35"/>
      <c r="I35"/>
      <c r="J35"/>
      <c r="K35"/>
      <c r="L35"/>
    </row>
    <row r="36" spans="1:12" ht="21.95" customHeight="1" x14ac:dyDescent="0.25">
      <c r="A36" s="11">
        <v>21</v>
      </c>
      <c r="B36" s="11" t="s">
        <v>129</v>
      </c>
      <c r="C36" s="11">
        <v>3478</v>
      </c>
      <c r="D36" s="11">
        <v>1692</v>
      </c>
      <c r="E36" s="11">
        <v>1786</v>
      </c>
      <c r="H36"/>
      <c r="I36"/>
      <c r="J36"/>
      <c r="K36"/>
      <c r="L36"/>
    </row>
    <row r="37" spans="1:12" ht="21.95" customHeight="1" x14ac:dyDescent="0.25">
      <c r="A37" s="11">
        <v>22</v>
      </c>
      <c r="B37" s="11" t="s">
        <v>418</v>
      </c>
      <c r="C37" s="11">
        <v>1324</v>
      </c>
      <c r="D37" s="11">
        <v>680</v>
      </c>
      <c r="E37" s="11">
        <v>644</v>
      </c>
      <c r="H37"/>
      <c r="I37"/>
      <c r="J37"/>
      <c r="K37"/>
      <c r="L37"/>
    </row>
    <row r="38" spans="1:12" ht="21.95" customHeight="1" x14ac:dyDescent="0.25">
      <c r="A38" s="11">
        <v>23</v>
      </c>
      <c r="B38" s="11" t="s">
        <v>419</v>
      </c>
      <c r="C38" s="11">
        <v>2491</v>
      </c>
      <c r="D38" s="11">
        <v>1178</v>
      </c>
      <c r="E38" s="11">
        <v>1313</v>
      </c>
      <c r="H38"/>
      <c r="I38"/>
      <c r="J38"/>
      <c r="K38"/>
      <c r="L38"/>
    </row>
    <row r="39" spans="1:12" ht="21.95" customHeight="1" x14ac:dyDescent="0.25">
      <c r="A39" s="11">
        <v>24</v>
      </c>
      <c r="B39" s="11" t="s">
        <v>420</v>
      </c>
      <c r="C39" s="11">
        <v>2656</v>
      </c>
      <c r="D39" s="11">
        <v>1254</v>
      </c>
      <c r="E39" s="11">
        <v>1402</v>
      </c>
      <c r="H39"/>
      <c r="I39"/>
      <c r="J39"/>
      <c r="K39"/>
      <c r="L39"/>
    </row>
    <row r="40" spans="1:12" ht="21.95" customHeight="1" x14ac:dyDescent="0.25">
      <c r="A40" s="11">
        <v>25</v>
      </c>
      <c r="B40" s="11" t="s">
        <v>421</v>
      </c>
      <c r="C40" s="11">
        <v>6696</v>
      </c>
      <c r="D40" s="11">
        <v>3038</v>
      </c>
      <c r="E40" s="11">
        <v>3658</v>
      </c>
      <c r="H40"/>
      <c r="I40"/>
      <c r="J40"/>
      <c r="K40"/>
      <c r="L40"/>
    </row>
    <row r="41" spans="1:12" ht="21.95" customHeight="1" x14ac:dyDescent="0.25">
      <c r="A41" s="11">
        <v>26</v>
      </c>
      <c r="B41" s="11" t="s">
        <v>422</v>
      </c>
      <c r="C41" s="11">
        <v>4214</v>
      </c>
      <c r="D41" s="11">
        <v>2119</v>
      </c>
      <c r="E41" s="11">
        <v>2095</v>
      </c>
      <c r="H41"/>
      <c r="I41"/>
      <c r="J41"/>
      <c r="K41"/>
      <c r="L41"/>
    </row>
    <row r="42" spans="1:12" ht="21.95" customHeight="1" x14ac:dyDescent="0.25">
      <c r="A42" s="11">
        <v>27</v>
      </c>
      <c r="B42" s="11" t="s">
        <v>423</v>
      </c>
      <c r="C42" s="11">
        <v>9737</v>
      </c>
      <c r="D42" s="11">
        <v>4890</v>
      </c>
      <c r="E42" s="11">
        <v>4847</v>
      </c>
      <c r="H42"/>
      <c r="I42"/>
      <c r="J42"/>
      <c r="K42"/>
      <c r="L42"/>
    </row>
    <row r="43" spans="1:12" ht="21.95" customHeight="1" x14ac:dyDescent="0.25">
      <c r="A43" s="11">
        <v>28</v>
      </c>
      <c r="B43" s="11" t="s">
        <v>424</v>
      </c>
      <c r="C43" s="11">
        <v>3200</v>
      </c>
      <c r="D43" s="11">
        <v>1538</v>
      </c>
      <c r="E43" s="11">
        <v>1662</v>
      </c>
      <c r="H43"/>
      <c r="I43"/>
      <c r="J43"/>
      <c r="K43"/>
      <c r="L43"/>
    </row>
    <row r="44" spans="1:12" ht="21.95" customHeight="1" x14ac:dyDescent="0.25">
      <c r="A44" s="11">
        <v>29</v>
      </c>
      <c r="B44" s="11" t="s">
        <v>425</v>
      </c>
      <c r="C44" s="11">
        <v>1581</v>
      </c>
      <c r="D44" s="11">
        <v>727</v>
      </c>
      <c r="E44" s="11">
        <v>854</v>
      </c>
      <c r="H44"/>
      <c r="I44"/>
      <c r="J44"/>
      <c r="K44"/>
      <c r="L44"/>
    </row>
    <row r="45" spans="1:12" ht="21.95" customHeight="1" x14ac:dyDescent="0.25">
      <c r="A45" s="11">
        <v>30</v>
      </c>
      <c r="B45" s="11" t="s">
        <v>426</v>
      </c>
      <c r="C45" s="11">
        <v>2368</v>
      </c>
      <c r="D45" s="11">
        <v>1088</v>
      </c>
      <c r="E45" s="11">
        <v>1280</v>
      </c>
      <c r="H45"/>
      <c r="I45"/>
      <c r="J45"/>
      <c r="K45"/>
      <c r="L45"/>
    </row>
    <row r="46" spans="1:12" ht="21.95" customHeight="1" x14ac:dyDescent="0.25">
      <c r="A46" s="11">
        <v>31</v>
      </c>
      <c r="B46" s="11" t="s">
        <v>236</v>
      </c>
      <c r="C46" s="11">
        <v>2229</v>
      </c>
      <c r="D46" s="11">
        <v>1056</v>
      </c>
      <c r="E46" s="11">
        <v>1173</v>
      </c>
      <c r="H46"/>
      <c r="I46"/>
      <c r="J46"/>
      <c r="K46"/>
      <c r="L46"/>
    </row>
    <row r="47" spans="1:12" ht="21.95" customHeight="1" x14ac:dyDescent="0.25">
      <c r="A47" s="11">
        <v>32</v>
      </c>
      <c r="B47" s="11" t="s">
        <v>427</v>
      </c>
      <c r="C47" s="11">
        <v>6885</v>
      </c>
      <c r="D47" s="11">
        <v>3138</v>
      </c>
      <c r="E47" s="11">
        <v>3747</v>
      </c>
      <c r="H47"/>
      <c r="I47"/>
      <c r="J47"/>
      <c r="K47"/>
      <c r="L47"/>
    </row>
    <row r="48" spans="1:12" ht="21.95" customHeight="1" x14ac:dyDescent="0.25">
      <c r="A48" s="11">
        <v>33</v>
      </c>
      <c r="B48" s="11" t="s">
        <v>428</v>
      </c>
      <c r="C48" s="11">
        <v>1584</v>
      </c>
      <c r="D48" s="11">
        <v>707</v>
      </c>
      <c r="E48" s="11">
        <v>877</v>
      </c>
      <c r="H48"/>
      <c r="I48"/>
      <c r="J48"/>
      <c r="K48"/>
      <c r="L48"/>
    </row>
    <row r="49" spans="1:12" ht="21.95" customHeight="1" x14ac:dyDescent="0.25">
      <c r="A49" s="11">
        <v>34</v>
      </c>
      <c r="B49" s="11" t="s">
        <v>429</v>
      </c>
      <c r="C49" s="11">
        <v>1286</v>
      </c>
      <c r="D49" s="11">
        <v>612</v>
      </c>
      <c r="E49" s="11">
        <v>674</v>
      </c>
      <c r="H49"/>
      <c r="I49"/>
      <c r="J49"/>
      <c r="K49"/>
      <c r="L49"/>
    </row>
    <row r="50" spans="1:12" ht="21.95" customHeight="1" x14ac:dyDescent="0.25">
      <c r="A50" s="11">
        <v>35</v>
      </c>
      <c r="B50" s="11" t="s">
        <v>430</v>
      </c>
      <c r="C50" s="11">
        <v>2865</v>
      </c>
      <c r="D50" s="11">
        <v>1332</v>
      </c>
      <c r="E50" s="11">
        <v>1533</v>
      </c>
      <c r="H50"/>
      <c r="I50"/>
      <c r="J50"/>
      <c r="K50"/>
      <c r="L50"/>
    </row>
    <row r="51" spans="1:12" ht="21.95" customHeight="1" x14ac:dyDescent="0.25">
      <c r="A51" s="11">
        <v>36</v>
      </c>
      <c r="B51" s="11" t="s">
        <v>244</v>
      </c>
      <c r="C51" s="11">
        <v>1396</v>
      </c>
      <c r="D51" s="11">
        <v>623</v>
      </c>
      <c r="E51" s="11">
        <v>773</v>
      </c>
      <c r="H51"/>
      <c r="I51"/>
      <c r="J51"/>
      <c r="K51"/>
      <c r="L51"/>
    </row>
    <row r="52" spans="1:12" ht="21.95" customHeight="1" x14ac:dyDescent="0.25">
      <c r="A52" s="11">
        <v>37</v>
      </c>
      <c r="B52" s="11" t="s">
        <v>431</v>
      </c>
      <c r="C52" s="11">
        <v>6526</v>
      </c>
      <c r="D52" s="11">
        <v>3062</v>
      </c>
      <c r="E52" s="11">
        <v>3464</v>
      </c>
      <c r="H52"/>
      <c r="I52"/>
      <c r="J52"/>
      <c r="K52"/>
      <c r="L52"/>
    </row>
    <row r="53" spans="1:12" ht="21.95" customHeight="1" x14ac:dyDescent="0.25">
      <c r="A53" s="11">
        <v>38</v>
      </c>
      <c r="B53" s="11" t="s">
        <v>432</v>
      </c>
      <c r="C53" s="11">
        <v>3981</v>
      </c>
      <c r="D53" s="11">
        <v>1848</v>
      </c>
      <c r="E53" s="11">
        <v>2133</v>
      </c>
      <c r="H53"/>
      <c r="I53"/>
      <c r="J53"/>
      <c r="K53"/>
      <c r="L53"/>
    </row>
    <row r="54" spans="1:12" ht="21.95" customHeight="1" x14ac:dyDescent="0.25">
      <c r="A54" s="11">
        <v>39</v>
      </c>
      <c r="B54" s="11" t="s">
        <v>433</v>
      </c>
      <c r="C54" s="11">
        <v>3770</v>
      </c>
      <c r="D54" s="11">
        <v>1814</v>
      </c>
      <c r="E54" s="11">
        <v>1956</v>
      </c>
      <c r="H54"/>
      <c r="I54"/>
      <c r="J54"/>
      <c r="K54"/>
      <c r="L54"/>
    </row>
    <row r="55" spans="1:12" ht="21.95" customHeight="1" x14ac:dyDescent="0.25">
      <c r="A55" s="11">
        <v>40</v>
      </c>
      <c r="B55" s="11" t="s">
        <v>434</v>
      </c>
      <c r="C55" s="11">
        <v>3628</v>
      </c>
      <c r="D55" s="11">
        <v>1705</v>
      </c>
      <c r="E55" s="11">
        <v>1923</v>
      </c>
      <c r="H55"/>
      <c r="I55"/>
      <c r="J55"/>
      <c r="K55"/>
      <c r="L55"/>
    </row>
    <row r="56" spans="1:12" ht="21.95" customHeight="1" x14ac:dyDescent="0.25">
      <c r="A56" s="11">
        <v>41</v>
      </c>
      <c r="B56" s="11" t="s">
        <v>435</v>
      </c>
      <c r="C56" s="11">
        <v>2735</v>
      </c>
      <c r="D56" s="11">
        <v>1306</v>
      </c>
      <c r="E56" s="11">
        <v>1429</v>
      </c>
      <c r="H56"/>
      <c r="I56"/>
      <c r="J56"/>
      <c r="K56"/>
      <c r="L56"/>
    </row>
    <row r="57" spans="1:12" ht="21.95" customHeight="1" x14ac:dyDescent="0.25">
      <c r="A57" s="11">
        <v>42</v>
      </c>
      <c r="B57" s="11" t="s">
        <v>436</v>
      </c>
      <c r="C57" s="11">
        <v>1585</v>
      </c>
      <c r="D57" s="11">
        <v>685</v>
      </c>
      <c r="E57" s="11">
        <v>900</v>
      </c>
      <c r="H57"/>
      <c r="I57"/>
      <c r="J57"/>
      <c r="K57"/>
      <c r="L57"/>
    </row>
    <row r="58" spans="1:12" ht="21.95" customHeight="1" x14ac:dyDescent="0.25">
      <c r="A58" s="11">
        <v>43</v>
      </c>
      <c r="B58" s="11" t="s">
        <v>437</v>
      </c>
      <c r="C58" s="11">
        <v>1151</v>
      </c>
      <c r="D58" s="11">
        <v>476</v>
      </c>
      <c r="E58" s="11">
        <v>675</v>
      </c>
      <c r="H58"/>
      <c r="I58"/>
      <c r="J58"/>
      <c r="K58"/>
      <c r="L58"/>
    </row>
    <row r="59" spans="1:12" ht="21.95" customHeight="1" x14ac:dyDescent="0.25">
      <c r="A59" s="11">
        <v>44</v>
      </c>
      <c r="B59" s="11" t="s">
        <v>438</v>
      </c>
      <c r="C59" s="11">
        <v>1392</v>
      </c>
      <c r="D59" s="11">
        <v>667</v>
      </c>
      <c r="E59" s="11">
        <v>725</v>
      </c>
      <c r="H59"/>
      <c r="I59"/>
      <c r="J59"/>
      <c r="K59"/>
      <c r="L59"/>
    </row>
    <row r="60" spans="1:12" ht="21.95" customHeight="1" x14ac:dyDescent="0.25">
      <c r="A60" s="11">
        <v>45</v>
      </c>
      <c r="B60" s="11" t="s">
        <v>439</v>
      </c>
      <c r="C60" s="11">
        <v>3727</v>
      </c>
      <c r="D60" s="11">
        <v>1654</v>
      </c>
      <c r="E60" s="11">
        <v>2073</v>
      </c>
      <c r="H60"/>
      <c r="I60"/>
      <c r="J60"/>
      <c r="K60"/>
      <c r="L60"/>
    </row>
    <row r="61" spans="1:12" ht="21.95" customHeight="1" x14ac:dyDescent="0.25">
      <c r="A61" s="11">
        <v>46</v>
      </c>
      <c r="B61" s="11" t="s">
        <v>440</v>
      </c>
      <c r="C61" s="11">
        <v>1093</v>
      </c>
      <c r="D61" s="11">
        <v>513</v>
      </c>
      <c r="E61" s="11">
        <v>580</v>
      </c>
      <c r="H61"/>
      <c r="I61"/>
      <c r="J61"/>
      <c r="K61"/>
      <c r="L61"/>
    </row>
    <row r="62" spans="1:12" ht="21.95" customHeight="1" x14ac:dyDescent="0.25">
      <c r="A62" s="11">
        <v>47</v>
      </c>
      <c r="B62" s="11" t="s">
        <v>441</v>
      </c>
      <c r="C62" s="11">
        <v>4799</v>
      </c>
      <c r="D62" s="11">
        <v>2263</v>
      </c>
      <c r="E62" s="11">
        <v>2536</v>
      </c>
      <c r="H62"/>
      <c r="I62"/>
      <c r="J62"/>
      <c r="K62"/>
      <c r="L62"/>
    </row>
    <row r="63" spans="1:12" ht="21.95" customHeight="1" x14ac:dyDescent="0.25">
      <c r="A63" s="11">
        <v>48</v>
      </c>
      <c r="B63" s="11" t="s">
        <v>442</v>
      </c>
      <c r="C63" s="11">
        <v>2586</v>
      </c>
      <c r="D63" s="11">
        <v>1158</v>
      </c>
      <c r="E63" s="11">
        <v>1428</v>
      </c>
      <c r="H63"/>
      <c r="I63"/>
      <c r="J63"/>
      <c r="K63"/>
      <c r="L63"/>
    </row>
    <row r="64" spans="1:12" ht="21.95" customHeight="1" x14ac:dyDescent="0.25">
      <c r="A64" s="11">
        <v>49</v>
      </c>
      <c r="B64" s="11" t="s">
        <v>443</v>
      </c>
      <c r="C64" s="11">
        <v>2703</v>
      </c>
      <c r="D64" s="11">
        <v>1280</v>
      </c>
      <c r="E64" s="11">
        <v>1423</v>
      </c>
      <c r="H64"/>
      <c r="I64"/>
      <c r="J64"/>
      <c r="K64"/>
      <c r="L64"/>
    </row>
    <row r="65" spans="1:12" ht="21.95" customHeight="1" x14ac:dyDescent="0.25">
      <c r="A65" s="11">
        <v>50</v>
      </c>
      <c r="B65" s="11" t="s">
        <v>444</v>
      </c>
      <c r="C65" s="11">
        <v>2445</v>
      </c>
      <c r="D65" s="11">
        <v>1095</v>
      </c>
      <c r="E65" s="11">
        <v>1350</v>
      </c>
      <c r="H65"/>
      <c r="I65"/>
      <c r="J65"/>
      <c r="K65"/>
      <c r="L65"/>
    </row>
    <row r="66" spans="1:12" ht="21.95" customHeight="1" x14ac:dyDescent="0.25">
      <c r="A66" s="11">
        <v>51</v>
      </c>
      <c r="B66" s="11" t="s">
        <v>266</v>
      </c>
      <c r="C66" s="11">
        <v>1249</v>
      </c>
      <c r="D66" s="11">
        <v>583</v>
      </c>
      <c r="E66" s="11">
        <v>666</v>
      </c>
      <c r="H66"/>
      <c r="I66"/>
      <c r="J66"/>
      <c r="K66"/>
      <c r="L66"/>
    </row>
    <row r="67" spans="1:12" ht="21.95" customHeight="1" x14ac:dyDescent="0.25">
      <c r="A67" s="11">
        <v>52</v>
      </c>
      <c r="B67" s="11" t="s">
        <v>445</v>
      </c>
      <c r="C67" s="11">
        <v>2180</v>
      </c>
      <c r="D67" s="11">
        <v>999</v>
      </c>
      <c r="E67" s="11">
        <v>1181</v>
      </c>
      <c r="H67"/>
      <c r="I67"/>
      <c r="J67"/>
      <c r="K67"/>
      <c r="L67"/>
    </row>
    <row r="68" spans="1:12" ht="21.95" customHeight="1" x14ac:dyDescent="0.25">
      <c r="A68" s="11">
        <v>53</v>
      </c>
      <c r="B68" s="11" t="s">
        <v>446</v>
      </c>
      <c r="C68" s="11">
        <v>11646</v>
      </c>
      <c r="D68" s="11">
        <v>5243</v>
      </c>
      <c r="E68" s="11">
        <v>6403</v>
      </c>
      <c r="H68"/>
      <c r="I68"/>
      <c r="J68"/>
      <c r="K68"/>
      <c r="L68"/>
    </row>
    <row r="69" spans="1:12" ht="21.95" customHeight="1" x14ac:dyDescent="0.25">
      <c r="A69" s="11">
        <v>54</v>
      </c>
      <c r="B69" s="11" t="s">
        <v>447</v>
      </c>
      <c r="C69" s="11">
        <v>4440</v>
      </c>
      <c r="D69" s="11">
        <v>2028</v>
      </c>
      <c r="E69" s="11">
        <v>2412</v>
      </c>
      <c r="H69"/>
      <c r="I69"/>
      <c r="J69"/>
      <c r="K69"/>
      <c r="L69"/>
    </row>
    <row r="70" spans="1:12" ht="21.95" customHeight="1" x14ac:dyDescent="0.25">
      <c r="A70" s="11">
        <v>55</v>
      </c>
      <c r="B70" s="11" t="s">
        <v>448</v>
      </c>
      <c r="C70" s="11">
        <v>3116</v>
      </c>
      <c r="D70" s="11">
        <v>1382</v>
      </c>
      <c r="E70" s="11">
        <v>1734</v>
      </c>
      <c r="H70"/>
      <c r="I70"/>
      <c r="J70"/>
      <c r="K70"/>
      <c r="L70"/>
    </row>
    <row r="71" spans="1:12" ht="21.95" customHeight="1" x14ac:dyDescent="0.25">
      <c r="A71" s="11">
        <v>56</v>
      </c>
      <c r="B71" s="11" t="s">
        <v>126</v>
      </c>
      <c r="C71" s="11">
        <v>4741</v>
      </c>
      <c r="D71" s="11">
        <v>2254</v>
      </c>
      <c r="E71" s="11">
        <v>2487</v>
      </c>
      <c r="H71"/>
      <c r="I71"/>
      <c r="J71"/>
      <c r="K71"/>
      <c r="L71"/>
    </row>
    <row r="72" spans="1:12" ht="21.95" customHeight="1" x14ac:dyDescent="0.25">
      <c r="A72" s="11">
        <v>57</v>
      </c>
      <c r="B72" s="11" t="s">
        <v>215</v>
      </c>
      <c r="C72" s="11">
        <v>2497</v>
      </c>
      <c r="D72" s="11">
        <v>1108</v>
      </c>
      <c r="E72" s="11">
        <v>1389</v>
      </c>
      <c r="H72"/>
      <c r="I72"/>
      <c r="J72"/>
      <c r="K72"/>
      <c r="L72"/>
    </row>
    <row r="73" spans="1:12" ht="21.95" customHeight="1" x14ac:dyDescent="0.25">
      <c r="A73" s="11">
        <v>58</v>
      </c>
      <c r="B73" s="11" t="s">
        <v>449</v>
      </c>
      <c r="C73" s="11">
        <v>952</v>
      </c>
      <c r="D73" s="11">
        <v>469</v>
      </c>
      <c r="E73" s="11">
        <v>483</v>
      </c>
      <c r="H73"/>
      <c r="I73"/>
      <c r="J73"/>
      <c r="K73"/>
      <c r="L73"/>
    </row>
    <row r="74" spans="1:12" ht="21.95" customHeight="1" x14ac:dyDescent="0.25">
      <c r="A74" s="11">
        <v>59</v>
      </c>
      <c r="B74" s="11" t="s">
        <v>450</v>
      </c>
      <c r="C74" s="11">
        <v>1481</v>
      </c>
      <c r="D74" s="11">
        <v>630</v>
      </c>
      <c r="E74" s="11">
        <v>851</v>
      </c>
      <c r="H74"/>
      <c r="I74"/>
      <c r="J74"/>
      <c r="K74"/>
      <c r="L74"/>
    </row>
    <row r="75" spans="1:12" ht="21.95" customHeight="1" x14ac:dyDescent="0.25">
      <c r="A75" s="11">
        <v>60</v>
      </c>
      <c r="B75" s="11" t="s">
        <v>451</v>
      </c>
      <c r="C75" s="11">
        <v>2368</v>
      </c>
      <c r="D75" s="11">
        <v>1139</v>
      </c>
      <c r="E75" s="11">
        <v>1229</v>
      </c>
      <c r="H75"/>
      <c r="I75"/>
      <c r="J75"/>
      <c r="K75"/>
      <c r="L75"/>
    </row>
    <row r="76" spans="1:12" ht="21.95" customHeight="1" x14ac:dyDescent="0.25">
      <c r="A76" s="11">
        <v>61</v>
      </c>
      <c r="B76" s="11" t="s">
        <v>452</v>
      </c>
      <c r="C76" s="11">
        <v>3054</v>
      </c>
      <c r="D76" s="11">
        <v>1360</v>
      </c>
      <c r="E76" s="11">
        <v>1694</v>
      </c>
      <c r="H76"/>
      <c r="I76"/>
      <c r="J76"/>
      <c r="K76"/>
      <c r="L76"/>
    </row>
    <row r="77" spans="1:12" ht="21.95" customHeight="1" x14ac:dyDescent="0.25">
      <c r="A77" s="11">
        <v>62</v>
      </c>
      <c r="B77" s="11" t="s">
        <v>453</v>
      </c>
      <c r="C77" s="11">
        <v>2185</v>
      </c>
      <c r="D77" s="11">
        <v>954</v>
      </c>
      <c r="E77" s="11">
        <v>1231</v>
      </c>
      <c r="H77"/>
      <c r="I77"/>
      <c r="J77"/>
      <c r="K77"/>
      <c r="L77"/>
    </row>
    <row r="78" spans="1:12" ht="21.95" customHeight="1" x14ac:dyDescent="0.25">
      <c r="A78" s="11">
        <v>63</v>
      </c>
      <c r="B78" s="11" t="s">
        <v>454</v>
      </c>
      <c r="C78" s="11">
        <v>603</v>
      </c>
      <c r="D78" s="11">
        <v>280</v>
      </c>
      <c r="E78" s="11">
        <v>323</v>
      </c>
      <c r="H78"/>
      <c r="I78"/>
      <c r="J78"/>
      <c r="K78"/>
      <c r="L78"/>
    </row>
    <row r="79" spans="1:12" ht="21.95" customHeight="1" x14ac:dyDescent="0.25">
      <c r="A79" s="11">
        <v>64</v>
      </c>
      <c r="B79" s="11" t="s">
        <v>455</v>
      </c>
      <c r="C79" s="11">
        <v>3833</v>
      </c>
      <c r="D79" s="11">
        <v>1791</v>
      </c>
      <c r="E79" s="11">
        <v>2042</v>
      </c>
      <c r="H79"/>
      <c r="I79"/>
      <c r="J79"/>
      <c r="K79"/>
      <c r="L79"/>
    </row>
    <row r="80" spans="1:12" ht="21.95" customHeight="1" x14ac:dyDescent="0.25">
      <c r="A80" s="11">
        <v>65</v>
      </c>
      <c r="B80" s="11" t="s">
        <v>456</v>
      </c>
      <c r="C80" s="11">
        <v>4803</v>
      </c>
      <c r="D80" s="11">
        <v>2364</v>
      </c>
      <c r="E80" s="11">
        <v>2439</v>
      </c>
      <c r="H80"/>
      <c r="I80"/>
      <c r="J80"/>
      <c r="K80"/>
      <c r="L80"/>
    </row>
    <row r="81" spans="1:12" ht="21.95" customHeight="1" x14ac:dyDescent="0.25">
      <c r="A81" s="11">
        <v>66</v>
      </c>
      <c r="B81" s="11" t="s">
        <v>457</v>
      </c>
      <c r="C81" s="11">
        <v>2504</v>
      </c>
      <c r="D81" s="11">
        <v>1245</v>
      </c>
      <c r="E81" s="11">
        <v>1259</v>
      </c>
      <c r="H81"/>
      <c r="I81"/>
      <c r="J81"/>
      <c r="K81"/>
      <c r="L81"/>
    </row>
    <row r="82" spans="1:12" ht="21.95" customHeight="1" x14ac:dyDescent="0.25">
      <c r="A82" s="11">
        <v>67</v>
      </c>
      <c r="B82" s="11" t="s">
        <v>458</v>
      </c>
      <c r="C82" s="11">
        <v>1968</v>
      </c>
      <c r="D82" s="11">
        <v>930</v>
      </c>
      <c r="E82" s="11">
        <v>1038</v>
      </c>
      <c r="H82"/>
      <c r="I82"/>
      <c r="J82"/>
      <c r="K82"/>
      <c r="L82"/>
    </row>
    <row r="83" spans="1:12" ht="21.95" customHeight="1" x14ac:dyDescent="0.25">
      <c r="A83" s="11">
        <v>68</v>
      </c>
      <c r="B83" s="11" t="s">
        <v>459</v>
      </c>
      <c r="C83" s="11">
        <v>6078</v>
      </c>
      <c r="D83" s="11">
        <v>2974</v>
      </c>
      <c r="E83" s="11">
        <v>3104</v>
      </c>
      <c r="H83"/>
      <c r="I83"/>
      <c r="J83"/>
      <c r="K83"/>
      <c r="L83"/>
    </row>
    <row r="84" spans="1:12" ht="21.95" customHeight="1" x14ac:dyDescent="0.25">
      <c r="A84" s="11">
        <v>69</v>
      </c>
      <c r="B84" s="11" t="s">
        <v>460</v>
      </c>
      <c r="C84" s="11">
        <v>3604</v>
      </c>
      <c r="D84" s="11">
        <v>1758</v>
      </c>
      <c r="E84" s="11">
        <v>1846</v>
      </c>
      <c r="H84"/>
      <c r="I84"/>
      <c r="J84"/>
      <c r="K84"/>
      <c r="L84"/>
    </row>
    <row r="85" spans="1:12" ht="21.95" customHeight="1" x14ac:dyDescent="0.25">
      <c r="A85" s="11">
        <v>70</v>
      </c>
      <c r="B85" s="11" t="s">
        <v>39</v>
      </c>
      <c r="C85" s="11">
        <v>1427</v>
      </c>
      <c r="D85" s="11">
        <v>730</v>
      </c>
      <c r="E85" s="11">
        <v>697</v>
      </c>
      <c r="H85"/>
      <c r="I85"/>
      <c r="J85"/>
      <c r="K85"/>
      <c r="L85"/>
    </row>
    <row r="86" spans="1:12" ht="21.95" customHeight="1" x14ac:dyDescent="0.25">
      <c r="A86" s="11">
        <v>71</v>
      </c>
      <c r="B86" s="11" t="s">
        <v>461</v>
      </c>
      <c r="C86" s="11">
        <v>3824</v>
      </c>
      <c r="D86" s="11">
        <v>1894</v>
      </c>
      <c r="E86" s="11">
        <v>1930</v>
      </c>
      <c r="H86"/>
      <c r="I86"/>
      <c r="J86"/>
      <c r="K86"/>
      <c r="L86"/>
    </row>
    <row r="87" spans="1:12" ht="21.95" customHeight="1" x14ac:dyDescent="0.25">
      <c r="A87" s="11">
        <v>72</v>
      </c>
      <c r="B87" s="11" t="s">
        <v>462</v>
      </c>
      <c r="C87" s="11">
        <v>3078</v>
      </c>
      <c r="D87" s="11">
        <v>1538</v>
      </c>
      <c r="E87" s="11">
        <v>1540</v>
      </c>
      <c r="H87"/>
      <c r="I87"/>
      <c r="J87"/>
      <c r="K87"/>
      <c r="L87"/>
    </row>
    <row r="88" spans="1:12" ht="21.95" customHeight="1" x14ac:dyDescent="0.25">
      <c r="A88" s="11">
        <v>73</v>
      </c>
      <c r="B88" s="11" t="s">
        <v>463</v>
      </c>
      <c r="C88" s="11">
        <v>2650</v>
      </c>
      <c r="D88" s="11">
        <v>1202</v>
      </c>
      <c r="E88" s="11">
        <v>1448</v>
      </c>
      <c r="H88"/>
      <c r="I88"/>
      <c r="J88"/>
      <c r="K88"/>
      <c r="L88"/>
    </row>
    <row r="89" spans="1:12" ht="21.95" customHeight="1" x14ac:dyDescent="0.25">
      <c r="A89" s="11">
        <v>74</v>
      </c>
      <c r="B89" s="11" t="s">
        <v>464</v>
      </c>
      <c r="C89" s="11">
        <v>2992</v>
      </c>
      <c r="D89" s="11">
        <v>1500</v>
      </c>
      <c r="E89" s="11">
        <v>1492</v>
      </c>
      <c r="H89"/>
      <c r="I89"/>
      <c r="J89"/>
      <c r="K89"/>
      <c r="L89"/>
    </row>
    <row r="90" spans="1:12" ht="21.95" customHeight="1" x14ac:dyDescent="0.25">
      <c r="A90" s="11">
        <v>75</v>
      </c>
      <c r="B90" s="11" t="s">
        <v>465</v>
      </c>
      <c r="C90" s="11">
        <v>2529</v>
      </c>
      <c r="D90" s="11">
        <v>1209</v>
      </c>
      <c r="E90" s="11">
        <v>1320</v>
      </c>
      <c r="H90"/>
      <c r="I90"/>
      <c r="J90"/>
      <c r="K90"/>
      <c r="L90"/>
    </row>
    <row r="91" spans="1:12" ht="21.95" customHeight="1" x14ac:dyDescent="0.25">
      <c r="A91" s="11">
        <v>76</v>
      </c>
      <c r="B91" s="11" t="s">
        <v>466</v>
      </c>
      <c r="C91" s="11">
        <v>736</v>
      </c>
      <c r="D91" s="11">
        <v>349</v>
      </c>
      <c r="E91" s="11">
        <v>387</v>
      </c>
      <c r="H91"/>
      <c r="I91"/>
      <c r="J91"/>
      <c r="K91"/>
      <c r="L91"/>
    </row>
    <row r="92" spans="1:12" ht="21.95" customHeight="1" x14ac:dyDescent="0.25">
      <c r="A92" s="11">
        <v>77</v>
      </c>
      <c r="B92" s="11" t="s">
        <v>332</v>
      </c>
      <c r="C92" s="11">
        <v>528</v>
      </c>
      <c r="D92" s="11">
        <v>247</v>
      </c>
      <c r="E92" s="11">
        <v>281</v>
      </c>
      <c r="H92"/>
      <c r="I92"/>
      <c r="J92"/>
      <c r="K92"/>
      <c r="L92"/>
    </row>
    <row r="93" spans="1:12" ht="21.95" customHeight="1" x14ac:dyDescent="0.25">
      <c r="A93" s="11">
        <v>78</v>
      </c>
      <c r="B93" s="11" t="s">
        <v>467</v>
      </c>
      <c r="C93" s="11">
        <v>813</v>
      </c>
      <c r="D93" s="11">
        <v>368</v>
      </c>
      <c r="E93" s="11">
        <v>445</v>
      </c>
      <c r="H93"/>
      <c r="I93"/>
      <c r="J93"/>
      <c r="K93"/>
      <c r="L93"/>
    </row>
    <row r="94" spans="1:12" ht="21.95" customHeight="1" x14ac:dyDescent="0.25">
      <c r="A94" s="11">
        <v>79</v>
      </c>
      <c r="B94" s="11" t="s">
        <v>468</v>
      </c>
      <c r="C94" s="11">
        <v>695</v>
      </c>
      <c r="D94" s="11">
        <v>309</v>
      </c>
      <c r="E94" s="11">
        <v>386</v>
      </c>
      <c r="H94"/>
      <c r="I94"/>
      <c r="J94"/>
      <c r="K94"/>
      <c r="L94"/>
    </row>
    <row r="95" spans="1:12" ht="21.95" customHeight="1" x14ac:dyDescent="0.25">
      <c r="A95" s="11">
        <v>80</v>
      </c>
      <c r="B95" s="11" t="s">
        <v>469</v>
      </c>
      <c r="C95" s="11">
        <v>8607</v>
      </c>
      <c r="D95" s="11">
        <v>4128</v>
      </c>
      <c r="E95" s="11">
        <v>4479</v>
      </c>
      <c r="H95"/>
      <c r="I95"/>
      <c r="J95"/>
      <c r="K95"/>
      <c r="L95"/>
    </row>
    <row r="96" spans="1:12" ht="21.95" customHeight="1" x14ac:dyDescent="0.25">
      <c r="A96" s="11">
        <v>81</v>
      </c>
      <c r="B96" s="11" t="s">
        <v>470</v>
      </c>
      <c r="C96" s="11">
        <v>5774</v>
      </c>
      <c r="D96" s="11">
        <v>2791</v>
      </c>
      <c r="E96" s="11">
        <v>2983</v>
      </c>
      <c r="H96"/>
      <c r="I96"/>
      <c r="J96"/>
      <c r="K96"/>
      <c r="L96"/>
    </row>
    <row r="97" spans="1:12" ht="21.95" customHeight="1" x14ac:dyDescent="0.25">
      <c r="A97" s="11">
        <v>82</v>
      </c>
      <c r="B97" s="11" t="s">
        <v>471</v>
      </c>
      <c r="C97" s="11">
        <v>2060</v>
      </c>
      <c r="D97" s="11">
        <v>962</v>
      </c>
      <c r="E97" s="11">
        <v>1098</v>
      </c>
      <c r="H97"/>
      <c r="I97"/>
      <c r="J97"/>
      <c r="K97"/>
      <c r="L97"/>
    </row>
    <row r="98" spans="1:12" ht="21.95" customHeight="1" x14ac:dyDescent="0.25">
      <c r="A98" s="11">
        <v>83</v>
      </c>
      <c r="B98" s="11" t="s">
        <v>472</v>
      </c>
      <c r="C98" s="11">
        <v>4116</v>
      </c>
      <c r="D98" s="11">
        <v>2014</v>
      </c>
      <c r="E98" s="11">
        <v>2102</v>
      </c>
      <c r="H98"/>
      <c r="I98"/>
      <c r="J98"/>
      <c r="K98"/>
      <c r="L98"/>
    </row>
    <row r="99" spans="1:12" ht="21.95" customHeight="1" x14ac:dyDescent="0.25">
      <c r="A99" s="11">
        <v>84</v>
      </c>
      <c r="B99" s="11" t="s">
        <v>473</v>
      </c>
      <c r="C99" s="11">
        <v>1240</v>
      </c>
      <c r="D99" s="11">
        <v>552</v>
      </c>
      <c r="E99" s="11">
        <v>688</v>
      </c>
      <c r="H99"/>
      <c r="I99"/>
      <c r="J99"/>
    </row>
    <row r="100" spans="1:12" ht="21.95" customHeight="1" x14ac:dyDescent="0.25">
      <c r="A100" s="11">
        <v>85</v>
      </c>
      <c r="B100" s="11" t="s">
        <v>234</v>
      </c>
      <c r="C100" s="11">
        <v>6131</v>
      </c>
      <c r="D100" s="11">
        <v>2866</v>
      </c>
      <c r="E100" s="11">
        <v>3265</v>
      </c>
      <c r="H100"/>
      <c r="I100"/>
      <c r="J100"/>
    </row>
    <row r="101" spans="1:12" ht="21.95" customHeight="1" x14ac:dyDescent="0.25">
      <c r="A101" s="12">
        <v>86</v>
      </c>
      <c r="B101" s="12" t="s">
        <v>474</v>
      </c>
      <c r="C101" s="12">
        <v>1847</v>
      </c>
      <c r="D101" s="12">
        <v>844</v>
      </c>
      <c r="E101" s="12">
        <v>1003</v>
      </c>
      <c r="H101"/>
      <c r="I101"/>
      <c r="J101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hwebo District,  Kambalu Township"/>
  </hyperlinks>
  <pageMargins left="0.75" right="0.5" top="0.5" bottom="0.2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sqref="A1:E1"/>
    </sheetView>
  </sheetViews>
  <sheetFormatPr defaultRowHeight="24.75" customHeight="1" x14ac:dyDescent="0.25"/>
  <cols>
    <col min="1" max="1" width="4.7109375" style="3" customWidth="1"/>
    <col min="2" max="2" width="31.28515625" style="3" customWidth="1"/>
    <col min="3" max="5" width="15.7109375" style="3" customWidth="1"/>
    <col min="6" max="6" width="9.140625" style="3"/>
    <col min="7" max="9" width="9.140625" style="6"/>
    <col min="10" max="16384" width="9.140625" style="3"/>
  </cols>
  <sheetData>
    <row r="1" spans="1:10" ht="24.75" customHeight="1" x14ac:dyDescent="0.25">
      <c r="A1" s="67" t="s">
        <v>1733</v>
      </c>
      <c r="B1" s="67"/>
      <c r="C1" s="67"/>
      <c r="D1" s="67"/>
      <c r="E1" s="67"/>
    </row>
    <row r="2" spans="1:10" ht="24.75" customHeight="1" x14ac:dyDescent="0.4">
      <c r="A2" s="2"/>
      <c r="B2" s="7"/>
      <c r="C2" s="7"/>
      <c r="D2" s="7"/>
      <c r="E2" s="56" t="s">
        <v>1722</v>
      </c>
    </row>
    <row r="3" spans="1:10" ht="24.75" customHeight="1" x14ac:dyDescent="0.4">
      <c r="A3" s="2"/>
      <c r="B3" s="7"/>
      <c r="C3" s="7"/>
      <c r="D3" s="7"/>
      <c r="E3" s="56"/>
    </row>
    <row r="4" spans="1:10" ht="9.75" customHeight="1" x14ac:dyDescent="0.4">
      <c r="A4" s="2"/>
      <c r="B4" s="7"/>
      <c r="C4" s="7"/>
      <c r="D4" s="7"/>
      <c r="E4" s="7"/>
    </row>
    <row r="5" spans="1:10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10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10" ht="24.75" customHeight="1" x14ac:dyDescent="0.25">
      <c r="A7" s="9"/>
      <c r="B7" s="9" t="s">
        <v>1772</v>
      </c>
      <c r="C7" s="22">
        <f>C9+C14</f>
        <v>104087</v>
      </c>
      <c r="D7" s="22">
        <f t="shared" ref="D7:E7" si="0">D9+D14</f>
        <v>51125</v>
      </c>
      <c r="E7" s="22">
        <f t="shared" si="0"/>
        <v>52962</v>
      </c>
      <c r="G7" s="31"/>
      <c r="H7" s="31"/>
      <c r="I7" s="31"/>
      <c r="J7" s="31"/>
    </row>
    <row r="8" spans="1:10" ht="9.75" customHeight="1" x14ac:dyDescent="0.25">
      <c r="A8" s="10"/>
      <c r="B8" s="23"/>
      <c r="C8" s="23"/>
      <c r="D8" s="23"/>
      <c r="E8" s="23"/>
      <c r="H8" s="31"/>
      <c r="I8" s="31"/>
      <c r="J8" s="31"/>
    </row>
    <row r="9" spans="1:10" ht="24.75" customHeight="1" x14ac:dyDescent="0.25">
      <c r="A9" s="10"/>
      <c r="B9" s="10" t="s">
        <v>1725</v>
      </c>
      <c r="C9" s="24">
        <f>SUM(C10:C13)</f>
        <v>12148</v>
      </c>
      <c r="D9" s="24">
        <f t="shared" ref="D9:E9" si="1">SUM(D10:D13)</f>
        <v>5621</v>
      </c>
      <c r="E9" s="24">
        <f t="shared" si="1"/>
        <v>6527</v>
      </c>
      <c r="H9" s="31"/>
      <c r="I9" s="31"/>
      <c r="J9" s="31"/>
    </row>
    <row r="10" spans="1:10" ht="24.75" customHeight="1" x14ac:dyDescent="0.25">
      <c r="A10" s="11">
        <v>1</v>
      </c>
      <c r="B10" s="23" t="s">
        <v>475</v>
      </c>
      <c r="C10" s="23">
        <v>3867</v>
      </c>
      <c r="D10" s="23">
        <v>1784</v>
      </c>
      <c r="E10" s="23">
        <v>2083</v>
      </c>
      <c r="H10" s="31"/>
      <c r="I10" s="31"/>
      <c r="J10" s="31"/>
    </row>
    <row r="11" spans="1:10" ht="24.75" customHeight="1" x14ac:dyDescent="0.25">
      <c r="A11" s="11">
        <v>2</v>
      </c>
      <c r="B11" s="11" t="s">
        <v>476</v>
      </c>
      <c r="C11" s="23">
        <v>3752</v>
      </c>
      <c r="D11" s="23">
        <v>1767</v>
      </c>
      <c r="E11" s="23">
        <v>1985</v>
      </c>
      <c r="H11" s="31"/>
      <c r="I11" s="31"/>
      <c r="J11" s="31"/>
    </row>
    <row r="12" spans="1:10" ht="24.75" customHeight="1" x14ac:dyDescent="0.25">
      <c r="A12" s="11">
        <v>3</v>
      </c>
      <c r="B12" s="11" t="s">
        <v>477</v>
      </c>
      <c r="C12" s="11">
        <v>344</v>
      </c>
      <c r="D12" s="11">
        <v>157</v>
      </c>
      <c r="E12" s="11">
        <v>187</v>
      </c>
      <c r="H12" s="31"/>
      <c r="I12" s="31"/>
      <c r="J12" s="31"/>
    </row>
    <row r="13" spans="1:10" ht="24.75" customHeight="1" x14ac:dyDescent="0.25">
      <c r="A13" s="11">
        <v>4</v>
      </c>
      <c r="B13" s="11" t="s">
        <v>478</v>
      </c>
      <c r="C13" s="11">
        <v>4185</v>
      </c>
      <c r="D13" s="11">
        <v>1913</v>
      </c>
      <c r="E13" s="11">
        <v>2272</v>
      </c>
      <c r="H13" s="31"/>
      <c r="I13" s="31"/>
      <c r="J13" s="31"/>
    </row>
    <row r="14" spans="1:10" ht="24.75" customHeight="1" x14ac:dyDescent="0.25">
      <c r="A14" s="11"/>
      <c r="B14" s="10" t="s">
        <v>1773</v>
      </c>
      <c r="C14" s="24">
        <f>SUM(C15:C48)</f>
        <v>91939</v>
      </c>
      <c r="D14" s="24">
        <f t="shared" ref="D14:E14" si="2">SUM(D15:D48)</f>
        <v>45504</v>
      </c>
      <c r="E14" s="24">
        <f t="shared" si="2"/>
        <v>46435</v>
      </c>
      <c r="H14" s="31"/>
      <c r="I14" s="31"/>
      <c r="J14" s="31"/>
    </row>
    <row r="15" spans="1:10" ht="24.75" customHeight="1" x14ac:dyDescent="0.25">
      <c r="A15" s="11">
        <v>1</v>
      </c>
      <c r="B15" s="11" t="s">
        <v>479</v>
      </c>
      <c r="C15" s="11">
        <v>2430</v>
      </c>
      <c r="D15" s="11">
        <v>1135</v>
      </c>
      <c r="E15" s="11">
        <v>1295</v>
      </c>
      <c r="H15" s="31"/>
      <c r="I15" s="31"/>
      <c r="J15" s="31"/>
    </row>
    <row r="16" spans="1:10" ht="24.75" customHeight="1" x14ac:dyDescent="0.25">
      <c r="A16" s="11">
        <v>2</v>
      </c>
      <c r="B16" s="11" t="s">
        <v>450</v>
      </c>
      <c r="C16" s="11">
        <v>1989</v>
      </c>
      <c r="D16" s="11">
        <v>938</v>
      </c>
      <c r="E16" s="11">
        <v>1051</v>
      </c>
      <c r="H16" s="31"/>
      <c r="I16" s="31"/>
      <c r="J16" s="31"/>
    </row>
    <row r="17" spans="1:10" ht="24.75" customHeight="1" x14ac:dyDescent="0.25">
      <c r="A17" s="11">
        <v>3</v>
      </c>
      <c r="B17" s="11" t="s">
        <v>480</v>
      </c>
      <c r="C17" s="11">
        <v>5835</v>
      </c>
      <c r="D17" s="11">
        <v>3086</v>
      </c>
      <c r="E17" s="11">
        <v>2749</v>
      </c>
      <c r="H17" s="31"/>
      <c r="I17" s="31"/>
      <c r="J17" s="31"/>
    </row>
    <row r="18" spans="1:10" ht="24.75" customHeight="1" x14ac:dyDescent="0.25">
      <c r="A18" s="11">
        <v>4</v>
      </c>
      <c r="B18" s="11" t="s">
        <v>254</v>
      </c>
      <c r="C18" s="23">
        <v>2541</v>
      </c>
      <c r="D18" s="23">
        <v>1102</v>
      </c>
      <c r="E18" s="23">
        <v>1439</v>
      </c>
      <c r="H18" s="31"/>
      <c r="I18" s="31"/>
      <c r="J18" s="31"/>
    </row>
    <row r="19" spans="1:10" ht="24.75" customHeight="1" x14ac:dyDescent="0.25">
      <c r="A19" s="11">
        <v>5</v>
      </c>
      <c r="B19" s="11" t="s">
        <v>481</v>
      </c>
      <c r="C19" s="11">
        <v>4899</v>
      </c>
      <c r="D19" s="11">
        <v>2270</v>
      </c>
      <c r="E19" s="11">
        <v>2629</v>
      </c>
      <c r="H19" s="31"/>
      <c r="I19" s="31"/>
      <c r="J19" s="31"/>
    </row>
    <row r="20" spans="1:10" ht="24.75" customHeight="1" x14ac:dyDescent="0.25">
      <c r="A20" s="11">
        <v>6</v>
      </c>
      <c r="B20" s="11" t="s">
        <v>482</v>
      </c>
      <c r="C20" s="11">
        <v>1779</v>
      </c>
      <c r="D20" s="11">
        <v>871</v>
      </c>
      <c r="E20" s="11">
        <v>908</v>
      </c>
      <c r="H20" s="31"/>
      <c r="I20" s="31"/>
      <c r="J20" s="31"/>
    </row>
    <row r="21" spans="1:10" ht="24.75" customHeight="1" x14ac:dyDescent="0.25">
      <c r="A21" s="11">
        <v>7</v>
      </c>
      <c r="B21" s="11" t="s">
        <v>483</v>
      </c>
      <c r="C21" s="11">
        <v>1652</v>
      </c>
      <c r="D21" s="11">
        <v>791</v>
      </c>
      <c r="E21" s="11">
        <v>861</v>
      </c>
      <c r="H21" s="31"/>
      <c r="I21" s="31"/>
      <c r="J21" s="31"/>
    </row>
    <row r="22" spans="1:10" ht="24.75" customHeight="1" x14ac:dyDescent="0.25">
      <c r="A22" s="11">
        <v>8</v>
      </c>
      <c r="B22" s="11" t="s">
        <v>484</v>
      </c>
      <c r="C22" s="11">
        <v>1935</v>
      </c>
      <c r="D22" s="11">
        <v>895</v>
      </c>
      <c r="E22" s="11">
        <v>1040</v>
      </c>
      <c r="H22" s="31"/>
      <c r="I22" s="31"/>
      <c r="J22" s="31"/>
    </row>
    <row r="23" spans="1:10" ht="24.75" customHeight="1" x14ac:dyDescent="0.25">
      <c r="A23" s="11">
        <v>9</v>
      </c>
      <c r="B23" s="11" t="s">
        <v>485</v>
      </c>
      <c r="C23" s="11">
        <v>2326</v>
      </c>
      <c r="D23" s="11">
        <v>1064</v>
      </c>
      <c r="E23" s="11">
        <v>1262</v>
      </c>
      <c r="H23" s="31"/>
      <c r="I23" s="31"/>
      <c r="J23" s="31"/>
    </row>
    <row r="24" spans="1:10" ht="24.75" customHeight="1" x14ac:dyDescent="0.25">
      <c r="A24" s="11">
        <v>10</v>
      </c>
      <c r="B24" s="11" t="s">
        <v>486</v>
      </c>
      <c r="C24" s="11">
        <v>2747</v>
      </c>
      <c r="D24" s="11">
        <v>1289</v>
      </c>
      <c r="E24" s="11">
        <v>1458</v>
      </c>
      <c r="H24" s="31"/>
      <c r="I24" s="31"/>
      <c r="J24" s="31"/>
    </row>
    <row r="25" spans="1:10" ht="24.75" customHeight="1" x14ac:dyDescent="0.25">
      <c r="A25" s="11">
        <v>11</v>
      </c>
      <c r="B25" s="11" t="s">
        <v>487</v>
      </c>
      <c r="C25" s="11">
        <v>2904</v>
      </c>
      <c r="D25" s="11">
        <v>1348</v>
      </c>
      <c r="E25" s="11">
        <v>1556</v>
      </c>
      <c r="H25" s="31"/>
      <c r="I25" s="31"/>
      <c r="J25" s="31"/>
    </row>
    <row r="26" spans="1:10" ht="24.75" customHeight="1" x14ac:dyDescent="0.25">
      <c r="A26" s="11">
        <v>12</v>
      </c>
      <c r="B26" s="11" t="s">
        <v>488</v>
      </c>
      <c r="C26" s="11">
        <v>1856</v>
      </c>
      <c r="D26" s="11">
        <v>860</v>
      </c>
      <c r="E26" s="11">
        <v>996</v>
      </c>
      <c r="H26" s="31"/>
      <c r="I26" s="31"/>
      <c r="J26" s="31"/>
    </row>
    <row r="27" spans="1:10" ht="24.75" customHeight="1" x14ac:dyDescent="0.25">
      <c r="A27" s="11">
        <v>13</v>
      </c>
      <c r="B27" s="11" t="s">
        <v>489</v>
      </c>
      <c r="C27" s="11">
        <v>3928</v>
      </c>
      <c r="D27" s="11">
        <v>2202</v>
      </c>
      <c r="E27" s="11">
        <v>1726</v>
      </c>
      <c r="H27" s="31"/>
      <c r="I27" s="31"/>
      <c r="J27" s="31"/>
    </row>
    <row r="28" spans="1:10" ht="24.75" customHeight="1" x14ac:dyDescent="0.25">
      <c r="A28" s="11">
        <v>14</v>
      </c>
      <c r="B28" s="11" t="s">
        <v>490</v>
      </c>
      <c r="C28" s="11">
        <v>6907</v>
      </c>
      <c r="D28" s="11">
        <v>3747</v>
      </c>
      <c r="E28" s="11">
        <v>3160</v>
      </c>
      <c r="H28" s="31"/>
      <c r="I28" s="31"/>
      <c r="J28" s="31"/>
    </row>
    <row r="29" spans="1:10" ht="24.75" customHeight="1" x14ac:dyDescent="0.25">
      <c r="A29" s="11">
        <v>15</v>
      </c>
      <c r="B29" s="11" t="s">
        <v>491</v>
      </c>
      <c r="C29" s="11">
        <v>1183</v>
      </c>
      <c r="D29" s="11">
        <v>553</v>
      </c>
      <c r="E29" s="11">
        <v>630</v>
      </c>
      <c r="H29" s="31"/>
      <c r="I29" s="31"/>
      <c r="J29" s="31"/>
    </row>
    <row r="30" spans="1:10" ht="24.75" customHeight="1" x14ac:dyDescent="0.25">
      <c r="A30" s="11">
        <v>16</v>
      </c>
      <c r="B30" s="11" t="s">
        <v>492</v>
      </c>
      <c r="C30" s="11">
        <v>2162</v>
      </c>
      <c r="D30" s="11">
        <v>1066</v>
      </c>
      <c r="E30" s="11">
        <v>1096</v>
      </c>
      <c r="H30" s="31"/>
      <c r="I30" s="31"/>
      <c r="J30" s="31"/>
    </row>
    <row r="31" spans="1:10" ht="24.75" customHeight="1" x14ac:dyDescent="0.25">
      <c r="A31" s="11">
        <v>17</v>
      </c>
      <c r="B31" s="11" t="s">
        <v>493</v>
      </c>
      <c r="C31" s="11">
        <v>1312</v>
      </c>
      <c r="D31" s="11">
        <v>615</v>
      </c>
      <c r="E31" s="11">
        <v>697</v>
      </c>
      <c r="H31" s="31"/>
      <c r="I31" s="31"/>
      <c r="J31" s="31"/>
    </row>
    <row r="32" spans="1:10" ht="24.75" customHeight="1" x14ac:dyDescent="0.25">
      <c r="A32" s="11">
        <v>18</v>
      </c>
      <c r="B32" s="11" t="s">
        <v>494</v>
      </c>
      <c r="C32" s="11">
        <v>2430</v>
      </c>
      <c r="D32" s="11">
        <v>1162</v>
      </c>
      <c r="E32" s="11">
        <v>1268</v>
      </c>
      <c r="H32" s="31"/>
      <c r="I32" s="31"/>
      <c r="J32" s="31"/>
    </row>
    <row r="33" spans="1:10" ht="24.75" customHeight="1" x14ac:dyDescent="0.25">
      <c r="A33" s="11">
        <v>19</v>
      </c>
      <c r="B33" s="11" t="s">
        <v>441</v>
      </c>
      <c r="C33" s="11">
        <v>1397</v>
      </c>
      <c r="D33" s="11">
        <v>660</v>
      </c>
      <c r="E33" s="11">
        <v>737</v>
      </c>
      <c r="H33" s="31"/>
      <c r="I33" s="31"/>
      <c r="J33" s="31"/>
    </row>
    <row r="34" spans="1:10" ht="24.75" customHeight="1" x14ac:dyDescent="0.25">
      <c r="A34" s="11">
        <v>20</v>
      </c>
      <c r="B34" s="11" t="s">
        <v>495</v>
      </c>
      <c r="C34" s="11">
        <v>2014</v>
      </c>
      <c r="D34" s="11">
        <v>976</v>
      </c>
      <c r="E34" s="11">
        <v>1038</v>
      </c>
      <c r="H34" s="31"/>
      <c r="I34" s="31"/>
      <c r="J34" s="31"/>
    </row>
    <row r="35" spans="1:10" ht="24.75" customHeight="1" x14ac:dyDescent="0.25">
      <c r="A35" s="11">
        <v>21</v>
      </c>
      <c r="B35" s="11" t="s">
        <v>496</v>
      </c>
      <c r="C35" s="11">
        <v>2493</v>
      </c>
      <c r="D35" s="11">
        <v>1296</v>
      </c>
      <c r="E35" s="11">
        <v>1197</v>
      </c>
      <c r="H35" s="31"/>
      <c r="I35" s="31"/>
      <c r="J35" s="31"/>
    </row>
    <row r="36" spans="1:10" ht="24.75" customHeight="1" x14ac:dyDescent="0.25">
      <c r="A36" s="11">
        <v>22</v>
      </c>
      <c r="B36" s="11" t="s">
        <v>497</v>
      </c>
      <c r="C36" s="11">
        <v>4043</v>
      </c>
      <c r="D36" s="11">
        <v>1948</v>
      </c>
      <c r="E36" s="11">
        <v>2095</v>
      </c>
      <c r="H36" s="31"/>
      <c r="I36" s="31"/>
      <c r="J36" s="31"/>
    </row>
    <row r="37" spans="1:10" ht="24.75" customHeight="1" x14ac:dyDescent="0.25">
      <c r="A37" s="11">
        <v>23</v>
      </c>
      <c r="B37" s="11" t="s">
        <v>498</v>
      </c>
      <c r="C37" s="11">
        <v>1222</v>
      </c>
      <c r="D37" s="11">
        <v>598</v>
      </c>
      <c r="E37" s="11">
        <v>624</v>
      </c>
      <c r="H37" s="31"/>
      <c r="I37" s="31"/>
      <c r="J37" s="31"/>
    </row>
    <row r="38" spans="1:10" ht="24.75" customHeight="1" x14ac:dyDescent="0.25">
      <c r="A38" s="11">
        <v>24</v>
      </c>
      <c r="B38" s="11" t="s">
        <v>499</v>
      </c>
      <c r="C38" s="11">
        <v>3294</v>
      </c>
      <c r="D38" s="11">
        <v>1584</v>
      </c>
      <c r="E38" s="11">
        <v>1710</v>
      </c>
      <c r="H38" s="31"/>
      <c r="I38" s="31"/>
      <c r="J38" s="31"/>
    </row>
    <row r="39" spans="1:10" ht="24.75" customHeight="1" x14ac:dyDescent="0.25">
      <c r="A39" s="11">
        <v>25</v>
      </c>
      <c r="B39" s="11" t="s">
        <v>500</v>
      </c>
      <c r="C39" s="11">
        <v>2272</v>
      </c>
      <c r="D39" s="11">
        <v>1129</v>
      </c>
      <c r="E39" s="11">
        <v>1143</v>
      </c>
      <c r="H39" s="31"/>
      <c r="I39" s="31"/>
      <c r="J39" s="31"/>
    </row>
    <row r="40" spans="1:10" ht="24.75" customHeight="1" x14ac:dyDescent="0.25">
      <c r="A40" s="11">
        <v>26</v>
      </c>
      <c r="B40" s="11" t="s">
        <v>501</v>
      </c>
      <c r="C40" s="11">
        <v>3901</v>
      </c>
      <c r="D40" s="11">
        <v>2181</v>
      </c>
      <c r="E40" s="11">
        <v>1720</v>
      </c>
      <c r="H40" s="31"/>
      <c r="I40" s="31"/>
      <c r="J40" s="31"/>
    </row>
    <row r="41" spans="1:10" ht="24.75" customHeight="1" x14ac:dyDescent="0.25">
      <c r="A41" s="11">
        <v>27</v>
      </c>
      <c r="B41" s="11" t="s">
        <v>502</v>
      </c>
      <c r="C41" s="11">
        <v>2863</v>
      </c>
      <c r="D41" s="11">
        <v>1433</v>
      </c>
      <c r="E41" s="11">
        <v>1430</v>
      </c>
      <c r="H41" s="31"/>
      <c r="I41" s="31"/>
      <c r="J41" s="31"/>
    </row>
    <row r="42" spans="1:10" ht="24.75" customHeight="1" x14ac:dyDescent="0.25">
      <c r="A42" s="11">
        <v>28</v>
      </c>
      <c r="B42" s="11" t="s">
        <v>503</v>
      </c>
      <c r="C42" s="11">
        <v>1337</v>
      </c>
      <c r="D42" s="11">
        <v>653</v>
      </c>
      <c r="E42" s="11">
        <v>684</v>
      </c>
      <c r="H42" s="31"/>
      <c r="I42" s="31"/>
      <c r="J42" s="31"/>
    </row>
    <row r="43" spans="1:10" ht="24.75" customHeight="1" x14ac:dyDescent="0.25">
      <c r="A43" s="11">
        <v>29</v>
      </c>
      <c r="B43" s="11" t="s">
        <v>472</v>
      </c>
      <c r="C43" s="11">
        <v>6507</v>
      </c>
      <c r="D43" s="11">
        <v>3225</v>
      </c>
      <c r="E43" s="11">
        <v>3282</v>
      </c>
      <c r="H43" s="31"/>
      <c r="I43" s="31"/>
      <c r="J43" s="31"/>
    </row>
    <row r="44" spans="1:10" ht="24.75" customHeight="1" x14ac:dyDescent="0.25">
      <c r="A44" s="11">
        <v>30</v>
      </c>
      <c r="B44" s="11" t="s">
        <v>504</v>
      </c>
      <c r="C44" s="11">
        <v>1687</v>
      </c>
      <c r="D44" s="11">
        <v>822</v>
      </c>
      <c r="E44" s="11">
        <v>865</v>
      </c>
      <c r="H44" s="31"/>
      <c r="I44" s="31"/>
      <c r="J44" s="31"/>
    </row>
    <row r="45" spans="1:10" ht="24.75" customHeight="1" x14ac:dyDescent="0.25">
      <c r="A45" s="11">
        <v>31</v>
      </c>
      <c r="B45" s="11" t="s">
        <v>505</v>
      </c>
      <c r="C45" s="11">
        <v>1310</v>
      </c>
      <c r="D45" s="11">
        <v>659</v>
      </c>
      <c r="E45" s="11">
        <v>651</v>
      </c>
      <c r="H45" s="31"/>
      <c r="I45" s="31"/>
      <c r="J45" s="31"/>
    </row>
    <row r="46" spans="1:10" ht="24.75" customHeight="1" x14ac:dyDescent="0.25">
      <c r="A46" s="11">
        <v>32</v>
      </c>
      <c r="B46" s="11" t="s">
        <v>506</v>
      </c>
      <c r="C46" s="11">
        <v>2823</v>
      </c>
      <c r="D46" s="11">
        <v>1347</v>
      </c>
      <c r="E46" s="11">
        <v>1476</v>
      </c>
      <c r="H46" s="31"/>
      <c r="I46" s="31"/>
      <c r="J46" s="31"/>
    </row>
    <row r="47" spans="1:10" ht="24.75" customHeight="1" x14ac:dyDescent="0.25">
      <c r="A47" s="11">
        <v>33</v>
      </c>
      <c r="B47" s="11" t="s">
        <v>507</v>
      </c>
      <c r="C47" s="11">
        <v>2503</v>
      </c>
      <c r="D47" s="11">
        <v>1239</v>
      </c>
      <c r="E47" s="11">
        <v>1264</v>
      </c>
      <c r="H47" s="31"/>
      <c r="I47" s="31"/>
      <c r="J47" s="31"/>
    </row>
    <row r="48" spans="1:10" ht="24.75" customHeight="1" x14ac:dyDescent="0.25">
      <c r="A48" s="11">
        <v>34</v>
      </c>
      <c r="B48" s="12" t="s">
        <v>508</v>
      </c>
      <c r="C48" s="12">
        <v>1458</v>
      </c>
      <c r="D48" s="12">
        <v>760</v>
      </c>
      <c r="E48" s="12">
        <v>698</v>
      </c>
      <c r="H48" s="31"/>
      <c r="I48" s="31"/>
      <c r="J48" s="31"/>
    </row>
    <row r="49" spans="1:5" ht="24.75" customHeight="1" x14ac:dyDescent="0.25">
      <c r="A49" s="18"/>
      <c r="B49" s="18"/>
      <c r="C49" s="18"/>
      <c r="D49" s="18"/>
      <c r="E49" s="18"/>
    </row>
    <row r="50" spans="1:5" ht="24.75" customHeight="1" x14ac:dyDescent="0.25">
      <c r="A50" s="20"/>
      <c r="B50" s="20"/>
      <c r="C50" s="20"/>
      <c r="D50" s="20"/>
      <c r="E50" s="20"/>
    </row>
    <row r="51" spans="1:5" ht="24.75" customHeight="1" x14ac:dyDescent="0.25">
      <c r="A51" s="20"/>
      <c r="B51" s="20"/>
      <c r="C51" s="20"/>
      <c r="D51" s="20"/>
      <c r="E51" s="20"/>
    </row>
    <row r="52" spans="1:5" ht="24.75" customHeight="1" x14ac:dyDescent="0.25">
      <c r="A52" s="20"/>
      <c r="B52" s="20"/>
      <c r="C52" s="20"/>
      <c r="D52" s="20"/>
      <c r="E52" s="20"/>
    </row>
    <row r="53" spans="1:5" ht="24.75" customHeight="1" x14ac:dyDescent="0.25">
      <c r="A53" s="20"/>
      <c r="B53" s="20"/>
      <c r="C53" s="20"/>
      <c r="D53" s="20"/>
      <c r="E53" s="20"/>
    </row>
    <row r="54" spans="1:5" ht="24.75" customHeight="1" x14ac:dyDescent="0.25">
      <c r="A54" s="20"/>
      <c r="B54" s="20"/>
      <c r="C54" s="20"/>
      <c r="D54" s="20"/>
      <c r="E54" s="20"/>
    </row>
    <row r="55" spans="1:5" ht="24.75" customHeight="1" x14ac:dyDescent="0.25">
      <c r="A55" s="20"/>
      <c r="B55" s="20"/>
      <c r="C55" s="20"/>
      <c r="D55" s="20"/>
      <c r="E55" s="20"/>
    </row>
    <row r="56" spans="1:5" ht="24.75" customHeight="1" x14ac:dyDescent="0.25">
      <c r="A56" s="20"/>
      <c r="B56" s="20"/>
      <c r="C56" s="20"/>
      <c r="D56" s="20"/>
      <c r="E56" s="20"/>
    </row>
    <row r="57" spans="1:5" ht="24.75" customHeight="1" x14ac:dyDescent="0.25">
      <c r="A57" s="20"/>
      <c r="B57" s="20"/>
      <c r="C57" s="20"/>
      <c r="D57" s="20"/>
      <c r="E57" s="20"/>
    </row>
    <row r="58" spans="1:5" ht="24.75" customHeight="1" x14ac:dyDescent="0.25">
      <c r="A58" s="20"/>
      <c r="B58" s="20"/>
      <c r="C58" s="20"/>
      <c r="D58" s="20"/>
      <c r="E58" s="20"/>
    </row>
    <row r="59" spans="1:5" ht="24.75" customHeight="1" x14ac:dyDescent="0.25">
      <c r="A59" s="20"/>
      <c r="B59" s="20"/>
      <c r="C59" s="20"/>
      <c r="D59" s="20"/>
      <c r="E59" s="20"/>
    </row>
    <row r="60" spans="1:5" ht="24.75" customHeight="1" x14ac:dyDescent="0.25">
      <c r="A60" s="20"/>
      <c r="B60" s="20"/>
      <c r="C60" s="20"/>
      <c r="D60" s="20"/>
      <c r="E60" s="20"/>
    </row>
    <row r="61" spans="1:5" ht="24.75" customHeight="1" x14ac:dyDescent="0.25">
      <c r="A61" s="20"/>
      <c r="B61" s="20"/>
      <c r="C61" s="20"/>
      <c r="D61" s="20"/>
      <c r="E61" s="20"/>
    </row>
    <row r="62" spans="1:5" ht="24.75" customHeight="1" x14ac:dyDescent="0.25">
      <c r="A62" s="20"/>
      <c r="B62" s="20"/>
      <c r="C62" s="20"/>
      <c r="D62" s="20"/>
      <c r="E62" s="20"/>
    </row>
    <row r="63" spans="1:5" ht="24.75" customHeight="1" x14ac:dyDescent="0.25">
      <c r="A63" s="20"/>
      <c r="B63" s="20"/>
      <c r="C63" s="20"/>
      <c r="D63" s="20"/>
      <c r="E63" s="20"/>
    </row>
    <row r="64" spans="1:5" ht="24.75" customHeight="1" x14ac:dyDescent="0.25">
      <c r="A64" s="20"/>
      <c r="B64" s="20"/>
      <c r="C64" s="20"/>
      <c r="D64" s="20"/>
      <c r="E64" s="20"/>
    </row>
    <row r="65" spans="1:5" ht="24.75" customHeight="1" x14ac:dyDescent="0.25">
      <c r="A65" s="20"/>
      <c r="B65" s="20"/>
      <c r="C65" s="20"/>
      <c r="D65" s="20"/>
      <c r="E65" s="20"/>
    </row>
    <row r="66" spans="1:5" ht="24.75" customHeight="1" x14ac:dyDescent="0.25">
      <c r="A66" s="20"/>
      <c r="B66" s="20"/>
      <c r="C66" s="20"/>
      <c r="D66" s="20"/>
      <c r="E66" s="20"/>
    </row>
    <row r="67" spans="1:5" ht="24.75" customHeight="1" x14ac:dyDescent="0.25">
      <c r="A67" s="20"/>
      <c r="B67" s="20"/>
      <c r="C67" s="20"/>
      <c r="D67" s="20"/>
      <c r="E67" s="20"/>
    </row>
    <row r="68" spans="1:5" ht="24.75" customHeight="1" x14ac:dyDescent="0.25">
      <c r="A68" s="20"/>
      <c r="B68" s="20"/>
      <c r="C68" s="20"/>
      <c r="D68" s="20"/>
      <c r="E68" s="20"/>
    </row>
    <row r="69" spans="1:5" ht="24.75" customHeight="1" x14ac:dyDescent="0.25">
      <c r="A69" s="20"/>
      <c r="B69" s="20"/>
      <c r="C69" s="20"/>
      <c r="D69" s="20"/>
      <c r="E69" s="20"/>
    </row>
    <row r="70" spans="1:5" ht="24.75" customHeight="1" x14ac:dyDescent="0.25">
      <c r="A70" s="20"/>
      <c r="B70" s="20"/>
      <c r="C70" s="20"/>
      <c r="D70" s="20"/>
      <c r="E70" s="20"/>
    </row>
    <row r="71" spans="1:5" ht="24.75" customHeight="1" x14ac:dyDescent="0.25">
      <c r="A71" s="20"/>
      <c r="B71" s="20"/>
      <c r="C71" s="20"/>
      <c r="D71" s="20"/>
      <c r="E71" s="20"/>
    </row>
    <row r="72" spans="1:5" ht="24.75" customHeight="1" x14ac:dyDescent="0.25">
      <c r="A72" s="20"/>
      <c r="B72" s="20"/>
      <c r="C72" s="20"/>
      <c r="D72" s="20"/>
      <c r="E72" s="20"/>
    </row>
    <row r="73" spans="1:5" ht="24.75" customHeight="1" x14ac:dyDescent="0.25">
      <c r="A73" s="20"/>
      <c r="B73" s="20"/>
      <c r="C73" s="20"/>
      <c r="D73" s="20"/>
      <c r="E73" s="20"/>
    </row>
    <row r="74" spans="1:5" ht="24.75" customHeight="1" x14ac:dyDescent="0.25">
      <c r="A74" s="20"/>
      <c r="B74" s="20"/>
      <c r="C74" s="20"/>
      <c r="D74" s="20"/>
      <c r="E74" s="20"/>
    </row>
    <row r="75" spans="1:5" ht="24.75" customHeight="1" x14ac:dyDescent="0.25">
      <c r="A75" s="20"/>
      <c r="B75" s="20"/>
      <c r="C75" s="20"/>
      <c r="D75" s="20"/>
      <c r="E75" s="20"/>
    </row>
    <row r="76" spans="1:5" ht="24.75" customHeight="1" x14ac:dyDescent="0.25">
      <c r="A76" s="20"/>
      <c r="B76" s="20"/>
      <c r="C76" s="20"/>
      <c r="D76" s="20"/>
      <c r="E76" s="20"/>
    </row>
    <row r="77" spans="1:5" ht="24.75" customHeight="1" x14ac:dyDescent="0.25">
      <c r="A77" s="20"/>
      <c r="B77" s="20"/>
      <c r="C77" s="20"/>
      <c r="D77" s="20"/>
      <c r="E77" s="20"/>
    </row>
    <row r="78" spans="1:5" ht="24.75" customHeight="1" x14ac:dyDescent="0.25">
      <c r="A78" s="20"/>
      <c r="B78" s="20"/>
      <c r="C78" s="20"/>
      <c r="D78" s="20"/>
      <c r="E78" s="20"/>
    </row>
    <row r="79" spans="1:5" ht="24.75" customHeight="1" x14ac:dyDescent="0.25">
      <c r="A79" s="20"/>
      <c r="B79" s="20"/>
      <c r="C79" s="20"/>
      <c r="D79" s="20"/>
      <c r="E79" s="20"/>
    </row>
    <row r="80" spans="1:5" ht="24.75" customHeight="1" x14ac:dyDescent="0.25">
      <c r="A80" s="20"/>
      <c r="B80" s="20"/>
      <c r="C80" s="20"/>
      <c r="D80" s="20"/>
      <c r="E80" s="20"/>
    </row>
    <row r="81" spans="1:5" ht="24.75" customHeight="1" x14ac:dyDescent="0.25">
      <c r="A81" s="20"/>
      <c r="B81" s="20"/>
      <c r="C81" s="20"/>
      <c r="D81" s="20"/>
      <c r="E81" s="20"/>
    </row>
    <row r="82" spans="1:5" ht="24.75" customHeight="1" x14ac:dyDescent="0.25">
      <c r="A82" s="20"/>
      <c r="B82" s="20"/>
      <c r="C82" s="20"/>
      <c r="D82" s="20"/>
      <c r="E82" s="20"/>
    </row>
    <row r="83" spans="1:5" ht="24.75" customHeight="1" x14ac:dyDescent="0.25">
      <c r="A83" s="20"/>
      <c r="B83" s="20"/>
      <c r="C83" s="20"/>
      <c r="D83" s="20"/>
      <c r="E83" s="20"/>
    </row>
    <row r="84" spans="1:5" ht="24.75" customHeight="1" x14ac:dyDescent="0.25">
      <c r="A84" s="20"/>
      <c r="B84" s="20"/>
      <c r="C84" s="20"/>
      <c r="D84" s="20"/>
      <c r="E84" s="20"/>
    </row>
    <row r="85" spans="1:5" ht="24.75" customHeight="1" x14ac:dyDescent="0.25">
      <c r="A85" s="20"/>
      <c r="B85" s="20"/>
      <c r="C85" s="20"/>
      <c r="D85" s="20"/>
      <c r="E85" s="20"/>
    </row>
    <row r="86" spans="1:5" ht="24.75" customHeight="1" x14ac:dyDescent="0.25">
      <c r="A86" s="20"/>
      <c r="B86" s="20"/>
      <c r="C86" s="20"/>
      <c r="D86" s="20"/>
      <c r="E86" s="20"/>
    </row>
    <row r="87" spans="1:5" ht="24.75" customHeight="1" x14ac:dyDescent="0.25">
      <c r="A87" s="20"/>
      <c r="B87" s="20"/>
      <c r="C87" s="20"/>
      <c r="D87" s="20"/>
      <c r="E87" s="20"/>
    </row>
    <row r="88" spans="1:5" ht="24.75" customHeight="1" x14ac:dyDescent="0.25">
      <c r="A88" s="20"/>
      <c r="B88" s="20"/>
      <c r="C88" s="20"/>
      <c r="D88" s="20"/>
      <c r="E88" s="20"/>
    </row>
    <row r="89" spans="1:5" ht="24.75" customHeight="1" x14ac:dyDescent="0.25">
      <c r="A89" s="20"/>
      <c r="B89" s="20"/>
      <c r="C89" s="20"/>
      <c r="D89" s="20"/>
      <c r="E89" s="20"/>
    </row>
    <row r="90" spans="1:5" ht="24.75" customHeight="1" x14ac:dyDescent="0.25">
      <c r="A90" s="20"/>
      <c r="B90" s="20"/>
      <c r="C90" s="20"/>
      <c r="D90" s="20"/>
      <c r="E90" s="20"/>
    </row>
    <row r="91" spans="1:5" ht="24.75" customHeight="1" x14ac:dyDescent="0.25">
      <c r="A91" s="20"/>
      <c r="B91" s="20"/>
      <c r="C91" s="20"/>
      <c r="D91" s="20"/>
      <c r="E91" s="20"/>
    </row>
    <row r="92" spans="1:5" ht="24.75" customHeight="1" x14ac:dyDescent="0.25">
      <c r="A92" s="20"/>
      <c r="B92" s="20"/>
      <c r="C92" s="20"/>
      <c r="D92" s="20"/>
      <c r="E92" s="20"/>
    </row>
    <row r="93" spans="1:5" ht="24.75" customHeight="1" x14ac:dyDescent="0.25">
      <c r="A93" s="20"/>
      <c r="B93" s="20"/>
      <c r="C93" s="20"/>
      <c r="D93" s="20"/>
      <c r="E93" s="20"/>
    </row>
    <row r="94" spans="1:5" ht="24.75" customHeight="1" x14ac:dyDescent="0.25">
      <c r="A94" s="20"/>
      <c r="B94" s="20"/>
      <c r="C94" s="20"/>
      <c r="D94" s="20"/>
      <c r="E94" s="20"/>
    </row>
    <row r="95" spans="1:5" ht="24.75" customHeight="1" x14ac:dyDescent="0.25">
      <c r="A95" s="20"/>
      <c r="B95" s="20"/>
      <c r="C95" s="20"/>
      <c r="D95" s="20"/>
      <c r="E95" s="20"/>
    </row>
    <row r="96" spans="1:5" ht="24.75" customHeight="1" x14ac:dyDescent="0.25">
      <c r="A96" s="20"/>
      <c r="B96" s="20"/>
      <c r="C96" s="20"/>
      <c r="D96" s="20"/>
      <c r="E96" s="20"/>
    </row>
    <row r="97" spans="1:5" ht="24.75" customHeight="1" x14ac:dyDescent="0.25">
      <c r="A97" s="20"/>
      <c r="B97" s="20"/>
      <c r="C97" s="20"/>
      <c r="D97" s="20"/>
      <c r="E97" s="20"/>
    </row>
    <row r="98" spans="1:5" ht="24.75" customHeight="1" x14ac:dyDescent="0.25">
      <c r="A98" s="20"/>
      <c r="B98" s="20"/>
      <c r="C98" s="20"/>
      <c r="D98" s="20"/>
      <c r="E98" s="20"/>
    </row>
    <row r="99" spans="1:5" ht="24.75" customHeight="1" x14ac:dyDescent="0.25">
      <c r="A99" s="20"/>
      <c r="B99" s="20"/>
      <c r="C99" s="20"/>
      <c r="D99" s="20"/>
      <c r="E99" s="20"/>
    </row>
    <row r="100" spans="1:5" ht="24.75" customHeight="1" x14ac:dyDescent="0.25">
      <c r="A100" s="20"/>
      <c r="B100" s="20"/>
      <c r="C100" s="20"/>
      <c r="D100" s="20"/>
      <c r="E100" s="20"/>
    </row>
    <row r="101" spans="1:5" ht="24.75" customHeight="1" x14ac:dyDescent="0.25">
      <c r="A101" s="20"/>
      <c r="B101" s="20"/>
      <c r="C101" s="20"/>
      <c r="D101" s="20"/>
      <c r="E101" s="20"/>
    </row>
  </sheetData>
  <mergeCells count="5">
    <mergeCell ref="A5:A6"/>
    <mergeCell ref="A1:E1"/>
    <mergeCell ref="E2:E3"/>
    <mergeCell ref="B5:B6"/>
    <mergeCell ref="C5:E5"/>
  </mergeCells>
  <hyperlinks>
    <hyperlink ref="A1:E1" location="'List of Township'!A1" display="Sagaing  Region, Shwebo District, Kyunhla Township"/>
  </hyperlinks>
  <pageMargins left="0.75" right="0.5" top="0.5" bottom="0.2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workbookViewId="0">
      <selection sqref="A1:E1"/>
    </sheetView>
  </sheetViews>
  <sheetFormatPr defaultRowHeight="24.75" customHeight="1" x14ac:dyDescent="0.25"/>
  <cols>
    <col min="1" max="1" width="5.85546875" style="3" customWidth="1"/>
    <col min="2" max="2" width="28.85546875" style="3" customWidth="1"/>
    <col min="3" max="5" width="15.7109375" style="3" customWidth="1"/>
    <col min="6" max="16384" width="9.140625" style="3"/>
  </cols>
  <sheetData>
    <row r="1" spans="1:14" ht="24.75" customHeight="1" x14ac:dyDescent="0.25">
      <c r="A1" s="67" t="s">
        <v>1771</v>
      </c>
      <c r="B1" s="67"/>
      <c r="C1" s="67"/>
      <c r="D1" s="67"/>
      <c r="E1" s="67"/>
    </row>
    <row r="2" spans="1:14" ht="24.75" customHeight="1" x14ac:dyDescent="0.4">
      <c r="A2" s="2"/>
      <c r="B2" s="7"/>
      <c r="C2" s="7"/>
      <c r="D2" s="7"/>
      <c r="E2" s="56" t="s">
        <v>1722</v>
      </c>
    </row>
    <row r="3" spans="1:14" ht="24.75" customHeight="1" x14ac:dyDescent="0.4">
      <c r="A3" s="2"/>
      <c r="B3" s="7"/>
      <c r="C3" s="7"/>
      <c r="D3" s="7"/>
      <c r="E3" s="56"/>
    </row>
    <row r="4" spans="1:14" ht="10.5" customHeight="1" x14ac:dyDescent="0.4">
      <c r="A4" s="2"/>
      <c r="B4" s="7"/>
      <c r="C4" s="7"/>
      <c r="D4" s="7"/>
      <c r="E4" s="7"/>
    </row>
    <row r="5" spans="1:14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14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14" ht="24.75" customHeight="1" x14ac:dyDescent="0.25">
      <c r="A7" s="9"/>
      <c r="B7" s="9" t="s">
        <v>1772</v>
      </c>
      <c r="C7" s="22">
        <f>C9+C15</f>
        <v>118290</v>
      </c>
      <c r="D7" s="22">
        <f t="shared" ref="D7:E7" si="0">D9+D15</f>
        <v>51422</v>
      </c>
      <c r="E7" s="22">
        <f t="shared" si="0"/>
        <v>66868</v>
      </c>
      <c r="H7" s="31"/>
      <c r="I7" s="31"/>
      <c r="J7" s="31"/>
      <c r="K7" s="6"/>
      <c r="L7" s="6"/>
      <c r="M7" s="6"/>
      <c r="N7" s="6"/>
    </row>
    <row r="8" spans="1:14" ht="10.5" customHeight="1" x14ac:dyDescent="0.25">
      <c r="A8" s="10"/>
      <c r="B8" s="23"/>
      <c r="C8" s="23"/>
      <c r="D8" s="23"/>
      <c r="E8" s="23"/>
      <c r="H8" s="31"/>
      <c r="I8" s="31"/>
      <c r="J8" s="31"/>
    </row>
    <row r="9" spans="1:14" ht="24.75" customHeight="1" x14ac:dyDescent="0.25">
      <c r="A9" s="10"/>
      <c r="B9" s="10" t="s">
        <v>1725</v>
      </c>
      <c r="C9" s="24">
        <f>SUM(C10:C14)</f>
        <v>20458</v>
      </c>
      <c r="D9" s="24">
        <f t="shared" ref="D9:E9" si="1">SUM(D10:D14)</f>
        <v>9580</v>
      </c>
      <c r="E9" s="24">
        <f t="shared" si="1"/>
        <v>10878</v>
      </c>
      <c r="H9" s="31"/>
      <c r="I9" s="31"/>
      <c r="J9" s="31"/>
    </row>
    <row r="10" spans="1:14" ht="24.75" customHeight="1" x14ac:dyDescent="0.25">
      <c r="A10" s="11">
        <v>1</v>
      </c>
      <c r="B10" s="23" t="s">
        <v>509</v>
      </c>
      <c r="C10" s="23">
        <v>2749</v>
      </c>
      <c r="D10" s="23">
        <v>1408</v>
      </c>
      <c r="E10" s="23">
        <v>1341</v>
      </c>
      <c r="H10" s="31"/>
      <c r="I10" s="31"/>
      <c r="J10" s="31"/>
    </row>
    <row r="11" spans="1:14" ht="24.75" customHeight="1" x14ac:dyDescent="0.25">
      <c r="A11" s="11">
        <v>2</v>
      </c>
      <c r="B11" s="11" t="s">
        <v>510</v>
      </c>
      <c r="C11" s="23">
        <v>4111</v>
      </c>
      <c r="D11" s="23">
        <v>1785</v>
      </c>
      <c r="E11" s="23">
        <v>2326</v>
      </c>
      <c r="H11" s="31"/>
      <c r="I11" s="31"/>
      <c r="J11" s="31"/>
    </row>
    <row r="12" spans="1:14" ht="24.75" customHeight="1" x14ac:dyDescent="0.25">
      <c r="A12" s="11">
        <v>3</v>
      </c>
      <c r="B12" s="23" t="s">
        <v>275</v>
      </c>
      <c r="C12" s="23">
        <v>5868</v>
      </c>
      <c r="D12" s="23">
        <v>2980</v>
      </c>
      <c r="E12" s="23">
        <v>2888</v>
      </c>
      <c r="H12" s="31"/>
      <c r="I12" s="31"/>
      <c r="J12" s="31"/>
    </row>
    <row r="13" spans="1:14" ht="24.75" customHeight="1" x14ac:dyDescent="0.25">
      <c r="A13" s="11">
        <v>4</v>
      </c>
      <c r="B13" s="11" t="s">
        <v>511</v>
      </c>
      <c r="C13" s="23">
        <v>5770</v>
      </c>
      <c r="D13" s="23">
        <v>2521</v>
      </c>
      <c r="E13" s="23">
        <v>3249</v>
      </c>
      <c r="H13" s="31"/>
      <c r="I13" s="31"/>
      <c r="J13" s="31"/>
    </row>
    <row r="14" spans="1:14" ht="24.75" customHeight="1" x14ac:dyDescent="0.25">
      <c r="A14" s="11">
        <v>5</v>
      </c>
      <c r="B14" s="11" t="s">
        <v>512</v>
      </c>
      <c r="C14" s="11">
        <v>1960</v>
      </c>
      <c r="D14" s="11">
        <v>886</v>
      </c>
      <c r="E14" s="11">
        <v>1074</v>
      </c>
      <c r="H14" s="31"/>
      <c r="I14" s="31"/>
      <c r="J14" s="31"/>
    </row>
    <row r="15" spans="1:14" ht="24.75" customHeight="1" x14ac:dyDescent="0.25">
      <c r="A15" s="11"/>
      <c r="B15" s="10" t="s">
        <v>1773</v>
      </c>
      <c r="C15" s="24">
        <f>SUM(C16:C77)</f>
        <v>97832</v>
      </c>
      <c r="D15" s="24">
        <f t="shared" ref="D15:E15" si="2">SUM(D16:D77)</f>
        <v>41842</v>
      </c>
      <c r="E15" s="24">
        <f t="shared" si="2"/>
        <v>55990</v>
      </c>
      <c r="H15" s="31"/>
      <c r="I15" s="31"/>
      <c r="J15" s="31"/>
    </row>
    <row r="16" spans="1:14" ht="24.75" customHeight="1" x14ac:dyDescent="0.25">
      <c r="A16" s="11">
        <v>1</v>
      </c>
      <c r="B16" s="11" t="s">
        <v>513</v>
      </c>
      <c r="C16" s="11">
        <v>2080</v>
      </c>
      <c r="D16" s="11">
        <v>851</v>
      </c>
      <c r="E16" s="11">
        <v>1229</v>
      </c>
      <c r="H16" s="31"/>
      <c r="I16" s="31"/>
      <c r="J16" s="31"/>
    </row>
    <row r="17" spans="1:10" ht="24.75" customHeight="1" x14ac:dyDescent="0.25">
      <c r="A17" s="11">
        <v>2</v>
      </c>
      <c r="B17" s="11" t="s">
        <v>514</v>
      </c>
      <c r="C17" s="23">
        <v>584</v>
      </c>
      <c r="D17" s="23">
        <v>230</v>
      </c>
      <c r="E17" s="23">
        <v>354</v>
      </c>
      <c r="H17" s="31"/>
      <c r="I17" s="31"/>
      <c r="J17" s="31"/>
    </row>
    <row r="18" spans="1:10" ht="24.75" customHeight="1" x14ac:dyDescent="0.25">
      <c r="A18" s="11">
        <v>3</v>
      </c>
      <c r="B18" s="11" t="s">
        <v>515</v>
      </c>
      <c r="C18" s="11">
        <v>1532</v>
      </c>
      <c r="D18" s="11">
        <v>641</v>
      </c>
      <c r="E18" s="11">
        <v>891</v>
      </c>
      <c r="H18" s="31"/>
      <c r="I18" s="31"/>
      <c r="J18" s="31"/>
    </row>
    <row r="19" spans="1:10" ht="24.75" customHeight="1" x14ac:dyDescent="0.25">
      <c r="A19" s="11">
        <v>4</v>
      </c>
      <c r="B19" s="11" t="s">
        <v>516</v>
      </c>
      <c r="C19" s="11">
        <v>887</v>
      </c>
      <c r="D19" s="11">
        <v>376</v>
      </c>
      <c r="E19" s="11">
        <v>511</v>
      </c>
      <c r="H19" s="31"/>
      <c r="I19" s="31"/>
      <c r="J19" s="31"/>
    </row>
    <row r="20" spans="1:10" ht="24.75" customHeight="1" x14ac:dyDescent="0.25">
      <c r="A20" s="11">
        <v>5</v>
      </c>
      <c r="B20" s="11" t="s">
        <v>517</v>
      </c>
      <c r="C20" s="11">
        <v>827</v>
      </c>
      <c r="D20" s="11">
        <v>404</v>
      </c>
      <c r="E20" s="11">
        <v>423</v>
      </c>
      <c r="H20" s="31"/>
      <c r="I20" s="31"/>
      <c r="J20" s="31"/>
    </row>
    <row r="21" spans="1:10" ht="24.75" customHeight="1" x14ac:dyDescent="0.25">
      <c r="A21" s="11">
        <v>6</v>
      </c>
      <c r="B21" s="11" t="s">
        <v>42</v>
      </c>
      <c r="C21" s="23">
        <v>2636</v>
      </c>
      <c r="D21" s="23">
        <v>1161</v>
      </c>
      <c r="E21" s="23">
        <v>1475</v>
      </c>
      <c r="H21" s="31"/>
      <c r="I21" s="31"/>
      <c r="J21" s="31"/>
    </row>
    <row r="22" spans="1:10" ht="24.75" customHeight="1" x14ac:dyDescent="0.25">
      <c r="A22" s="11">
        <v>7</v>
      </c>
      <c r="B22" s="11" t="s">
        <v>518</v>
      </c>
      <c r="C22" s="11">
        <v>1047</v>
      </c>
      <c r="D22" s="11">
        <v>405</v>
      </c>
      <c r="E22" s="11">
        <v>642</v>
      </c>
      <c r="H22" s="31"/>
      <c r="I22" s="31"/>
      <c r="J22" s="31"/>
    </row>
    <row r="23" spans="1:10" ht="24.75" customHeight="1" x14ac:dyDescent="0.25">
      <c r="A23" s="11">
        <v>8</v>
      </c>
      <c r="B23" s="11" t="s">
        <v>180</v>
      </c>
      <c r="C23" s="11">
        <v>849</v>
      </c>
      <c r="D23" s="11">
        <v>300</v>
      </c>
      <c r="E23" s="11">
        <v>549</v>
      </c>
      <c r="H23" s="31"/>
      <c r="I23" s="31"/>
      <c r="J23" s="31"/>
    </row>
    <row r="24" spans="1:10" ht="24.75" customHeight="1" x14ac:dyDescent="0.25">
      <c r="A24" s="11">
        <v>9</v>
      </c>
      <c r="B24" s="11" t="s">
        <v>519</v>
      </c>
      <c r="C24" s="11">
        <v>1631</v>
      </c>
      <c r="D24" s="11">
        <v>586</v>
      </c>
      <c r="E24" s="11">
        <v>1045</v>
      </c>
      <c r="H24" s="31"/>
      <c r="I24" s="31"/>
      <c r="J24" s="31"/>
    </row>
    <row r="25" spans="1:10" ht="24.75" customHeight="1" x14ac:dyDescent="0.25">
      <c r="A25" s="11">
        <v>10</v>
      </c>
      <c r="B25" s="11" t="s">
        <v>520</v>
      </c>
      <c r="C25" s="11">
        <v>2222</v>
      </c>
      <c r="D25" s="11">
        <v>975</v>
      </c>
      <c r="E25" s="11">
        <v>1247</v>
      </c>
      <c r="H25" s="31"/>
      <c r="I25" s="31"/>
      <c r="J25" s="31"/>
    </row>
    <row r="26" spans="1:10" ht="24.75" customHeight="1" x14ac:dyDescent="0.25">
      <c r="A26" s="11">
        <v>11</v>
      </c>
      <c r="B26" s="11" t="s">
        <v>92</v>
      </c>
      <c r="C26" s="11">
        <v>803</v>
      </c>
      <c r="D26" s="11">
        <v>369</v>
      </c>
      <c r="E26" s="11">
        <v>434</v>
      </c>
      <c r="H26" s="31"/>
      <c r="I26" s="31"/>
      <c r="J26" s="31"/>
    </row>
    <row r="27" spans="1:10" ht="24.75" customHeight="1" x14ac:dyDescent="0.25">
      <c r="A27" s="11">
        <v>12</v>
      </c>
      <c r="B27" s="11" t="s">
        <v>521</v>
      </c>
      <c r="C27" s="11">
        <v>1533</v>
      </c>
      <c r="D27" s="11">
        <v>714</v>
      </c>
      <c r="E27" s="11">
        <v>819</v>
      </c>
      <c r="H27" s="31"/>
      <c r="I27" s="31"/>
      <c r="J27" s="31"/>
    </row>
    <row r="28" spans="1:10" ht="24.75" customHeight="1" x14ac:dyDescent="0.25">
      <c r="A28" s="11">
        <v>13</v>
      </c>
      <c r="B28" s="11" t="s">
        <v>522</v>
      </c>
      <c r="C28" s="11">
        <v>1913</v>
      </c>
      <c r="D28" s="11">
        <v>812</v>
      </c>
      <c r="E28" s="11">
        <v>1101</v>
      </c>
      <c r="H28" s="31"/>
      <c r="I28" s="31"/>
      <c r="J28" s="31"/>
    </row>
    <row r="29" spans="1:10" ht="24.75" customHeight="1" x14ac:dyDescent="0.25">
      <c r="A29" s="11">
        <v>14</v>
      </c>
      <c r="B29" s="11" t="s">
        <v>523</v>
      </c>
      <c r="C29" s="11">
        <v>1902</v>
      </c>
      <c r="D29" s="11">
        <v>865</v>
      </c>
      <c r="E29" s="11">
        <v>1037</v>
      </c>
      <c r="H29" s="31"/>
      <c r="I29" s="31"/>
      <c r="J29" s="31"/>
    </row>
    <row r="30" spans="1:10" ht="24.75" customHeight="1" x14ac:dyDescent="0.25">
      <c r="A30" s="11">
        <v>15</v>
      </c>
      <c r="B30" s="11" t="s">
        <v>327</v>
      </c>
      <c r="C30" s="11">
        <v>814</v>
      </c>
      <c r="D30" s="11">
        <v>286</v>
      </c>
      <c r="E30" s="11">
        <v>528</v>
      </c>
      <c r="H30" s="31"/>
      <c r="I30" s="31"/>
      <c r="J30" s="31"/>
    </row>
    <row r="31" spans="1:10" ht="24.75" customHeight="1" x14ac:dyDescent="0.25">
      <c r="A31" s="11">
        <v>16</v>
      </c>
      <c r="B31" s="11" t="s">
        <v>524</v>
      </c>
      <c r="C31" s="11">
        <v>1720</v>
      </c>
      <c r="D31" s="11">
        <v>667</v>
      </c>
      <c r="E31" s="11">
        <v>1053</v>
      </c>
      <c r="H31" s="31"/>
      <c r="I31" s="31"/>
      <c r="J31" s="31"/>
    </row>
    <row r="32" spans="1:10" ht="24.75" customHeight="1" x14ac:dyDescent="0.25">
      <c r="A32" s="11">
        <v>17</v>
      </c>
      <c r="B32" s="11" t="s">
        <v>525</v>
      </c>
      <c r="C32" s="11">
        <v>816</v>
      </c>
      <c r="D32" s="11">
        <v>314</v>
      </c>
      <c r="E32" s="11">
        <v>502</v>
      </c>
      <c r="H32" s="31"/>
      <c r="I32" s="31"/>
      <c r="J32" s="31"/>
    </row>
    <row r="33" spans="1:10" ht="24.75" customHeight="1" x14ac:dyDescent="0.25">
      <c r="A33" s="11">
        <v>18</v>
      </c>
      <c r="B33" s="11" t="s">
        <v>526</v>
      </c>
      <c r="C33" s="11">
        <v>607</v>
      </c>
      <c r="D33" s="11">
        <v>272</v>
      </c>
      <c r="E33" s="11">
        <v>335</v>
      </c>
      <c r="H33" s="31"/>
      <c r="I33" s="31"/>
      <c r="J33" s="31"/>
    </row>
    <row r="34" spans="1:10" ht="24.75" customHeight="1" x14ac:dyDescent="0.25">
      <c r="A34" s="11">
        <v>19</v>
      </c>
      <c r="B34" s="11" t="s">
        <v>239</v>
      </c>
      <c r="C34" s="11">
        <v>925</v>
      </c>
      <c r="D34" s="11">
        <v>386</v>
      </c>
      <c r="E34" s="11">
        <v>539</v>
      </c>
      <c r="H34" s="31"/>
      <c r="I34" s="31"/>
      <c r="J34" s="31"/>
    </row>
    <row r="35" spans="1:10" ht="24.75" customHeight="1" x14ac:dyDescent="0.25">
      <c r="A35" s="11">
        <v>20</v>
      </c>
      <c r="B35" s="11" t="s">
        <v>527</v>
      </c>
      <c r="C35" s="11">
        <v>1417</v>
      </c>
      <c r="D35" s="11">
        <v>613</v>
      </c>
      <c r="E35" s="11">
        <v>804</v>
      </c>
      <c r="H35" s="31"/>
      <c r="I35" s="31"/>
      <c r="J35" s="31"/>
    </row>
    <row r="36" spans="1:10" ht="24.75" customHeight="1" x14ac:dyDescent="0.25">
      <c r="A36" s="11">
        <v>21</v>
      </c>
      <c r="B36" s="11" t="s">
        <v>528</v>
      </c>
      <c r="C36" s="11">
        <v>4586</v>
      </c>
      <c r="D36" s="11">
        <v>2082</v>
      </c>
      <c r="E36" s="11">
        <v>2504</v>
      </c>
      <c r="H36" s="31"/>
      <c r="I36" s="31"/>
      <c r="J36" s="31"/>
    </row>
    <row r="37" spans="1:10" ht="24.75" customHeight="1" x14ac:dyDescent="0.25">
      <c r="A37" s="11">
        <v>22</v>
      </c>
      <c r="B37" s="11" t="s">
        <v>529</v>
      </c>
      <c r="C37" s="11">
        <v>1536</v>
      </c>
      <c r="D37" s="11">
        <v>740</v>
      </c>
      <c r="E37" s="11">
        <v>796</v>
      </c>
      <c r="H37" s="31"/>
      <c r="I37" s="31"/>
      <c r="J37" s="31"/>
    </row>
    <row r="38" spans="1:10" ht="24.75" customHeight="1" x14ac:dyDescent="0.25">
      <c r="A38" s="11">
        <v>23</v>
      </c>
      <c r="B38" s="11" t="s">
        <v>530</v>
      </c>
      <c r="C38" s="11">
        <v>905</v>
      </c>
      <c r="D38" s="11">
        <v>398</v>
      </c>
      <c r="E38" s="11">
        <v>507</v>
      </c>
      <c r="H38" s="31"/>
      <c r="I38" s="31"/>
      <c r="J38" s="31"/>
    </row>
    <row r="39" spans="1:10" ht="24.75" customHeight="1" x14ac:dyDescent="0.25">
      <c r="A39" s="11">
        <v>24</v>
      </c>
      <c r="B39" s="11" t="s">
        <v>531</v>
      </c>
      <c r="C39" s="11">
        <v>507</v>
      </c>
      <c r="D39" s="11">
        <v>209</v>
      </c>
      <c r="E39" s="11">
        <v>298</v>
      </c>
      <c r="H39" s="31"/>
      <c r="I39" s="31"/>
      <c r="J39" s="31"/>
    </row>
    <row r="40" spans="1:10" ht="24.75" customHeight="1" x14ac:dyDescent="0.25">
      <c r="A40" s="11">
        <v>25</v>
      </c>
      <c r="B40" s="11" t="s">
        <v>396</v>
      </c>
      <c r="C40" s="11">
        <v>1244</v>
      </c>
      <c r="D40" s="11">
        <v>589</v>
      </c>
      <c r="E40" s="11">
        <v>655</v>
      </c>
      <c r="H40" s="31"/>
      <c r="I40" s="31"/>
      <c r="J40" s="31"/>
    </row>
    <row r="41" spans="1:10" ht="24.75" customHeight="1" x14ac:dyDescent="0.25">
      <c r="A41" s="11">
        <v>26</v>
      </c>
      <c r="B41" s="11" t="s">
        <v>532</v>
      </c>
      <c r="C41" s="11">
        <v>2113</v>
      </c>
      <c r="D41" s="11">
        <v>942</v>
      </c>
      <c r="E41" s="11">
        <v>1171</v>
      </c>
      <c r="H41" s="31"/>
      <c r="I41" s="31"/>
      <c r="J41" s="31"/>
    </row>
    <row r="42" spans="1:10" ht="24.75" customHeight="1" x14ac:dyDescent="0.25">
      <c r="A42" s="11">
        <v>27</v>
      </c>
      <c r="B42" s="11" t="s">
        <v>533</v>
      </c>
      <c r="C42" s="11">
        <v>1144</v>
      </c>
      <c r="D42" s="11">
        <v>492</v>
      </c>
      <c r="E42" s="11">
        <v>652</v>
      </c>
      <c r="H42" s="31"/>
      <c r="I42" s="31"/>
      <c r="J42" s="31"/>
    </row>
    <row r="43" spans="1:10" ht="24.75" customHeight="1" x14ac:dyDescent="0.25">
      <c r="A43" s="11">
        <v>28</v>
      </c>
      <c r="B43" s="11" t="s">
        <v>534</v>
      </c>
      <c r="C43" s="11">
        <v>860</v>
      </c>
      <c r="D43" s="11">
        <v>439</v>
      </c>
      <c r="E43" s="11">
        <v>421</v>
      </c>
      <c r="H43" s="31"/>
      <c r="I43" s="31"/>
      <c r="J43" s="31"/>
    </row>
    <row r="44" spans="1:10" ht="24.75" customHeight="1" x14ac:dyDescent="0.25">
      <c r="A44" s="11">
        <v>29</v>
      </c>
      <c r="B44" s="11" t="s">
        <v>535</v>
      </c>
      <c r="C44" s="11">
        <v>845</v>
      </c>
      <c r="D44" s="11">
        <v>353</v>
      </c>
      <c r="E44" s="11">
        <v>492</v>
      </c>
      <c r="H44" s="31"/>
      <c r="I44" s="31"/>
      <c r="J44" s="31"/>
    </row>
    <row r="45" spans="1:10" ht="24.75" customHeight="1" x14ac:dyDescent="0.25">
      <c r="A45" s="11">
        <v>30</v>
      </c>
      <c r="B45" s="11" t="s">
        <v>536</v>
      </c>
      <c r="C45" s="11">
        <v>1614</v>
      </c>
      <c r="D45" s="11">
        <v>668</v>
      </c>
      <c r="E45" s="11">
        <v>946</v>
      </c>
      <c r="H45" s="31"/>
      <c r="I45" s="31"/>
      <c r="J45" s="31"/>
    </row>
    <row r="46" spans="1:10" ht="24.75" customHeight="1" x14ac:dyDescent="0.25">
      <c r="A46" s="11">
        <v>31</v>
      </c>
      <c r="B46" s="11" t="s">
        <v>537</v>
      </c>
      <c r="C46" s="11">
        <v>1358</v>
      </c>
      <c r="D46" s="11">
        <v>540</v>
      </c>
      <c r="E46" s="11">
        <v>818</v>
      </c>
      <c r="H46" s="31"/>
      <c r="I46" s="31"/>
      <c r="J46" s="31"/>
    </row>
    <row r="47" spans="1:10" ht="24.75" customHeight="1" x14ac:dyDescent="0.25">
      <c r="A47" s="11">
        <v>32</v>
      </c>
      <c r="B47" s="11" t="s">
        <v>538</v>
      </c>
      <c r="C47" s="11">
        <v>2220</v>
      </c>
      <c r="D47" s="11">
        <v>1022</v>
      </c>
      <c r="E47" s="11">
        <v>1198</v>
      </c>
      <c r="H47" s="31"/>
      <c r="I47" s="31"/>
      <c r="J47" s="31"/>
    </row>
    <row r="48" spans="1:10" ht="24.75" customHeight="1" x14ac:dyDescent="0.25">
      <c r="A48" s="11">
        <v>33</v>
      </c>
      <c r="B48" s="11" t="s">
        <v>539</v>
      </c>
      <c r="C48" s="11">
        <v>3834</v>
      </c>
      <c r="D48" s="11">
        <v>1699</v>
      </c>
      <c r="E48" s="11">
        <v>2135</v>
      </c>
      <c r="H48" s="31"/>
      <c r="I48" s="31"/>
      <c r="J48" s="31"/>
    </row>
    <row r="49" spans="1:10" ht="24.75" customHeight="1" x14ac:dyDescent="0.25">
      <c r="A49" s="11">
        <v>34</v>
      </c>
      <c r="B49" s="11" t="s">
        <v>540</v>
      </c>
      <c r="C49" s="11">
        <v>2815</v>
      </c>
      <c r="D49" s="11">
        <v>1275</v>
      </c>
      <c r="E49" s="11">
        <v>1540</v>
      </c>
      <c r="H49" s="31"/>
      <c r="I49" s="31"/>
      <c r="J49" s="31"/>
    </row>
    <row r="50" spans="1:10" ht="24.75" customHeight="1" x14ac:dyDescent="0.25">
      <c r="A50" s="11">
        <v>35</v>
      </c>
      <c r="B50" s="11" t="s">
        <v>541</v>
      </c>
      <c r="C50" s="11">
        <v>2289</v>
      </c>
      <c r="D50" s="11">
        <v>976</v>
      </c>
      <c r="E50" s="11">
        <v>1313</v>
      </c>
      <c r="H50" s="31"/>
      <c r="I50" s="31"/>
      <c r="J50" s="31"/>
    </row>
    <row r="51" spans="1:10" ht="24.75" customHeight="1" x14ac:dyDescent="0.25">
      <c r="A51" s="11">
        <v>36</v>
      </c>
      <c r="B51" s="11" t="s">
        <v>542</v>
      </c>
      <c r="C51" s="11">
        <v>2958</v>
      </c>
      <c r="D51" s="11">
        <v>1186</v>
      </c>
      <c r="E51" s="11">
        <v>1772</v>
      </c>
      <c r="H51" s="31"/>
      <c r="I51" s="31"/>
      <c r="J51" s="31"/>
    </row>
    <row r="52" spans="1:10" ht="24.75" customHeight="1" x14ac:dyDescent="0.25">
      <c r="A52" s="11">
        <v>37</v>
      </c>
      <c r="B52" s="23" t="s">
        <v>543</v>
      </c>
      <c r="C52" s="23">
        <v>1500</v>
      </c>
      <c r="D52" s="23">
        <v>559</v>
      </c>
      <c r="E52" s="23">
        <v>941</v>
      </c>
      <c r="H52" s="31"/>
      <c r="I52" s="31"/>
      <c r="J52" s="31"/>
    </row>
    <row r="53" spans="1:10" ht="24.75" customHeight="1" x14ac:dyDescent="0.25">
      <c r="A53" s="11">
        <v>38</v>
      </c>
      <c r="B53" s="23" t="s">
        <v>544</v>
      </c>
      <c r="C53" s="23">
        <v>1139</v>
      </c>
      <c r="D53" s="23">
        <v>417</v>
      </c>
      <c r="E53" s="23">
        <v>722</v>
      </c>
      <c r="H53" s="31"/>
      <c r="I53" s="31"/>
      <c r="J53" s="31"/>
    </row>
    <row r="54" spans="1:10" ht="24.75" customHeight="1" x14ac:dyDescent="0.25">
      <c r="A54" s="11">
        <v>39</v>
      </c>
      <c r="B54" s="23" t="s">
        <v>545</v>
      </c>
      <c r="C54" s="23">
        <v>1543</v>
      </c>
      <c r="D54" s="23">
        <v>624</v>
      </c>
      <c r="E54" s="23">
        <v>919</v>
      </c>
      <c r="H54" s="31"/>
      <c r="I54" s="31"/>
      <c r="J54" s="31"/>
    </row>
    <row r="55" spans="1:10" ht="24.75" customHeight="1" x14ac:dyDescent="0.25">
      <c r="A55" s="11">
        <v>40</v>
      </c>
      <c r="B55" s="23" t="s">
        <v>546</v>
      </c>
      <c r="C55" s="23">
        <v>1792</v>
      </c>
      <c r="D55" s="23">
        <v>658</v>
      </c>
      <c r="E55" s="23">
        <v>1134</v>
      </c>
      <c r="H55" s="31"/>
      <c r="I55" s="31"/>
      <c r="J55" s="31"/>
    </row>
    <row r="56" spans="1:10" ht="24.75" customHeight="1" x14ac:dyDescent="0.25">
      <c r="A56" s="11">
        <v>41</v>
      </c>
      <c r="B56" s="23" t="s">
        <v>547</v>
      </c>
      <c r="C56" s="23">
        <v>2087</v>
      </c>
      <c r="D56" s="23">
        <v>949</v>
      </c>
      <c r="E56" s="23">
        <v>1138</v>
      </c>
      <c r="H56" s="31"/>
      <c r="I56" s="31"/>
      <c r="J56" s="31"/>
    </row>
    <row r="57" spans="1:10" ht="24.75" customHeight="1" x14ac:dyDescent="0.25">
      <c r="A57" s="11">
        <v>42</v>
      </c>
      <c r="B57" s="23" t="s">
        <v>548</v>
      </c>
      <c r="C57" s="23">
        <v>539</v>
      </c>
      <c r="D57" s="23">
        <v>228</v>
      </c>
      <c r="E57" s="23">
        <v>311</v>
      </c>
      <c r="H57" s="31"/>
      <c r="I57" s="31"/>
      <c r="J57" s="31"/>
    </row>
    <row r="58" spans="1:10" ht="24.75" customHeight="1" x14ac:dyDescent="0.25">
      <c r="A58" s="11">
        <v>43</v>
      </c>
      <c r="B58" s="23" t="s">
        <v>549</v>
      </c>
      <c r="C58" s="23">
        <v>1017</v>
      </c>
      <c r="D58" s="23">
        <v>428</v>
      </c>
      <c r="E58" s="23">
        <v>589</v>
      </c>
      <c r="H58" s="31"/>
      <c r="I58" s="31"/>
      <c r="J58" s="31"/>
    </row>
    <row r="59" spans="1:10" ht="24.75" customHeight="1" x14ac:dyDescent="0.25">
      <c r="A59" s="11">
        <v>44</v>
      </c>
      <c r="B59" s="23" t="s">
        <v>550</v>
      </c>
      <c r="C59" s="23">
        <v>773</v>
      </c>
      <c r="D59" s="23">
        <v>282</v>
      </c>
      <c r="E59" s="23">
        <v>491</v>
      </c>
      <c r="H59" s="31"/>
      <c r="I59" s="31"/>
      <c r="J59" s="31"/>
    </row>
    <row r="60" spans="1:10" ht="24.75" customHeight="1" x14ac:dyDescent="0.25">
      <c r="A60" s="11">
        <v>45</v>
      </c>
      <c r="B60" s="23" t="s">
        <v>551</v>
      </c>
      <c r="C60" s="23">
        <v>3133</v>
      </c>
      <c r="D60" s="23">
        <v>1330</v>
      </c>
      <c r="E60" s="23">
        <v>1803</v>
      </c>
      <c r="H60" s="31"/>
      <c r="I60" s="31"/>
      <c r="J60" s="31"/>
    </row>
    <row r="61" spans="1:10" ht="24.75" customHeight="1" x14ac:dyDescent="0.25">
      <c r="A61" s="11">
        <v>46</v>
      </c>
      <c r="B61" s="23" t="s">
        <v>552</v>
      </c>
      <c r="C61" s="23">
        <v>2070</v>
      </c>
      <c r="D61" s="23">
        <v>794</v>
      </c>
      <c r="E61" s="23">
        <v>1276</v>
      </c>
      <c r="H61" s="31"/>
      <c r="I61" s="31"/>
      <c r="J61" s="31"/>
    </row>
    <row r="62" spans="1:10" ht="24.75" customHeight="1" x14ac:dyDescent="0.25">
      <c r="A62" s="11">
        <v>47</v>
      </c>
      <c r="B62" s="23" t="s">
        <v>553</v>
      </c>
      <c r="C62" s="23">
        <v>1208</v>
      </c>
      <c r="D62" s="23">
        <v>479</v>
      </c>
      <c r="E62" s="23">
        <v>729</v>
      </c>
      <c r="H62" s="31"/>
      <c r="I62" s="31"/>
      <c r="J62" s="31"/>
    </row>
    <row r="63" spans="1:10" ht="24.75" customHeight="1" x14ac:dyDescent="0.25">
      <c r="A63" s="11">
        <v>48</v>
      </c>
      <c r="B63" s="23" t="s">
        <v>554</v>
      </c>
      <c r="C63" s="23">
        <v>651</v>
      </c>
      <c r="D63" s="23">
        <v>291</v>
      </c>
      <c r="E63" s="23">
        <v>360</v>
      </c>
      <c r="H63" s="31"/>
      <c r="I63" s="31"/>
      <c r="J63" s="31"/>
    </row>
    <row r="64" spans="1:10" ht="24.75" customHeight="1" x14ac:dyDescent="0.25">
      <c r="A64" s="11">
        <v>49</v>
      </c>
      <c r="B64" s="23" t="s">
        <v>428</v>
      </c>
      <c r="C64" s="23">
        <v>1318</v>
      </c>
      <c r="D64" s="23">
        <v>477</v>
      </c>
      <c r="E64" s="23">
        <v>841</v>
      </c>
      <c r="H64" s="31"/>
      <c r="I64" s="31"/>
      <c r="J64" s="31"/>
    </row>
    <row r="65" spans="1:10" ht="24.75" customHeight="1" x14ac:dyDescent="0.25">
      <c r="A65" s="11">
        <v>50</v>
      </c>
      <c r="B65" s="23" t="s">
        <v>555</v>
      </c>
      <c r="C65" s="23">
        <v>3203</v>
      </c>
      <c r="D65" s="23">
        <v>1430</v>
      </c>
      <c r="E65" s="23">
        <v>1773</v>
      </c>
      <c r="H65" s="31"/>
      <c r="I65" s="31"/>
      <c r="J65" s="31"/>
    </row>
    <row r="66" spans="1:10" ht="24.75" customHeight="1" x14ac:dyDescent="0.25">
      <c r="A66" s="11">
        <v>51</v>
      </c>
      <c r="B66" s="23" t="s">
        <v>556</v>
      </c>
      <c r="C66" s="23">
        <v>705</v>
      </c>
      <c r="D66" s="23">
        <v>303</v>
      </c>
      <c r="E66" s="23">
        <v>402</v>
      </c>
      <c r="H66" s="31"/>
      <c r="I66" s="31"/>
      <c r="J66" s="31"/>
    </row>
    <row r="67" spans="1:10" ht="24.75" customHeight="1" x14ac:dyDescent="0.25">
      <c r="A67" s="11">
        <v>52</v>
      </c>
      <c r="B67" s="23" t="s">
        <v>557</v>
      </c>
      <c r="C67" s="23">
        <v>1003</v>
      </c>
      <c r="D67" s="23">
        <v>455</v>
      </c>
      <c r="E67" s="23">
        <v>548</v>
      </c>
      <c r="H67" s="31"/>
      <c r="I67" s="31"/>
      <c r="J67" s="31"/>
    </row>
    <row r="68" spans="1:10" ht="24.75" customHeight="1" x14ac:dyDescent="0.25">
      <c r="A68" s="11">
        <v>53</v>
      </c>
      <c r="B68" s="23" t="s">
        <v>558</v>
      </c>
      <c r="C68" s="23">
        <v>1256</v>
      </c>
      <c r="D68" s="23">
        <v>580</v>
      </c>
      <c r="E68" s="23">
        <v>676</v>
      </c>
      <c r="H68" s="31"/>
      <c r="I68" s="31"/>
      <c r="J68" s="31"/>
    </row>
    <row r="69" spans="1:10" ht="24.75" customHeight="1" x14ac:dyDescent="0.25">
      <c r="A69" s="11">
        <v>54</v>
      </c>
      <c r="B69" s="23" t="s">
        <v>559</v>
      </c>
      <c r="C69" s="23">
        <v>3049</v>
      </c>
      <c r="D69" s="23">
        <v>1379</v>
      </c>
      <c r="E69" s="23">
        <v>1670</v>
      </c>
      <c r="H69" s="31"/>
      <c r="I69" s="31"/>
      <c r="J69" s="31"/>
    </row>
    <row r="70" spans="1:10" ht="24.75" customHeight="1" x14ac:dyDescent="0.25">
      <c r="A70" s="11">
        <v>55</v>
      </c>
      <c r="B70" s="23" t="s">
        <v>560</v>
      </c>
      <c r="C70" s="23">
        <v>1432</v>
      </c>
      <c r="D70" s="23">
        <v>615</v>
      </c>
      <c r="E70" s="23">
        <v>817</v>
      </c>
      <c r="H70" s="31"/>
      <c r="I70" s="31"/>
      <c r="J70" s="31"/>
    </row>
    <row r="71" spans="1:10" ht="24.75" customHeight="1" x14ac:dyDescent="0.25">
      <c r="A71" s="11">
        <v>56</v>
      </c>
      <c r="B71" s="23" t="s">
        <v>561</v>
      </c>
      <c r="C71" s="23">
        <v>1613</v>
      </c>
      <c r="D71" s="23">
        <v>669</v>
      </c>
      <c r="E71" s="23">
        <v>944</v>
      </c>
      <c r="H71" s="31"/>
      <c r="I71" s="31"/>
      <c r="J71" s="31"/>
    </row>
    <row r="72" spans="1:10" ht="24.75" customHeight="1" x14ac:dyDescent="0.25">
      <c r="A72" s="11">
        <v>57</v>
      </c>
      <c r="B72" s="23" t="s">
        <v>483</v>
      </c>
      <c r="C72" s="23">
        <v>3139</v>
      </c>
      <c r="D72" s="23">
        <v>1392</v>
      </c>
      <c r="E72" s="23">
        <v>1747</v>
      </c>
      <c r="H72" s="31"/>
      <c r="I72" s="31"/>
      <c r="J72" s="31"/>
    </row>
    <row r="73" spans="1:10" ht="24.75" customHeight="1" x14ac:dyDescent="0.25">
      <c r="A73" s="11">
        <v>58</v>
      </c>
      <c r="B73" s="23" t="s">
        <v>387</v>
      </c>
      <c r="C73" s="23">
        <v>787</v>
      </c>
      <c r="D73" s="23">
        <v>323</v>
      </c>
      <c r="E73" s="23">
        <v>464</v>
      </c>
      <c r="H73" s="31"/>
      <c r="I73" s="31"/>
      <c r="J73" s="31"/>
    </row>
    <row r="74" spans="1:10" ht="24.75" customHeight="1" x14ac:dyDescent="0.25">
      <c r="A74" s="11">
        <v>59</v>
      </c>
      <c r="B74" s="23" t="s">
        <v>39</v>
      </c>
      <c r="C74" s="23">
        <v>1383</v>
      </c>
      <c r="D74" s="23">
        <v>595</v>
      </c>
      <c r="E74" s="23">
        <v>788</v>
      </c>
      <c r="H74" s="31"/>
      <c r="I74" s="31"/>
      <c r="J74" s="31"/>
    </row>
    <row r="75" spans="1:10" ht="24.75" customHeight="1" x14ac:dyDescent="0.25">
      <c r="A75" s="11">
        <v>60</v>
      </c>
      <c r="B75" s="23" t="s">
        <v>562</v>
      </c>
      <c r="C75" s="23">
        <v>2315</v>
      </c>
      <c r="D75" s="23">
        <v>1039</v>
      </c>
      <c r="E75" s="23">
        <v>1276</v>
      </c>
      <c r="H75" s="31"/>
      <c r="I75" s="31"/>
      <c r="J75" s="31"/>
    </row>
    <row r="76" spans="1:10" ht="24.75" customHeight="1" x14ac:dyDescent="0.25">
      <c r="A76" s="11">
        <v>61</v>
      </c>
      <c r="B76" s="23" t="s">
        <v>563</v>
      </c>
      <c r="C76" s="23">
        <v>679</v>
      </c>
      <c r="D76" s="23">
        <v>329</v>
      </c>
      <c r="E76" s="23">
        <v>350</v>
      </c>
      <c r="H76" s="31"/>
      <c r="I76" s="31"/>
      <c r="J76" s="31"/>
    </row>
    <row r="77" spans="1:10" ht="24.75" customHeight="1" x14ac:dyDescent="0.25">
      <c r="A77" s="12">
        <v>62</v>
      </c>
      <c r="B77" s="30" t="s">
        <v>462</v>
      </c>
      <c r="C77" s="30">
        <v>925</v>
      </c>
      <c r="D77" s="30">
        <v>380</v>
      </c>
      <c r="E77" s="30">
        <v>545</v>
      </c>
      <c r="H77" s="31"/>
      <c r="I77" s="31"/>
      <c r="J77" s="31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hwebo District, Ye U Township"/>
  </hyperlinks>
  <pageMargins left="0.75" right="0.5" top="0.5" bottom="0.2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workbookViewId="0">
      <selection sqref="A1:E1"/>
    </sheetView>
  </sheetViews>
  <sheetFormatPr defaultRowHeight="24.75" customHeight="1" x14ac:dyDescent="0.25"/>
  <cols>
    <col min="1" max="1" width="6.42578125" style="3" customWidth="1"/>
    <col min="2" max="2" width="28.28515625" style="3" customWidth="1"/>
    <col min="3" max="5" width="15.7109375" style="3" customWidth="1"/>
    <col min="6" max="16384" width="9.140625" style="3"/>
  </cols>
  <sheetData>
    <row r="1" spans="1:5" ht="24.75" customHeight="1" x14ac:dyDescent="0.25">
      <c r="A1" s="67" t="s">
        <v>1734</v>
      </c>
      <c r="B1" s="67"/>
      <c r="C1" s="67"/>
      <c r="D1" s="67"/>
      <c r="E1" s="67"/>
    </row>
    <row r="2" spans="1:5" ht="24.75" customHeight="1" x14ac:dyDescent="0.4">
      <c r="A2" s="2"/>
      <c r="B2" s="7"/>
      <c r="C2" s="7"/>
      <c r="D2" s="7"/>
      <c r="E2" s="56" t="s">
        <v>1722</v>
      </c>
    </row>
    <row r="3" spans="1:5" ht="24.75" customHeight="1" x14ac:dyDescent="0.4">
      <c r="A3" s="2"/>
      <c r="B3" s="7"/>
      <c r="C3" s="7"/>
      <c r="D3" s="7"/>
      <c r="E3" s="56"/>
    </row>
    <row r="4" spans="1:5" ht="10.5" customHeight="1" x14ac:dyDescent="0.4">
      <c r="A4" s="2"/>
      <c r="B4" s="7"/>
      <c r="C4" s="7"/>
      <c r="D4" s="7"/>
      <c r="E4" s="7"/>
    </row>
    <row r="5" spans="1:5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5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5" ht="24.75" customHeight="1" x14ac:dyDescent="0.25">
      <c r="A7" s="9"/>
      <c r="B7" s="9" t="s">
        <v>1772</v>
      </c>
      <c r="C7" s="9">
        <f>C9+C12</f>
        <v>140815</v>
      </c>
      <c r="D7" s="9">
        <f t="shared" ref="D7:E7" si="0">D9+D12</f>
        <v>64396</v>
      </c>
      <c r="E7" s="9">
        <f t="shared" si="0"/>
        <v>76419</v>
      </c>
    </row>
    <row r="8" spans="1:5" ht="10.5" customHeight="1" x14ac:dyDescent="0.25">
      <c r="A8" s="10"/>
      <c r="B8" s="23"/>
      <c r="C8" s="23"/>
      <c r="D8" s="23"/>
      <c r="E8" s="23"/>
    </row>
    <row r="9" spans="1:5" ht="24.75" customHeight="1" x14ac:dyDescent="0.25">
      <c r="A9" s="10"/>
      <c r="B9" s="10" t="s">
        <v>1725</v>
      </c>
      <c r="C9" s="24">
        <f>SUM(C10:C11)</f>
        <v>4308</v>
      </c>
      <c r="D9" s="24">
        <f t="shared" ref="D9:E9" si="1">SUM(D10:D11)</f>
        <v>2001</v>
      </c>
      <c r="E9" s="24">
        <f t="shared" si="1"/>
        <v>2307</v>
      </c>
    </row>
    <row r="10" spans="1:5" ht="24.75" customHeight="1" x14ac:dyDescent="0.25">
      <c r="A10" s="11">
        <v>1</v>
      </c>
      <c r="B10" s="11" t="s">
        <v>564</v>
      </c>
      <c r="C10" s="11">
        <v>2521</v>
      </c>
      <c r="D10" s="11">
        <v>1175</v>
      </c>
      <c r="E10" s="11">
        <v>1346</v>
      </c>
    </row>
    <row r="11" spans="1:5" ht="24.75" customHeight="1" x14ac:dyDescent="0.25">
      <c r="A11" s="11">
        <v>2</v>
      </c>
      <c r="B11" s="11" t="s">
        <v>565</v>
      </c>
      <c r="C11" s="11">
        <v>1787</v>
      </c>
      <c r="D11" s="11">
        <v>826</v>
      </c>
      <c r="E11" s="11">
        <v>961</v>
      </c>
    </row>
    <row r="12" spans="1:5" ht="24.75" customHeight="1" x14ac:dyDescent="0.25">
      <c r="A12" s="11"/>
      <c r="B12" s="10" t="s">
        <v>1773</v>
      </c>
      <c r="C12" s="24">
        <f>SUM(C13:C68)</f>
        <v>136507</v>
      </c>
      <c r="D12" s="24">
        <f t="shared" ref="D12:E12" si="2">SUM(D13:D68)</f>
        <v>62395</v>
      </c>
      <c r="E12" s="24">
        <f t="shared" si="2"/>
        <v>74112</v>
      </c>
    </row>
    <row r="13" spans="1:5" ht="24.75" customHeight="1" x14ac:dyDescent="0.25">
      <c r="A13" s="11">
        <v>1</v>
      </c>
      <c r="B13" s="11" t="s">
        <v>566</v>
      </c>
      <c r="C13" s="11">
        <v>1940</v>
      </c>
      <c r="D13" s="11">
        <v>850</v>
      </c>
      <c r="E13" s="11">
        <v>1090</v>
      </c>
    </row>
    <row r="14" spans="1:5" ht="24.75" customHeight="1" x14ac:dyDescent="0.25">
      <c r="A14" s="11">
        <v>2</v>
      </c>
      <c r="B14" s="11" t="s">
        <v>567</v>
      </c>
      <c r="C14" s="11">
        <v>2194</v>
      </c>
      <c r="D14" s="11">
        <v>992</v>
      </c>
      <c r="E14" s="11">
        <v>1202</v>
      </c>
    </row>
    <row r="15" spans="1:5" ht="24.75" customHeight="1" x14ac:dyDescent="0.25">
      <c r="A15" s="11">
        <v>3</v>
      </c>
      <c r="B15" s="11" t="s">
        <v>568</v>
      </c>
      <c r="C15" s="11">
        <v>1336</v>
      </c>
      <c r="D15" s="11">
        <v>602</v>
      </c>
      <c r="E15" s="11">
        <v>734</v>
      </c>
    </row>
    <row r="16" spans="1:5" ht="24.75" customHeight="1" x14ac:dyDescent="0.25">
      <c r="A16" s="11">
        <v>4</v>
      </c>
      <c r="B16" s="11" t="s">
        <v>187</v>
      </c>
      <c r="C16" s="11">
        <v>278</v>
      </c>
      <c r="D16" s="11">
        <v>121</v>
      </c>
      <c r="E16" s="11">
        <v>157</v>
      </c>
    </row>
    <row r="17" spans="1:5" ht="24.75" customHeight="1" x14ac:dyDescent="0.25">
      <c r="A17" s="11">
        <v>5</v>
      </c>
      <c r="B17" s="11" t="s">
        <v>569</v>
      </c>
      <c r="C17" s="11">
        <v>1280</v>
      </c>
      <c r="D17" s="11">
        <v>621</v>
      </c>
      <c r="E17" s="11">
        <v>659</v>
      </c>
    </row>
    <row r="18" spans="1:5" ht="24.75" customHeight="1" x14ac:dyDescent="0.25">
      <c r="A18" s="11">
        <v>6</v>
      </c>
      <c r="B18" s="11" t="s">
        <v>570</v>
      </c>
      <c r="C18" s="11">
        <v>1258</v>
      </c>
      <c r="D18" s="11">
        <v>577</v>
      </c>
      <c r="E18" s="11">
        <v>681</v>
      </c>
    </row>
    <row r="19" spans="1:5" ht="24.75" customHeight="1" x14ac:dyDescent="0.25">
      <c r="A19" s="11">
        <v>7</v>
      </c>
      <c r="B19" s="11" t="s">
        <v>571</v>
      </c>
      <c r="C19" s="11">
        <v>1200</v>
      </c>
      <c r="D19" s="11">
        <v>530</v>
      </c>
      <c r="E19" s="11">
        <v>670</v>
      </c>
    </row>
    <row r="20" spans="1:5" ht="24.75" customHeight="1" x14ac:dyDescent="0.25">
      <c r="A20" s="11">
        <v>8</v>
      </c>
      <c r="B20" s="11" t="s">
        <v>572</v>
      </c>
      <c r="C20" s="11">
        <v>2944</v>
      </c>
      <c r="D20" s="11">
        <v>1384</v>
      </c>
      <c r="E20" s="11">
        <v>1560</v>
      </c>
    </row>
    <row r="21" spans="1:5" ht="24.75" customHeight="1" x14ac:dyDescent="0.25">
      <c r="A21" s="11">
        <v>9</v>
      </c>
      <c r="B21" s="11" t="s">
        <v>573</v>
      </c>
      <c r="C21" s="11">
        <v>1770</v>
      </c>
      <c r="D21" s="11">
        <v>823</v>
      </c>
      <c r="E21" s="11">
        <v>947</v>
      </c>
    </row>
    <row r="22" spans="1:5" ht="24.75" customHeight="1" x14ac:dyDescent="0.25">
      <c r="A22" s="11">
        <v>10</v>
      </c>
      <c r="B22" s="11" t="s">
        <v>574</v>
      </c>
      <c r="C22" s="11">
        <v>1066</v>
      </c>
      <c r="D22" s="11">
        <v>481</v>
      </c>
      <c r="E22" s="11">
        <v>585</v>
      </c>
    </row>
    <row r="23" spans="1:5" ht="24.75" customHeight="1" x14ac:dyDescent="0.25">
      <c r="A23" s="11">
        <v>11</v>
      </c>
      <c r="B23" s="11" t="s">
        <v>575</v>
      </c>
      <c r="C23" s="11">
        <v>1573</v>
      </c>
      <c r="D23" s="11">
        <v>714</v>
      </c>
      <c r="E23" s="11">
        <v>859</v>
      </c>
    </row>
    <row r="24" spans="1:5" ht="24.75" customHeight="1" x14ac:dyDescent="0.25">
      <c r="A24" s="11">
        <v>12</v>
      </c>
      <c r="B24" s="11" t="s">
        <v>135</v>
      </c>
      <c r="C24" s="11">
        <v>4613</v>
      </c>
      <c r="D24" s="11">
        <v>2098</v>
      </c>
      <c r="E24" s="11">
        <v>2515</v>
      </c>
    </row>
    <row r="25" spans="1:5" ht="24.75" customHeight="1" x14ac:dyDescent="0.25">
      <c r="A25" s="11">
        <v>13</v>
      </c>
      <c r="B25" s="11" t="s">
        <v>576</v>
      </c>
      <c r="C25" s="11">
        <v>3170</v>
      </c>
      <c r="D25" s="11">
        <v>1531</v>
      </c>
      <c r="E25" s="11">
        <v>1639</v>
      </c>
    </row>
    <row r="26" spans="1:5" ht="24.75" customHeight="1" x14ac:dyDescent="0.25">
      <c r="A26" s="11">
        <v>14</v>
      </c>
      <c r="B26" s="11" t="s">
        <v>577</v>
      </c>
      <c r="C26" s="11">
        <v>2200</v>
      </c>
      <c r="D26" s="11">
        <v>990</v>
      </c>
      <c r="E26" s="11">
        <v>1210</v>
      </c>
    </row>
    <row r="27" spans="1:5" ht="24.75" customHeight="1" x14ac:dyDescent="0.25">
      <c r="A27" s="11">
        <v>15</v>
      </c>
      <c r="B27" s="11" t="s">
        <v>578</v>
      </c>
      <c r="C27" s="11">
        <v>2950</v>
      </c>
      <c r="D27" s="11">
        <v>1253</v>
      </c>
      <c r="E27" s="11">
        <v>1697</v>
      </c>
    </row>
    <row r="28" spans="1:5" ht="24.75" customHeight="1" x14ac:dyDescent="0.25">
      <c r="A28" s="11">
        <v>16</v>
      </c>
      <c r="B28" s="11" t="s">
        <v>579</v>
      </c>
      <c r="C28" s="11">
        <v>1076</v>
      </c>
      <c r="D28" s="11">
        <v>446</v>
      </c>
      <c r="E28" s="11">
        <v>630</v>
      </c>
    </row>
    <row r="29" spans="1:5" ht="24.75" customHeight="1" x14ac:dyDescent="0.25">
      <c r="A29" s="11">
        <v>17</v>
      </c>
      <c r="B29" s="11" t="s">
        <v>580</v>
      </c>
      <c r="C29" s="11">
        <v>1223</v>
      </c>
      <c r="D29" s="11">
        <v>510</v>
      </c>
      <c r="E29" s="11">
        <v>713</v>
      </c>
    </row>
    <row r="30" spans="1:5" ht="24.75" customHeight="1" x14ac:dyDescent="0.25">
      <c r="A30" s="11">
        <v>18</v>
      </c>
      <c r="B30" s="11" t="s">
        <v>581</v>
      </c>
      <c r="C30" s="11">
        <v>9437</v>
      </c>
      <c r="D30" s="11">
        <v>4414</v>
      </c>
      <c r="E30" s="11">
        <v>5023</v>
      </c>
    </row>
    <row r="31" spans="1:5" ht="24.75" customHeight="1" x14ac:dyDescent="0.25">
      <c r="A31" s="11">
        <v>19</v>
      </c>
      <c r="B31" s="11" t="s">
        <v>81</v>
      </c>
      <c r="C31" s="11">
        <v>1347</v>
      </c>
      <c r="D31" s="11">
        <v>637</v>
      </c>
      <c r="E31" s="11">
        <v>710</v>
      </c>
    </row>
    <row r="32" spans="1:5" ht="24.75" customHeight="1" x14ac:dyDescent="0.25">
      <c r="A32" s="11">
        <v>20</v>
      </c>
      <c r="B32" s="11" t="s">
        <v>582</v>
      </c>
      <c r="C32" s="11">
        <v>2823</v>
      </c>
      <c r="D32" s="11">
        <v>1282</v>
      </c>
      <c r="E32" s="11">
        <v>1541</v>
      </c>
    </row>
    <row r="33" spans="1:5" ht="24.75" customHeight="1" x14ac:dyDescent="0.25">
      <c r="A33" s="11">
        <v>21</v>
      </c>
      <c r="B33" s="11" t="s">
        <v>583</v>
      </c>
      <c r="C33" s="11">
        <v>2086</v>
      </c>
      <c r="D33" s="11">
        <v>861</v>
      </c>
      <c r="E33" s="11">
        <v>1225</v>
      </c>
    </row>
    <row r="34" spans="1:5" ht="24.75" customHeight="1" x14ac:dyDescent="0.25">
      <c r="A34" s="11">
        <v>22</v>
      </c>
      <c r="B34" s="11" t="s">
        <v>584</v>
      </c>
      <c r="C34" s="11">
        <v>2073</v>
      </c>
      <c r="D34" s="11">
        <v>866</v>
      </c>
      <c r="E34" s="11">
        <v>1207</v>
      </c>
    </row>
    <row r="35" spans="1:5" ht="24.75" customHeight="1" x14ac:dyDescent="0.25">
      <c r="A35" s="11">
        <v>23</v>
      </c>
      <c r="B35" s="11" t="s">
        <v>585</v>
      </c>
      <c r="C35" s="11">
        <v>1304</v>
      </c>
      <c r="D35" s="11">
        <v>622</v>
      </c>
      <c r="E35" s="11">
        <v>682</v>
      </c>
    </row>
    <row r="36" spans="1:5" ht="24.75" customHeight="1" x14ac:dyDescent="0.25">
      <c r="A36" s="11">
        <v>24</v>
      </c>
      <c r="B36" s="11" t="s">
        <v>586</v>
      </c>
      <c r="C36" s="11">
        <v>1212</v>
      </c>
      <c r="D36" s="11">
        <v>534</v>
      </c>
      <c r="E36" s="11">
        <v>678</v>
      </c>
    </row>
    <row r="37" spans="1:5" ht="24.75" customHeight="1" x14ac:dyDescent="0.25">
      <c r="A37" s="11">
        <v>25</v>
      </c>
      <c r="B37" s="11" t="s">
        <v>587</v>
      </c>
      <c r="C37" s="11">
        <v>1806</v>
      </c>
      <c r="D37" s="11">
        <v>879</v>
      </c>
      <c r="E37" s="11">
        <v>927</v>
      </c>
    </row>
    <row r="38" spans="1:5" ht="24.75" customHeight="1" x14ac:dyDescent="0.25">
      <c r="A38" s="11">
        <v>26</v>
      </c>
      <c r="B38" s="11" t="s">
        <v>588</v>
      </c>
      <c r="C38" s="11">
        <v>1804</v>
      </c>
      <c r="D38" s="11">
        <v>761</v>
      </c>
      <c r="E38" s="11">
        <v>1043</v>
      </c>
    </row>
    <row r="39" spans="1:5" ht="24.75" customHeight="1" x14ac:dyDescent="0.25">
      <c r="A39" s="11">
        <v>27</v>
      </c>
      <c r="B39" s="11" t="s">
        <v>589</v>
      </c>
      <c r="C39" s="11">
        <v>2355</v>
      </c>
      <c r="D39" s="11">
        <v>995</v>
      </c>
      <c r="E39" s="11">
        <v>1360</v>
      </c>
    </row>
    <row r="40" spans="1:5" ht="24.75" customHeight="1" x14ac:dyDescent="0.25">
      <c r="A40" s="11">
        <v>28</v>
      </c>
      <c r="B40" s="11" t="s">
        <v>590</v>
      </c>
      <c r="C40" s="11">
        <v>5187</v>
      </c>
      <c r="D40" s="11">
        <v>2298</v>
      </c>
      <c r="E40" s="11">
        <v>2889</v>
      </c>
    </row>
    <row r="41" spans="1:5" ht="24.75" customHeight="1" x14ac:dyDescent="0.25">
      <c r="A41" s="11">
        <v>29</v>
      </c>
      <c r="B41" s="11" t="s">
        <v>591</v>
      </c>
      <c r="C41" s="11">
        <v>5752</v>
      </c>
      <c r="D41" s="11">
        <v>2667</v>
      </c>
      <c r="E41" s="11">
        <v>3085</v>
      </c>
    </row>
    <row r="42" spans="1:5" ht="24.75" customHeight="1" x14ac:dyDescent="0.25">
      <c r="A42" s="11">
        <v>30</v>
      </c>
      <c r="B42" s="11" t="s">
        <v>592</v>
      </c>
      <c r="C42" s="11">
        <v>860</v>
      </c>
      <c r="D42" s="11">
        <v>413</v>
      </c>
      <c r="E42" s="11">
        <v>447</v>
      </c>
    </row>
    <row r="43" spans="1:5" ht="24.75" customHeight="1" x14ac:dyDescent="0.25">
      <c r="A43" s="11">
        <v>31</v>
      </c>
      <c r="B43" s="11" t="s">
        <v>593</v>
      </c>
      <c r="C43" s="11">
        <v>3480</v>
      </c>
      <c r="D43" s="11">
        <v>1647</v>
      </c>
      <c r="E43" s="11">
        <v>1833</v>
      </c>
    </row>
    <row r="44" spans="1:5" ht="24.75" customHeight="1" x14ac:dyDescent="0.25">
      <c r="A44" s="11">
        <v>32</v>
      </c>
      <c r="B44" s="11" t="s">
        <v>594</v>
      </c>
      <c r="C44" s="11">
        <v>4627</v>
      </c>
      <c r="D44" s="11">
        <v>2089</v>
      </c>
      <c r="E44" s="11">
        <v>2538</v>
      </c>
    </row>
    <row r="45" spans="1:5" ht="24.75" customHeight="1" x14ac:dyDescent="0.25">
      <c r="A45" s="11">
        <v>33</v>
      </c>
      <c r="B45" s="11" t="s">
        <v>595</v>
      </c>
      <c r="C45" s="11">
        <v>4181</v>
      </c>
      <c r="D45" s="11">
        <v>2000</v>
      </c>
      <c r="E45" s="11">
        <v>2181</v>
      </c>
    </row>
    <row r="46" spans="1:5" ht="24.75" customHeight="1" x14ac:dyDescent="0.25">
      <c r="A46" s="11">
        <v>34</v>
      </c>
      <c r="B46" s="11" t="s">
        <v>596</v>
      </c>
      <c r="C46" s="11">
        <v>4134</v>
      </c>
      <c r="D46" s="11">
        <v>1909</v>
      </c>
      <c r="E46" s="11">
        <v>2225</v>
      </c>
    </row>
    <row r="47" spans="1:5" ht="24.75" customHeight="1" x14ac:dyDescent="0.25">
      <c r="A47" s="11">
        <v>35</v>
      </c>
      <c r="B47" s="11" t="s">
        <v>597</v>
      </c>
      <c r="C47" s="11">
        <v>5437</v>
      </c>
      <c r="D47" s="11">
        <v>2432</v>
      </c>
      <c r="E47" s="11">
        <v>3005</v>
      </c>
    </row>
    <row r="48" spans="1:5" ht="24.75" customHeight="1" x14ac:dyDescent="0.25">
      <c r="A48" s="11">
        <v>36</v>
      </c>
      <c r="B48" s="11" t="s">
        <v>598</v>
      </c>
      <c r="C48" s="11">
        <v>4229</v>
      </c>
      <c r="D48" s="11">
        <v>1974</v>
      </c>
      <c r="E48" s="11">
        <v>2255</v>
      </c>
    </row>
    <row r="49" spans="1:5" ht="24.75" customHeight="1" x14ac:dyDescent="0.25">
      <c r="A49" s="11">
        <v>37</v>
      </c>
      <c r="B49" s="11" t="s">
        <v>514</v>
      </c>
      <c r="C49" s="11">
        <v>459</v>
      </c>
      <c r="D49" s="11">
        <v>207</v>
      </c>
      <c r="E49" s="11">
        <v>252</v>
      </c>
    </row>
    <row r="50" spans="1:5" ht="24.75" customHeight="1" x14ac:dyDescent="0.25">
      <c r="A50" s="11">
        <v>38</v>
      </c>
      <c r="B50" s="11" t="s">
        <v>599</v>
      </c>
      <c r="C50" s="11">
        <v>2698</v>
      </c>
      <c r="D50" s="11">
        <v>1228</v>
      </c>
      <c r="E50" s="11">
        <v>1470</v>
      </c>
    </row>
    <row r="51" spans="1:5" ht="24.75" customHeight="1" x14ac:dyDescent="0.25">
      <c r="A51" s="11">
        <v>39</v>
      </c>
      <c r="B51" s="11" t="s">
        <v>600</v>
      </c>
      <c r="C51" s="11">
        <v>3329</v>
      </c>
      <c r="D51" s="11">
        <v>1588</v>
      </c>
      <c r="E51" s="11">
        <v>1741</v>
      </c>
    </row>
    <row r="52" spans="1:5" ht="24.75" customHeight="1" x14ac:dyDescent="0.25">
      <c r="A52" s="11">
        <v>40</v>
      </c>
      <c r="B52" s="11" t="s">
        <v>540</v>
      </c>
      <c r="C52" s="11">
        <v>1676</v>
      </c>
      <c r="D52" s="11">
        <v>800</v>
      </c>
      <c r="E52" s="11">
        <v>876</v>
      </c>
    </row>
    <row r="53" spans="1:5" ht="24.75" customHeight="1" x14ac:dyDescent="0.25">
      <c r="A53" s="11">
        <v>41</v>
      </c>
      <c r="B53" s="11" t="s">
        <v>601</v>
      </c>
      <c r="C53" s="11">
        <v>1117</v>
      </c>
      <c r="D53" s="11">
        <v>506</v>
      </c>
      <c r="E53" s="11">
        <v>611</v>
      </c>
    </row>
    <row r="54" spans="1:5" ht="24.75" customHeight="1" x14ac:dyDescent="0.25">
      <c r="A54" s="11">
        <v>42</v>
      </c>
      <c r="B54" s="11" t="s">
        <v>101</v>
      </c>
      <c r="C54" s="11">
        <v>1630</v>
      </c>
      <c r="D54" s="11">
        <v>752</v>
      </c>
      <c r="E54" s="11">
        <v>878</v>
      </c>
    </row>
    <row r="55" spans="1:5" ht="24.75" customHeight="1" x14ac:dyDescent="0.25">
      <c r="A55" s="11">
        <v>43</v>
      </c>
      <c r="B55" s="11" t="s">
        <v>602</v>
      </c>
      <c r="C55" s="11">
        <v>1037</v>
      </c>
      <c r="D55" s="11">
        <v>480</v>
      </c>
      <c r="E55" s="11">
        <v>557</v>
      </c>
    </row>
    <row r="56" spans="1:5" ht="24.75" customHeight="1" x14ac:dyDescent="0.25">
      <c r="A56" s="11">
        <v>44</v>
      </c>
      <c r="B56" s="11" t="s">
        <v>465</v>
      </c>
      <c r="C56" s="11">
        <v>567</v>
      </c>
      <c r="D56" s="11">
        <v>251</v>
      </c>
      <c r="E56" s="11">
        <v>316</v>
      </c>
    </row>
    <row r="57" spans="1:5" ht="24.75" customHeight="1" x14ac:dyDescent="0.25">
      <c r="A57" s="11">
        <v>45</v>
      </c>
      <c r="B57" s="11" t="s">
        <v>603</v>
      </c>
      <c r="C57" s="11">
        <v>2650</v>
      </c>
      <c r="D57" s="11">
        <v>1199</v>
      </c>
      <c r="E57" s="11">
        <v>1451</v>
      </c>
    </row>
    <row r="58" spans="1:5" ht="24.75" customHeight="1" x14ac:dyDescent="0.25">
      <c r="A58" s="11">
        <v>46</v>
      </c>
      <c r="B58" s="11" t="s">
        <v>286</v>
      </c>
      <c r="C58" s="11">
        <v>1049</v>
      </c>
      <c r="D58" s="11">
        <v>432</v>
      </c>
      <c r="E58" s="11">
        <v>617</v>
      </c>
    </row>
    <row r="59" spans="1:5" ht="24.75" customHeight="1" x14ac:dyDescent="0.25">
      <c r="A59" s="11">
        <v>47</v>
      </c>
      <c r="B59" s="11" t="s">
        <v>604</v>
      </c>
      <c r="C59" s="11">
        <v>1298</v>
      </c>
      <c r="D59" s="11">
        <v>560</v>
      </c>
      <c r="E59" s="11">
        <v>738</v>
      </c>
    </row>
    <row r="60" spans="1:5" ht="24.75" customHeight="1" x14ac:dyDescent="0.25">
      <c r="A60" s="11">
        <v>48</v>
      </c>
      <c r="B60" s="11" t="s">
        <v>421</v>
      </c>
      <c r="C60" s="11">
        <v>410</v>
      </c>
      <c r="D60" s="11">
        <v>192</v>
      </c>
      <c r="E60" s="11">
        <v>218</v>
      </c>
    </row>
    <row r="61" spans="1:5" ht="24.75" customHeight="1" x14ac:dyDescent="0.25">
      <c r="A61" s="11">
        <v>49</v>
      </c>
      <c r="B61" s="11" t="s">
        <v>605</v>
      </c>
      <c r="C61" s="11">
        <v>1480</v>
      </c>
      <c r="D61" s="11">
        <v>680</v>
      </c>
      <c r="E61" s="11">
        <v>800</v>
      </c>
    </row>
    <row r="62" spans="1:5" ht="24.75" customHeight="1" x14ac:dyDescent="0.25">
      <c r="A62" s="11">
        <v>50</v>
      </c>
      <c r="B62" s="11" t="s">
        <v>606</v>
      </c>
      <c r="C62" s="11">
        <v>3297</v>
      </c>
      <c r="D62" s="11">
        <v>1553</v>
      </c>
      <c r="E62" s="11">
        <v>1744</v>
      </c>
    </row>
    <row r="63" spans="1:5" ht="24.75" customHeight="1" x14ac:dyDescent="0.25">
      <c r="A63" s="11">
        <v>51</v>
      </c>
      <c r="B63" s="11" t="s">
        <v>607</v>
      </c>
      <c r="C63" s="11">
        <v>2987</v>
      </c>
      <c r="D63" s="11">
        <v>1428</v>
      </c>
      <c r="E63" s="11">
        <v>1559</v>
      </c>
    </row>
    <row r="64" spans="1:5" ht="24.75" customHeight="1" x14ac:dyDescent="0.25">
      <c r="A64" s="11">
        <v>52</v>
      </c>
      <c r="B64" s="11" t="s">
        <v>608</v>
      </c>
      <c r="C64" s="11">
        <v>6079</v>
      </c>
      <c r="D64" s="11">
        <v>2864</v>
      </c>
      <c r="E64" s="11">
        <v>3215</v>
      </c>
    </row>
    <row r="65" spans="1:5" ht="24.75" customHeight="1" x14ac:dyDescent="0.25">
      <c r="A65" s="11">
        <v>53</v>
      </c>
      <c r="B65" s="11" t="s">
        <v>609</v>
      </c>
      <c r="C65" s="11">
        <v>1751</v>
      </c>
      <c r="D65" s="11">
        <v>793</v>
      </c>
      <c r="E65" s="11">
        <v>958</v>
      </c>
    </row>
    <row r="66" spans="1:5" ht="24.75" customHeight="1" x14ac:dyDescent="0.25">
      <c r="A66" s="11">
        <v>54</v>
      </c>
      <c r="B66" s="11" t="s">
        <v>610</v>
      </c>
      <c r="C66" s="11">
        <v>2474</v>
      </c>
      <c r="D66" s="11">
        <v>1154</v>
      </c>
      <c r="E66" s="11">
        <v>1320</v>
      </c>
    </row>
    <row r="67" spans="1:5" ht="24.75" customHeight="1" x14ac:dyDescent="0.25">
      <c r="A67" s="11">
        <v>55</v>
      </c>
      <c r="B67" s="11" t="s">
        <v>611</v>
      </c>
      <c r="C67" s="11">
        <v>2636</v>
      </c>
      <c r="D67" s="11">
        <v>1131</v>
      </c>
      <c r="E67" s="11">
        <v>1505</v>
      </c>
    </row>
    <row r="68" spans="1:5" ht="24.75" customHeight="1" x14ac:dyDescent="0.25">
      <c r="A68" s="12">
        <v>56</v>
      </c>
      <c r="B68" s="12" t="s">
        <v>612</v>
      </c>
      <c r="C68" s="12">
        <v>1678</v>
      </c>
      <c r="D68" s="12">
        <v>794</v>
      </c>
      <c r="E68" s="12">
        <v>884</v>
      </c>
    </row>
    <row r="69" spans="1:5" ht="24.75" customHeight="1" x14ac:dyDescent="0.25">
      <c r="A69" s="18"/>
      <c r="B69" s="33"/>
      <c r="C69" s="33"/>
      <c r="D69" s="33"/>
      <c r="E69" s="33"/>
    </row>
    <row r="70" spans="1:5" ht="24.75" customHeight="1" x14ac:dyDescent="0.25">
      <c r="A70" s="20"/>
      <c r="B70" s="32"/>
      <c r="C70" s="32"/>
      <c r="D70" s="32"/>
      <c r="E70" s="32"/>
    </row>
    <row r="71" spans="1:5" ht="24.75" customHeight="1" x14ac:dyDescent="0.25">
      <c r="A71" s="20"/>
      <c r="B71" s="32"/>
      <c r="C71" s="32"/>
      <c r="D71" s="32"/>
      <c r="E71" s="32"/>
    </row>
    <row r="72" spans="1:5" ht="24.75" customHeight="1" x14ac:dyDescent="0.25">
      <c r="A72" s="20"/>
      <c r="B72" s="32"/>
      <c r="C72" s="32"/>
      <c r="D72" s="32"/>
      <c r="E72" s="32"/>
    </row>
    <row r="73" spans="1:5" ht="24.75" customHeight="1" x14ac:dyDescent="0.25">
      <c r="A73" s="20"/>
      <c r="B73" s="32"/>
      <c r="C73" s="32"/>
      <c r="D73" s="32"/>
      <c r="E73" s="32"/>
    </row>
    <row r="74" spans="1:5" ht="24.75" customHeight="1" x14ac:dyDescent="0.25">
      <c r="A74" s="20"/>
      <c r="B74" s="32"/>
      <c r="C74" s="32"/>
      <c r="D74" s="32"/>
      <c r="E74" s="32"/>
    </row>
    <row r="75" spans="1:5" ht="24.75" customHeight="1" x14ac:dyDescent="0.25">
      <c r="A75" s="20"/>
      <c r="B75" s="32"/>
      <c r="C75" s="32"/>
      <c r="D75" s="32"/>
      <c r="E75" s="32"/>
    </row>
    <row r="76" spans="1:5" ht="24.75" customHeight="1" x14ac:dyDescent="0.25">
      <c r="A76" s="20"/>
      <c r="B76" s="32"/>
      <c r="C76" s="32"/>
      <c r="D76" s="32"/>
      <c r="E76" s="32"/>
    </row>
    <row r="77" spans="1:5" ht="24.75" customHeight="1" x14ac:dyDescent="0.25">
      <c r="A77" s="20"/>
      <c r="B77" s="32"/>
      <c r="C77" s="32"/>
      <c r="D77" s="32"/>
      <c r="E77" s="32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hwebo District, Depayin Township"/>
  </hyperlinks>
  <pageMargins left="0.75" right="0.5" top="0.5" bottom="0.2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sqref="A1:E1"/>
    </sheetView>
  </sheetViews>
  <sheetFormatPr defaultRowHeight="24.75" customHeight="1" x14ac:dyDescent="0.25"/>
  <cols>
    <col min="1" max="1" width="6.28515625" style="3" customWidth="1"/>
    <col min="2" max="2" width="30.7109375" style="3" customWidth="1"/>
    <col min="3" max="5" width="15.7109375" style="3" customWidth="1"/>
    <col min="6" max="16384" width="9.140625" style="3"/>
  </cols>
  <sheetData>
    <row r="1" spans="1:5" ht="24.75" customHeight="1" x14ac:dyDescent="0.25">
      <c r="A1" s="67" t="s">
        <v>1735</v>
      </c>
      <c r="B1" s="67"/>
      <c r="C1" s="67"/>
      <c r="D1" s="67"/>
      <c r="E1" s="67"/>
    </row>
    <row r="2" spans="1:5" ht="24.75" customHeight="1" x14ac:dyDescent="0.4">
      <c r="A2" s="2"/>
      <c r="B2" s="7"/>
      <c r="C2" s="7"/>
      <c r="D2" s="7"/>
      <c r="E2" s="56" t="s">
        <v>1722</v>
      </c>
    </row>
    <row r="3" spans="1:5" ht="24.75" customHeight="1" x14ac:dyDescent="0.4">
      <c r="A3" s="2"/>
      <c r="B3" s="7"/>
      <c r="C3" s="7"/>
      <c r="D3" s="7"/>
      <c r="E3" s="56"/>
    </row>
    <row r="4" spans="1:5" ht="10.5" customHeight="1" x14ac:dyDescent="0.4">
      <c r="A4" s="2"/>
      <c r="B4" s="7"/>
      <c r="C4" s="7"/>
      <c r="D4" s="7"/>
      <c r="E4" s="7"/>
    </row>
    <row r="5" spans="1:5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5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5" ht="24.75" customHeight="1" x14ac:dyDescent="0.25">
      <c r="A7" s="9"/>
      <c r="B7" s="9" t="s">
        <v>1774</v>
      </c>
      <c r="C7" s="9">
        <f>C9+C14</f>
        <v>165110</v>
      </c>
      <c r="D7" s="9">
        <f t="shared" ref="D7:E7" si="0">D9+D14</f>
        <v>72475</v>
      </c>
      <c r="E7" s="9">
        <f t="shared" si="0"/>
        <v>92635</v>
      </c>
    </row>
    <row r="8" spans="1:5" ht="10.5" customHeight="1" x14ac:dyDescent="0.25">
      <c r="A8" s="10"/>
      <c r="B8" s="23"/>
      <c r="C8" s="23"/>
      <c r="D8" s="23"/>
      <c r="E8" s="23"/>
    </row>
    <row r="9" spans="1:5" ht="24.75" customHeight="1" x14ac:dyDescent="0.25">
      <c r="A9" s="10"/>
      <c r="B9" s="10" t="s">
        <v>1725</v>
      </c>
      <c r="C9" s="24">
        <f>SUM(C10:C13)</f>
        <v>14361</v>
      </c>
      <c r="D9" s="24">
        <f t="shared" ref="D9:E9" si="1">SUM(D10:D13)</f>
        <v>6472</v>
      </c>
      <c r="E9" s="24">
        <f t="shared" si="1"/>
        <v>7889</v>
      </c>
    </row>
    <row r="10" spans="1:5" ht="24.75" customHeight="1" x14ac:dyDescent="0.25">
      <c r="A10" s="11">
        <v>1</v>
      </c>
      <c r="B10" s="23" t="s">
        <v>613</v>
      </c>
      <c r="C10" s="23">
        <v>2197</v>
      </c>
      <c r="D10" s="23">
        <v>974</v>
      </c>
      <c r="E10" s="23">
        <v>1223</v>
      </c>
    </row>
    <row r="11" spans="1:5" ht="24.75" customHeight="1" x14ac:dyDescent="0.25">
      <c r="A11" s="11">
        <v>2</v>
      </c>
      <c r="B11" s="11" t="s">
        <v>614</v>
      </c>
      <c r="C11" s="23">
        <v>2954</v>
      </c>
      <c r="D11" s="23">
        <v>1332</v>
      </c>
      <c r="E11" s="23">
        <v>1622</v>
      </c>
    </row>
    <row r="12" spans="1:5" ht="24.75" customHeight="1" x14ac:dyDescent="0.25">
      <c r="A12" s="11">
        <v>3</v>
      </c>
      <c r="B12" s="11" t="s">
        <v>615</v>
      </c>
      <c r="C12" s="11">
        <v>3711</v>
      </c>
      <c r="D12" s="11">
        <v>1714</v>
      </c>
      <c r="E12" s="11">
        <v>1997</v>
      </c>
    </row>
    <row r="13" spans="1:5" ht="24.75" customHeight="1" x14ac:dyDescent="0.25">
      <c r="A13" s="11">
        <v>4</v>
      </c>
      <c r="B13" s="11" t="s">
        <v>616</v>
      </c>
      <c r="C13" s="11">
        <v>5499</v>
      </c>
      <c r="D13" s="11">
        <v>2452</v>
      </c>
      <c r="E13" s="11">
        <v>3047</v>
      </c>
    </row>
    <row r="14" spans="1:5" ht="24.75" customHeight="1" x14ac:dyDescent="0.25">
      <c r="A14" s="11"/>
      <c r="B14" s="10" t="s">
        <v>1773</v>
      </c>
      <c r="C14" s="24">
        <f>SUM(C15:C69)</f>
        <v>150749</v>
      </c>
      <c r="D14" s="24">
        <f t="shared" ref="D14:E14" si="2">SUM(D15:D69)</f>
        <v>66003</v>
      </c>
      <c r="E14" s="24">
        <f t="shared" si="2"/>
        <v>84746</v>
      </c>
    </row>
    <row r="15" spans="1:5" ht="24.75" customHeight="1" x14ac:dyDescent="0.25">
      <c r="A15" s="11">
        <v>1</v>
      </c>
      <c r="B15" s="11" t="s">
        <v>617</v>
      </c>
      <c r="C15" s="23">
        <v>508</v>
      </c>
      <c r="D15" s="23">
        <v>222</v>
      </c>
      <c r="E15" s="23">
        <v>286</v>
      </c>
    </row>
    <row r="16" spans="1:5" ht="24.75" customHeight="1" x14ac:dyDescent="0.25">
      <c r="A16" s="11">
        <v>2</v>
      </c>
      <c r="B16" s="11" t="s">
        <v>618</v>
      </c>
      <c r="C16" s="11">
        <v>3051</v>
      </c>
      <c r="D16" s="11">
        <v>1454</v>
      </c>
      <c r="E16" s="11">
        <v>1597</v>
      </c>
    </row>
    <row r="17" spans="1:5" ht="24.75" customHeight="1" x14ac:dyDescent="0.25">
      <c r="A17" s="11">
        <v>3</v>
      </c>
      <c r="B17" s="11" t="s">
        <v>619</v>
      </c>
      <c r="C17" s="11">
        <v>1363</v>
      </c>
      <c r="D17" s="11">
        <v>635</v>
      </c>
      <c r="E17" s="11">
        <v>728</v>
      </c>
    </row>
    <row r="18" spans="1:5" ht="24.75" customHeight="1" x14ac:dyDescent="0.25">
      <c r="A18" s="11">
        <v>4</v>
      </c>
      <c r="B18" s="11" t="s">
        <v>620</v>
      </c>
      <c r="C18" s="11">
        <v>2174</v>
      </c>
      <c r="D18" s="11">
        <v>1001</v>
      </c>
      <c r="E18" s="11">
        <v>1173</v>
      </c>
    </row>
    <row r="19" spans="1:5" ht="24.75" customHeight="1" x14ac:dyDescent="0.25">
      <c r="A19" s="11">
        <v>5</v>
      </c>
      <c r="B19" s="11" t="s">
        <v>621</v>
      </c>
      <c r="C19" s="11">
        <v>3406</v>
      </c>
      <c r="D19" s="11">
        <v>1652</v>
      </c>
      <c r="E19" s="11">
        <v>1754</v>
      </c>
    </row>
    <row r="20" spans="1:5" ht="24.75" customHeight="1" x14ac:dyDescent="0.25">
      <c r="A20" s="11">
        <v>6</v>
      </c>
      <c r="B20" s="11" t="s">
        <v>622</v>
      </c>
      <c r="C20" s="11">
        <v>888</v>
      </c>
      <c r="D20" s="11">
        <v>384</v>
      </c>
      <c r="E20" s="11">
        <v>504</v>
      </c>
    </row>
    <row r="21" spans="1:5" ht="24.75" customHeight="1" x14ac:dyDescent="0.25">
      <c r="A21" s="11">
        <v>7</v>
      </c>
      <c r="B21" s="11" t="s">
        <v>623</v>
      </c>
      <c r="C21" s="11">
        <v>2158</v>
      </c>
      <c r="D21" s="11">
        <v>972</v>
      </c>
      <c r="E21" s="11">
        <v>1186</v>
      </c>
    </row>
    <row r="22" spans="1:5" ht="24.75" customHeight="1" x14ac:dyDescent="0.25">
      <c r="A22" s="11">
        <v>8</v>
      </c>
      <c r="B22" s="11" t="s">
        <v>624</v>
      </c>
      <c r="C22" s="11">
        <v>2564</v>
      </c>
      <c r="D22" s="11">
        <v>1127</v>
      </c>
      <c r="E22" s="11">
        <v>1437</v>
      </c>
    </row>
    <row r="23" spans="1:5" ht="24.75" customHeight="1" x14ac:dyDescent="0.25">
      <c r="A23" s="11">
        <v>9</v>
      </c>
      <c r="B23" s="11" t="s">
        <v>625</v>
      </c>
      <c r="C23" s="11">
        <v>2096</v>
      </c>
      <c r="D23" s="11">
        <v>871</v>
      </c>
      <c r="E23" s="11">
        <v>1225</v>
      </c>
    </row>
    <row r="24" spans="1:5" ht="24.75" customHeight="1" x14ac:dyDescent="0.25">
      <c r="A24" s="11">
        <v>10</v>
      </c>
      <c r="B24" s="11" t="s">
        <v>626</v>
      </c>
      <c r="C24" s="11">
        <v>3635</v>
      </c>
      <c r="D24" s="11">
        <v>1612</v>
      </c>
      <c r="E24" s="11">
        <v>2023</v>
      </c>
    </row>
    <row r="25" spans="1:5" ht="24.75" customHeight="1" x14ac:dyDescent="0.25">
      <c r="A25" s="11">
        <v>11</v>
      </c>
      <c r="B25" s="11" t="s">
        <v>627</v>
      </c>
      <c r="C25" s="11">
        <v>2169</v>
      </c>
      <c r="D25" s="11">
        <v>944</v>
      </c>
      <c r="E25" s="11">
        <v>1225</v>
      </c>
    </row>
    <row r="26" spans="1:5" ht="24.75" customHeight="1" x14ac:dyDescent="0.25">
      <c r="A26" s="11">
        <v>12</v>
      </c>
      <c r="B26" s="11" t="s">
        <v>628</v>
      </c>
      <c r="C26" s="11">
        <v>2059</v>
      </c>
      <c r="D26" s="11">
        <v>872</v>
      </c>
      <c r="E26" s="11">
        <v>1187</v>
      </c>
    </row>
    <row r="27" spans="1:5" ht="24.75" customHeight="1" x14ac:dyDescent="0.25">
      <c r="A27" s="11">
        <v>13</v>
      </c>
      <c r="B27" s="11" t="s">
        <v>629</v>
      </c>
      <c r="C27" s="11">
        <v>2112</v>
      </c>
      <c r="D27" s="11">
        <v>918</v>
      </c>
      <c r="E27" s="11">
        <v>1194</v>
      </c>
    </row>
    <row r="28" spans="1:5" ht="24.75" customHeight="1" x14ac:dyDescent="0.25">
      <c r="A28" s="11">
        <v>14</v>
      </c>
      <c r="B28" s="11" t="s">
        <v>630</v>
      </c>
      <c r="C28" s="11">
        <v>1561</v>
      </c>
      <c r="D28" s="11">
        <v>610</v>
      </c>
      <c r="E28" s="11">
        <v>951</v>
      </c>
    </row>
    <row r="29" spans="1:5" ht="24.75" customHeight="1" x14ac:dyDescent="0.25">
      <c r="A29" s="11">
        <v>15</v>
      </c>
      <c r="B29" s="11" t="s">
        <v>631</v>
      </c>
      <c r="C29" s="11">
        <v>1732</v>
      </c>
      <c r="D29" s="11">
        <v>756</v>
      </c>
      <c r="E29" s="11">
        <v>976</v>
      </c>
    </row>
    <row r="30" spans="1:5" ht="24.75" customHeight="1" x14ac:dyDescent="0.25">
      <c r="A30" s="11">
        <v>16</v>
      </c>
      <c r="B30" s="11" t="s">
        <v>76</v>
      </c>
      <c r="C30" s="11">
        <v>751</v>
      </c>
      <c r="D30" s="11">
        <v>317</v>
      </c>
      <c r="E30" s="11">
        <v>434</v>
      </c>
    </row>
    <row r="31" spans="1:5" ht="24.75" customHeight="1" x14ac:dyDescent="0.25">
      <c r="A31" s="11">
        <v>17</v>
      </c>
      <c r="B31" s="11" t="s">
        <v>632</v>
      </c>
      <c r="C31" s="11">
        <v>1389</v>
      </c>
      <c r="D31" s="11">
        <v>530</v>
      </c>
      <c r="E31" s="11">
        <v>859</v>
      </c>
    </row>
    <row r="32" spans="1:5" ht="24.75" customHeight="1" x14ac:dyDescent="0.25">
      <c r="A32" s="11">
        <v>18</v>
      </c>
      <c r="B32" s="11" t="s">
        <v>633</v>
      </c>
      <c r="C32" s="11">
        <v>2471</v>
      </c>
      <c r="D32" s="11">
        <v>1066</v>
      </c>
      <c r="E32" s="11">
        <v>1405</v>
      </c>
    </row>
    <row r="33" spans="1:5" ht="24.75" customHeight="1" x14ac:dyDescent="0.25">
      <c r="A33" s="11">
        <v>19</v>
      </c>
      <c r="B33" s="11" t="s">
        <v>634</v>
      </c>
      <c r="C33" s="11">
        <v>9876</v>
      </c>
      <c r="D33" s="11">
        <v>4079</v>
      </c>
      <c r="E33" s="11">
        <v>5797</v>
      </c>
    </row>
    <row r="34" spans="1:5" ht="24.75" customHeight="1" x14ac:dyDescent="0.25">
      <c r="A34" s="11">
        <v>20</v>
      </c>
      <c r="B34" s="11" t="s">
        <v>635</v>
      </c>
      <c r="C34" s="11">
        <v>4808</v>
      </c>
      <c r="D34" s="11">
        <v>1877</v>
      </c>
      <c r="E34" s="11">
        <v>2931</v>
      </c>
    </row>
    <row r="35" spans="1:5" ht="24.75" customHeight="1" x14ac:dyDescent="0.25">
      <c r="A35" s="11">
        <v>21</v>
      </c>
      <c r="B35" s="11" t="s">
        <v>636</v>
      </c>
      <c r="C35" s="11">
        <v>3148</v>
      </c>
      <c r="D35" s="11">
        <v>1379</v>
      </c>
      <c r="E35" s="11">
        <v>1769</v>
      </c>
    </row>
    <row r="36" spans="1:5" ht="24.75" customHeight="1" x14ac:dyDescent="0.25">
      <c r="A36" s="11">
        <v>22</v>
      </c>
      <c r="B36" s="11" t="s">
        <v>637</v>
      </c>
      <c r="C36" s="11">
        <v>2278</v>
      </c>
      <c r="D36" s="11">
        <v>884</v>
      </c>
      <c r="E36" s="11">
        <v>1394</v>
      </c>
    </row>
    <row r="37" spans="1:5" ht="24.75" customHeight="1" x14ac:dyDescent="0.25">
      <c r="A37" s="11">
        <v>23</v>
      </c>
      <c r="B37" s="11" t="s">
        <v>638</v>
      </c>
      <c r="C37" s="11">
        <v>935</v>
      </c>
      <c r="D37" s="11">
        <v>460</v>
      </c>
      <c r="E37" s="11">
        <v>475</v>
      </c>
    </row>
    <row r="38" spans="1:5" ht="24.75" customHeight="1" x14ac:dyDescent="0.25">
      <c r="A38" s="11">
        <v>24</v>
      </c>
      <c r="B38" s="11" t="s">
        <v>639</v>
      </c>
      <c r="C38" s="11">
        <v>4744</v>
      </c>
      <c r="D38" s="11">
        <v>2182</v>
      </c>
      <c r="E38" s="11">
        <v>2562</v>
      </c>
    </row>
    <row r="39" spans="1:5" ht="24.75" customHeight="1" x14ac:dyDescent="0.25">
      <c r="A39" s="11">
        <v>25</v>
      </c>
      <c r="B39" s="11" t="s">
        <v>294</v>
      </c>
      <c r="C39" s="11">
        <v>1671</v>
      </c>
      <c r="D39" s="11">
        <v>812</v>
      </c>
      <c r="E39" s="11">
        <v>859</v>
      </c>
    </row>
    <row r="40" spans="1:5" ht="24.75" customHeight="1" x14ac:dyDescent="0.25">
      <c r="A40" s="11">
        <v>26</v>
      </c>
      <c r="B40" s="11" t="s">
        <v>640</v>
      </c>
      <c r="C40" s="11">
        <v>2095</v>
      </c>
      <c r="D40" s="11">
        <v>861</v>
      </c>
      <c r="E40" s="11">
        <v>1234</v>
      </c>
    </row>
    <row r="41" spans="1:5" ht="24.75" customHeight="1" x14ac:dyDescent="0.25">
      <c r="A41" s="11">
        <v>27</v>
      </c>
      <c r="B41" s="11" t="s">
        <v>641</v>
      </c>
      <c r="C41" s="11">
        <v>1423</v>
      </c>
      <c r="D41" s="11">
        <v>629</v>
      </c>
      <c r="E41" s="11">
        <v>794</v>
      </c>
    </row>
    <row r="42" spans="1:5" ht="24.75" customHeight="1" x14ac:dyDescent="0.25">
      <c r="A42" s="11">
        <v>28</v>
      </c>
      <c r="B42" s="11" t="s">
        <v>642</v>
      </c>
      <c r="C42" s="11">
        <v>4852</v>
      </c>
      <c r="D42" s="11">
        <v>2246</v>
      </c>
      <c r="E42" s="11">
        <v>2606</v>
      </c>
    </row>
    <row r="43" spans="1:5" ht="24.75" customHeight="1" x14ac:dyDescent="0.25">
      <c r="A43" s="11">
        <v>29</v>
      </c>
      <c r="B43" s="11" t="s">
        <v>643</v>
      </c>
      <c r="C43" s="11">
        <v>2644</v>
      </c>
      <c r="D43" s="11">
        <v>1052</v>
      </c>
      <c r="E43" s="11">
        <v>1592</v>
      </c>
    </row>
    <row r="44" spans="1:5" ht="24.75" customHeight="1" x14ac:dyDescent="0.25">
      <c r="A44" s="11">
        <v>30</v>
      </c>
      <c r="B44" s="11" t="s">
        <v>644</v>
      </c>
      <c r="C44" s="11">
        <v>2473</v>
      </c>
      <c r="D44" s="11">
        <v>1123</v>
      </c>
      <c r="E44" s="11">
        <v>1350</v>
      </c>
    </row>
    <row r="45" spans="1:5" ht="24.75" customHeight="1" x14ac:dyDescent="0.25">
      <c r="A45" s="11">
        <v>31</v>
      </c>
      <c r="B45" s="11" t="s">
        <v>645</v>
      </c>
      <c r="C45" s="11">
        <v>1004</v>
      </c>
      <c r="D45" s="11">
        <v>396</v>
      </c>
      <c r="E45" s="11">
        <v>608</v>
      </c>
    </row>
    <row r="46" spans="1:5" ht="24.75" customHeight="1" x14ac:dyDescent="0.25">
      <c r="A46" s="11">
        <v>32</v>
      </c>
      <c r="B46" s="11" t="s">
        <v>646</v>
      </c>
      <c r="C46" s="11">
        <v>1693</v>
      </c>
      <c r="D46" s="11">
        <v>808</v>
      </c>
      <c r="E46" s="11">
        <v>885</v>
      </c>
    </row>
    <row r="47" spans="1:5" ht="24.75" customHeight="1" x14ac:dyDescent="0.25">
      <c r="A47" s="11">
        <v>33</v>
      </c>
      <c r="B47" s="11" t="s">
        <v>493</v>
      </c>
      <c r="C47" s="11">
        <v>667</v>
      </c>
      <c r="D47" s="11">
        <v>301</v>
      </c>
      <c r="E47" s="11">
        <v>366</v>
      </c>
    </row>
    <row r="48" spans="1:5" ht="24.75" customHeight="1" x14ac:dyDescent="0.25">
      <c r="A48" s="11">
        <v>34</v>
      </c>
      <c r="B48" s="11" t="s">
        <v>647</v>
      </c>
      <c r="C48" s="11">
        <v>3055</v>
      </c>
      <c r="D48" s="11">
        <v>1363</v>
      </c>
      <c r="E48" s="11">
        <v>1692</v>
      </c>
    </row>
    <row r="49" spans="1:5" ht="24.75" customHeight="1" x14ac:dyDescent="0.25">
      <c r="A49" s="11">
        <v>35</v>
      </c>
      <c r="B49" s="11" t="s">
        <v>648</v>
      </c>
      <c r="C49" s="11">
        <v>1984</v>
      </c>
      <c r="D49" s="11">
        <v>900</v>
      </c>
      <c r="E49" s="11">
        <v>1084</v>
      </c>
    </row>
    <row r="50" spans="1:5" ht="24.75" customHeight="1" x14ac:dyDescent="0.25">
      <c r="A50" s="11">
        <v>36</v>
      </c>
      <c r="B50" s="11" t="s">
        <v>649</v>
      </c>
      <c r="C50" s="11">
        <v>1802</v>
      </c>
      <c r="D50" s="11">
        <v>791</v>
      </c>
      <c r="E50" s="11">
        <v>1011</v>
      </c>
    </row>
    <row r="51" spans="1:5" ht="24.75" customHeight="1" x14ac:dyDescent="0.25">
      <c r="A51" s="11">
        <v>37</v>
      </c>
      <c r="B51" s="11" t="s">
        <v>650</v>
      </c>
      <c r="C51" s="11">
        <v>1814</v>
      </c>
      <c r="D51" s="11">
        <v>736</v>
      </c>
      <c r="E51" s="11">
        <v>1078</v>
      </c>
    </row>
    <row r="52" spans="1:5" ht="24.75" customHeight="1" x14ac:dyDescent="0.25">
      <c r="A52" s="11">
        <v>38</v>
      </c>
      <c r="B52" s="11" t="s">
        <v>651</v>
      </c>
      <c r="C52" s="11">
        <v>3019</v>
      </c>
      <c r="D52" s="11">
        <v>1130</v>
      </c>
      <c r="E52" s="11">
        <v>1889</v>
      </c>
    </row>
    <row r="53" spans="1:5" ht="24.75" customHeight="1" x14ac:dyDescent="0.25">
      <c r="A53" s="11">
        <v>39</v>
      </c>
      <c r="B53" s="11" t="s">
        <v>652</v>
      </c>
      <c r="C53" s="11">
        <v>1357</v>
      </c>
      <c r="D53" s="11">
        <v>577</v>
      </c>
      <c r="E53" s="11">
        <v>780</v>
      </c>
    </row>
    <row r="54" spans="1:5" ht="24.75" customHeight="1" x14ac:dyDescent="0.25">
      <c r="A54" s="11">
        <v>40</v>
      </c>
      <c r="B54" s="11" t="s">
        <v>653</v>
      </c>
      <c r="C54" s="11">
        <v>5923</v>
      </c>
      <c r="D54" s="11">
        <v>2846</v>
      </c>
      <c r="E54" s="11">
        <v>3077</v>
      </c>
    </row>
    <row r="55" spans="1:5" ht="24.75" customHeight="1" x14ac:dyDescent="0.25">
      <c r="A55" s="11">
        <v>41</v>
      </c>
      <c r="B55" s="11" t="s">
        <v>654</v>
      </c>
      <c r="C55" s="11">
        <v>1576</v>
      </c>
      <c r="D55" s="11">
        <v>678</v>
      </c>
      <c r="E55" s="11">
        <v>898</v>
      </c>
    </row>
    <row r="56" spans="1:5" ht="24.75" customHeight="1" x14ac:dyDescent="0.25">
      <c r="A56" s="11">
        <v>42</v>
      </c>
      <c r="B56" s="11" t="s">
        <v>655</v>
      </c>
      <c r="C56" s="11">
        <v>3516</v>
      </c>
      <c r="D56" s="11">
        <v>1550</v>
      </c>
      <c r="E56" s="11">
        <v>1966</v>
      </c>
    </row>
    <row r="57" spans="1:5" ht="24.75" customHeight="1" x14ac:dyDescent="0.25">
      <c r="A57" s="11">
        <v>43</v>
      </c>
      <c r="B57" s="11" t="s">
        <v>656</v>
      </c>
      <c r="C57" s="11">
        <v>3394</v>
      </c>
      <c r="D57" s="11">
        <v>1436</v>
      </c>
      <c r="E57" s="11">
        <v>1958</v>
      </c>
    </row>
    <row r="58" spans="1:5" ht="24.75" customHeight="1" x14ac:dyDescent="0.25">
      <c r="A58" s="11">
        <v>44</v>
      </c>
      <c r="B58" s="11" t="s">
        <v>657</v>
      </c>
      <c r="C58" s="11">
        <v>4793</v>
      </c>
      <c r="D58" s="11">
        <v>2037</v>
      </c>
      <c r="E58" s="11">
        <v>2756</v>
      </c>
    </row>
    <row r="59" spans="1:5" ht="24.75" customHeight="1" x14ac:dyDescent="0.25">
      <c r="A59" s="11">
        <v>45</v>
      </c>
      <c r="B59" s="11" t="s">
        <v>658</v>
      </c>
      <c r="C59" s="11">
        <v>2407</v>
      </c>
      <c r="D59" s="11">
        <v>1008</v>
      </c>
      <c r="E59" s="11">
        <v>1399</v>
      </c>
    </row>
    <row r="60" spans="1:5" ht="24.75" customHeight="1" x14ac:dyDescent="0.25">
      <c r="A60" s="11">
        <v>46</v>
      </c>
      <c r="B60" s="11" t="s">
        <v>659</v>
      </c>
      <c r="C60" s="11">
        <v>2231</v>
      </c>
      <c r="D60" s="11">
        <v>980</v>
      </c>
      <c r="E60" s="11">
        <v>1251</v>
      </c>
    </row>
    <row r="61" spans="1:5" ht="24.75" customHeight="1" x14ac:dyDescent="0.25">
      <c r="A61" s="11">
        <v>47</v>
      </c>
      <c r="B61" s="11" t="s">
        <v>660</v>
      </c>
      <c r="C61" s="11">
        <v>2542</v>
      </c>
      <c r="D61" s="11">
        <v>1018</v>
      </c>
      <c r="E61" s="11">
        <v>1524</v>
      </c>
    </row>
    <row r="62" spans="1:5" ht="24.75" customHeight="1" x14ac:dyDescent="0.25">
      <c r="A62" s="11">
        <v>48</v>
      </c>
      <c r="B62" s="11" t="s">
        <v>661</v>
      </c>
      <c r="C62" s="11">
        <v>2869</v>
      </c>
      <c r="D62" s="11">
        <v>1275</v>
      </c>
      <c r="E62" s="11">
        <v>1594</v>
      </c>
    </row>
    <row r="63" spans="1:5" ht="24.75" customHeight="1" x14ac:dyDescent="0.25">
      <c r="A63" s="11">
        <v>49</v>
      </c>
      <c r="B63" s="11" t="s">
        <v>84</v>
      </c>
      <c r="C63" s="11">
        <v>1880</v>
      </c>
      <c r="D63" s="11">
        <v>739</v>
      </c>
      <c r="E63" s="11">
        <v>1141</v>
      </c>
    </row>
    <row r="64" spans="1:5" ht="24.75" customHeight="1" x14ac:dyDescent="0.25">
      <c r="A64" s="11">
        <v>50</v>
      </c>
      <c r="B64" s="11" t="s">
        <v>662</v>
      </c>
      <c r="C64" s="11">
        <v>2556</v>
      </c>
      <c r="D64" s="11">
        <v>970</v>
      </c>
      <c r="E64" s="11">
        <v>1586</v>
      </c>
    </row>
    <row r="65" spans="1:5" ht="24.75" customHeight="1" x14ac:dyDescent="0.25">
      <c r="A65" s="11">
        <v>51</v>
      </c>
      <c r="B65" s="11" t="s">
        <v>663</v>
      </c>
      <c r="C65" s="11">
        <v>2483</v>
      </c>
      <c r="D65" s="11">
        <v>1137</v>
      </c>
      <c r="E65" s="11">
        <v>1346</v>
      </c>
    </row>
    <row r="66" spans="1:5" ht="24.75" customHeight="1" x14ac:dyDescent="0.25">
      <c r="A66" s="11">
        <v>52</v>
      </c>
      <c r="B66" s="11" t="s">
        <v>664</v>
      </c>
      <c r="C66" s="11">
        <v>3572</v>
      </c>
      <c r="D66" s="11">
        <v>1779</v>
      </c>
      <c r="E66" s="11">
        <v>1793</v>
      </c>
    </row>
    <row r="67" spans="1:5" ht="24.75" customHeight="1" x14ac:dyDescent="0.25">
      <c r="A67" s="11">
        <v>53</v>
      </c>
      <c r="B67" s="11" t="s">
        <v>522</v>
      </c>
      <c r="C67" s="11">
        <v>3510</v>
      </c>
      <c r="D67" s="11">
        <v>1579</v>
      </c>
      <c r="E67" s="11">
        <v>1931</v>
      </c>
    </row>
    <row r="68" spans="1:5" ht="24.75" customHeight="1" x14ac:dyDescent="0.25">
      <c r="A68" s="11">
        <v>54</v>
      </c>
      <c r="B68" s="11" t="s">
        <v>665</v>
      </c>
      <c r="C68" s="11">
        <v>10399</v>
      </c>
      <c r="D68" s="11">
        <v>4785</v>
      </c>
      <c r="E68" s="11">
        <v>5614</v>
      </c>
    </row>
    <row r="69" spans="1:5" ht="24.75" customHeight="1" x14ac:dyDescent="0.25">
      <c r="A69" s="12">
        <v>55</v>
      </c>
      <c r="B69" s="12" t="s">
        <v>666</v>
      </c>
      <c r="C69" s="12">
        <v>3669</v>
      </c>
      <c r="D69" s="12">
        <v>1657</v>
      </c>
      <c r="E69" s="12">
        <v>2012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hwebo District, Tasei Township"/>
  </hyperlinks>
  <pageMargins left="0.75" right="0.5" top="0.5" bottom="0.2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selection sqref="A1:E1"/>
    </sheetView>
  </sheetViews>
  <sheetFormatPr defaultRowHeight="24.75" customHeight="1" x14ac:dyDescent="0.25"/>
  <cols>
    <col min="1" max="1" width="5.85546875" style="3" customWidth="1"/>
    <col min="2" max="2" width="36.7109375" style="3" customWidth="1"/>
    <col min="3" max="5" width="16" style="3" customWidth="1"/>
    <col min="6" max="16384" width="9.140625" style="3"/>
  </cols>
  <sheetData>
    <row r="1" spans="1:9" ht="24.75" customHeight="1" x14ac:dyDescent="0.25">
      <c r="A1" s="67" t="s">
        <v>1736</v>
      </c>
      <c r="B1" s="67"/>
      <c r="C1" s="67"/>
      <c r="D1" s="67"/>
      <c r="E1" s="67"/>
    </row>
    <row r="2" spans="1:9" ht="24.75" customHeight="1" x14ac:dyDescent="0.4">
      <c r="A2" s="2"/>
      <c r="B2" s="7"/>
      <c r="C2" s="7"/>
      <c r="D2" s="7"/>
      <c r="E2" s="56" t="s">
        <v>1722</v>
      </c>
    </row>
    <row r="3" spans="1:9" ht="24.75" customHeight="1" x14ac:dyDescent="0.4">
      <c r="A3" s="2"/>
      <c r="B3" s="7"/>
      <c r="C3" s="7"/>
      <c r="D3" s="7"/>
      <c r="E3" s="56"/>
    </row>
    <row r="4" spans="1:9" s="6" customFormat="1" ht="10.5" customHeight="1" x14ac:dyDescent="0.4">
      <c r="A4" s="2"/>
      <c r="B4" s="7"/>
      <c r="C4" s="7"/>
      <c r="D4" s="7"/>
      <c r="E4" s="7"/>
    </row>
    <row r="5" spans="1:9" s="6" customFormat="1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9" s="6" customFormat="1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9" s="6" customFormat="1" ht="24.75" customHeight="1" x14ac:dyDescent="0.25">
      <c r="A7" s="9"/>
      <c r="B7" s="9" t="s">
        <v>1772</v>
      </c>
      <c r="C7" s="22">
        <f>C9+C14</f>
        <v>31265</v>
      </c>
      <c r="D7" s="22">
        <f t="shared" ref="D7:E7" si="0">D9+D14</f>
        <v>14681</v>
      </c>
      <c r="E7" s="22">
        <f t="shared" si="0"/>
        <v>16584</v>
      </c>
      <c r="G7" s="14"/>
      <c r="H7" s="14"/>
      <c r="I7" s="14"/>
    </row>
    <row r="8" spans="1:9" s="6" customFormat="1" ht="10.5" customHeight="1" x14ac:dyDescent="0.25">
      <c r="A8" s="10"/>
      <c r="B8" s="23"/>
      <c r="C8" s="23"/>
      <c r="D8" s="23"/>
      <c r="E8" s="23"/>
      <c r="G8" s="14"/>
      <c r="H8" s="14"/>
      <c r="I8" s="14"/>
    </row>
    <row r="9" spans="1:9" s="6" customFormat="1" ht="24.75" customHeight="1" x14ac:dyDescent="0.25">
      <c r="A9" s="10"/>
      <c r="B9" s="10" t="s">
        <v>1725</v>
      </c>
      <c r="C9" s="24">
        <f>SUM(C10:C13)</f>
        <v>10703</v>
      </c>
      <c r="D9" s="24">
        <f t="shared" ref="D9:E9" si="1">SUM(D10:D13)</f>
        <v>5056</v>
      </c>
      <c r="E9" s="24">
        <f t="shared" si="1"/>
        <v>5647</v>
      </c>
      <c r="G9" s="14"/>
      <c r="H9" s="14"/>
      <c r="I9" s="14"/>
    </row>
    <row r="10" spans="1:9" s="6" customFormat="1" ht="24.75" customHeight="1" x14ac:dyDescent="0.25">
      <c r="A10" s="11">
        <v>1</v>
      </c>
      <c r="B10" s="23" t="s">
        <v>667</v>
      </c>
      <c r="C10" s="23">
        <v>2007</v>
      </c>
      <c r="D10" s="23">
        <v>970</v>
      </c>
      <c r="E10" s="23">
        <v>1037</v>
      </c>
      <c r="G10" s="14"/>
      <c r="H10" s="14"/>
      <c r="I10" s="14"/>
    </row>
    <row r="11" spans="1:9" s="6" customFormat="1" ht="24.75" customHeight="1" x14ac:dyDescent="0.25">
      <c r="A11" s="11">
        <v>2</v>
      </c>
      <c r="B11" s="11" t="s">
        <v>668</v>
      </c>
      <c r="C11" s="23">
        <v>3068</v>
      </c>
      <c r="D11" s="23">
        <v>1459</v>
      </c>
      <c r="E11" s="23">
        <v>1609</v>
      </c>
      <c r="G11" s="14"/>
      <c r="H11" s="14"/>
      <c r="I11" s="14"/>
    </row>
    <row r="12" spans="1:9" s="6" customFormat="1" ht="24.75" customHeight="1" x14ac:dyDescent="0.25">
      <c r="A12" s="11">
        <v>3</v>
      </c>
      <c r="B12" s="23" t="s">
        <v>669</v>
      </c>
      <c r="C12" s="23">
        <v>2638</v>
      </c>
      <c r="D12" s="23">
        <v>1235</v>
      </c>
      <c r="E12" s="23">
        <v>1403</v>
      </c>
      <c r="G12" s="14"/>
      <c r="H12" s="14"/>
      <c r="I12" s="14"/>
    </row>
    <row r="13" spans="1:9" s="6" customFormat="1" ht="24.75" customHeight="1" x14ac:dyDescent="0.25">
      <c r="A13" s="11">
        <v>4</v>
      </c>
      <c r="B13" s="11" t="s">
        <v>670</v>
      </c>
      <c r="C13" s="23">
        <v>2990</v>
      </c>
      <c r="D13" s="23">
        <v>1392</v>
      </c>
      <c r="E13" s="23">
        <v>1598</v>
      </c>
      <c r="G13" s="14"/>
      <c r="H13" s="14"/>
      <c r="I13" s="14"/>
    </row>
    <row r="14" spans="1:9" s="6" customFormat="1" ht="24.75" customHeight="1" x14ac:dyDescent="0.25">
      <c r="A14" s="11"/>
      <c r="B14" s="10" t="s">
        <v>1773</v>
      </c>
      <c r="C14" s="24">
        <f>SUM(C15:C24)</f>
        <v>20562</v>
      </c>
      <c r="D14" s="24">
        <f t="shared" ref="D14:E14" si="2">SUM(D15:D24)</f>
        <v>9625</v>
      </c>
      <c r="E14" s="24">
        <f t="shared" si="2"/>
        <v>10937</v>
      </c>
      <c r="G14" s="14"/>
      <c r="H14" s="14"/>
      <c r="I14" s="14"/>
    </row>
    <row r="15" spans="1:9" s="6" customFormat="1" ht="24.75" customHeight="1" x14ac:dyDescent="0.25">
      <c r="A15" s="11">
        <v>1</v>
      </c>
      <c r="B15" s="11" t="s">
        <v>671</v>
      </c>
      <c r="C15" s="11">
        <v>2326</v>
      </c>
      <c r="D15" s="11">
        <v>1156</v>
      </c>
      <c r="E15" s="11">
        <v>1170</v>
      </c>
      <c r="G15" s="14"/>
      <c r="H15" s="14"/>
      <c r="I15" s="14"/>
    </row>
    <row r="16" spans="1:9" s="6" customFormat="1" ht="24.75" customHeight="1" x14ac:dyDescent="0.25">
      <c r="A16" s="11">
        <v>2</v>
      </c>
      <c r="B16" s="11" t="s">
        <v>672</v>
      </c>
      <c r="C16" s="11">
        <v>822</v>
      </c>
      <c r="D16" s="11">
        <v>352</v>
      </c>
      <c r="E16" s="11">
        <v>470</v>
      </c>
      <c r="G16" s="14"/>
      <c r="H16" s="14"/>
      <c r="I16" s="14"/>
    </row>
    <row r="17" spans="1:9" s="6" customFormat="1" ht="24.75" customHeight="1" x14ac:dyDescent="0.25">
      <c r="A17" s="11">
        <v>3</v>
      </c>
      <c r="B17" s="11" t="s">
        <v>673</v>
      </c>
      <c r="C17" s="23">
        <v>1871</v>
      </c>
      <c r="D17" s="23">
        <v>885</v>
      </c>
      <c r="E17" s="23">
        <v>986</v>
      </c>
      <c r="G17" s="14"/>
      <c r="H17" s="14"/>
      <c r="I17" s="14"/>
    </row>
    <row r="18" spans="1:9" s="6" customFormat="1" ht="24.75" customHeight="1" x14ac:dyDescent="0.25">
      <c r="A18" s="11">
        <v>4</v>
      </c>
      <c r="B18" s="11" t="s">
        <v>674</v>
      </c>
      <c r="C18" s="23">
        <v>1518</v>
      </c>
      <c r="D18" s="23">
        <v>697</v>
      </c>
      <c r="E18" s="23">
        <v>821</v>
      </c>
      <c r="G18" s="14"/>
      <c r="H18" s="14"/>
      <c r="I18" s="14"/>
    </row>
    <row r="19" spans="1:9" s="6" customFormat="1" ht="24.75" customHeight="1" x14ac:dyDescent="0.25">
      <c r="A19" s="11">
        <v>5</v>
      </c>
      <c r="B19" s="11" t="s">
        <v>675</v>
      </c>
      <c r="C19" s="11">
        <v>1309</v>
      </c>
      <c r="D19" s="11">
        <v>618</v>
      </c>
      <c r="E19" s="11">
        <v>691</v>
      </c>
      <c r="G19" s="14"/>
      <c r="H19" s="14"/>
      <c r="I19" s="14"/>
    </row>
    <row r="20" spans="1:9" s="6" customFormat="1" ht="24.75" customHeight="1" x14ac:dyDescent="0.25">
      <c r="A20" s="11">
        <v>6</v>
      </c>
      <c r="B20" s="11" t="s">
        <v>676</v>
      </c>
      <c r="C20" s="11">
        <v>2148</v>
      </c>
      <c r="D20" s="11">
        <v>991</v>
      </c>
      <c r="E20" s="11">
        <v>1157</v>
      </c>
      <c r="G20" s="14"/>
      <c r="H20" s="14"/>
      <c r="I20" s="14"/>
    </row>
    <row r="21" spans="1:9" s="6" customFormat="1" ht="24.75" customHeight="1" x14ac:dyDescent="0.25">
      <c r="A21" s="11">
        <v>7</v>
      </c>
      <c r="B21" s="11" t="s">
        <v>677</v>
      </c>
      <c r="C21" s="11">
        <v>4532</v>
      </c>
      <c r="D21" s="11">
        <v>2099</v>
      </c>
      <c r="E21" s="11">
        <v>2433</v>
      </c>
      <c r="G21" s="14"/>
      <c r="H21" s="14"/>
      <c r="I21" s="14"/>
    </row>
    <row r="22" spans="1:9" s="6" customFormat="1" ht="24.75" customHeight="1" x14ac:dyDescent="0.25">
      <c r="A22" s="11">
        <v>8</v>
      </c>
      <c r="B22" s="11" t="s">
        <v>678</v>
      </c>
      <c r="C22" s="11">
        <v>1683</v>
      </c>
      <c r="D22" s="11">
        <v>783</v>
      </c>
      <c r="E22" s="11">
        <v>900</v>
      </c>
      <c r="G22" s="14"/>
      <c r="H22" s="14"/>
      <c r="I22" s="14"/>
    </row>
    <row r="23" spans="1:9" s="6" customFormat="1" ht="24.75" customHeight="1" x14ac:dyDescent="0.25">
      <c r="A23" s="11">
        <v>9</v>
      </c>
      <c r="B23" s="11" t="s">
        <v>679</v>
      </c>
      <c r="C23" s="11">
        <v>1552</v>
      </c>
      <c r="D23" s="11">
        <v>717</v>
      </c>
      <c r="E23" s="11">
        <v>835</v>
      </c>
      <c r="G23" s="14"/>
      <c r="H23" s="14"/>
      <c r="I23" s="14"/>
    </row>
    <row r="24" spans="1:9" s="6" customFormat="1" ht="24.75" customHeight="1" x14ac:dyDescent="0.25">
      <c r="A24" s="11">
        <v>10</v>
      </c>
      <c r="B24" s="12" t="s">
        <v>256</v>
      </c>
      <c r="C24" s="12">
        <v>2801</v>
      </c>
      <c r="D24" s="12">
        <v>1327</v>
      </c>
      <c r="E24" s="12">
        <v>1474</v>
      </c>
      <c r="G24" s="14"/>
      <c r="H24" s="14"/>
      <c r="I24" s="14"/>
    </row>
    <row r="25" spans="1:9" ht="24.75" customHeight="1" x14ac:dyDescent="0.25">
      <c r="A25" s="18"/>
      <c r="B25" s="18"/>
      <c r="C25" s="18"/>
      <c r="D25" s="18"/>
      <c r="E25" s="18"/>
    </row>
    <row r="26" spans="1:9" ht="24.75" customHeight="1" x14ac:dyDescent="0.25">
      <c r="A26" s="20"/>
      <c r="B26" s="20"/>
      <c r="C26" s="20"/>
      <c r="D26" s="20"/>
      <c r="E26" s="20"/>
    </row>
    <row r="27" spans="1:9" ht="24.75" customHeight="1" x14ac:dyDescent="0.25">
      <c r="A27" s="20"/>
      <c r="B27" s="20"/>
      <c r="C27" s="20"/>
      <c r="D27" s="20"/>
      <c r="E27" s="20"/>
    </row>
    <row r="28" spans="1:9" ht="24.75" customHeight="1" x14ac:dyDescent="0.25">
      <c r="A28" s="20"/>
      <c r="B28" s="20"/>
      <c r="C28" s="20"/>
      <c r="D28" s="20"/>
      <c r="E28" s="20"/>
    </row>
    <row r="29" spans="1:9" ht="24.75" customHeight="1" x14ac:dyDescent="0.25">
      <c r="A29" s="20"/>
      <c r="B29" s="20"/>
      <c r="C29" s="20"/>
      <c r="D29" s="20"/>
      <c r="E29" s="20"/>
    </row>
    <row r="30" spans="1:9" ht="24.75" customHeight="1" x14ac:dyDescent="0.25">
      <c r="A30" s="20"/>
      <c r="B30" s="20"/>
      <c r="C30" s="20"/>
      <c r="D30" s="20"/>
      <c r="E30" s="20"/>
    </row>
    <row r="31" spans="1:9" ht="24.75" customHeight="1" x14ac:dyDescent="0.25">
      <c r="A31" s="20"/>
      <c r="B31" s="20"/>
      <c r="C31" s="20"/>
      <c r="D31" s="20"/>
      <c r="E31" s="20"/>
    </row>
    <row r="32" spans="1:9" ht="24.75" customHeight="1" x14ac:dyDescent="0.25">
      <c r="A32" s="20"/>
      <c r="B32" s="20"/>
      <c r="C32" s="20"/>
      <c r="D32" s="20"/>
      <c r="E32" s="20"/>
    </row>
    <row r="33" spans="1:5" ht="24.75" customHeight="1" x14ac:dyDescent="0.25">
      <c r="A33" s="20"/>
      <c r="B33" s="20"/>
      <c r="C33" s="20"/>
      <c r="D33" s="20"/>
      <c r="E33" s="20"/>
    </row>
    <row r="34" spans="1:5" ht="24.75" customHeight="1" x14ac:dyDescent="0.25">
      <c r="A34" s="20"/>
      <c r="B34" s="20"/>
      <c r="C34" s="20"/>
      <c r="D34" s="20"/>
      <c r="E34" s="20"/>
    </row>
    <row r="35" spans="1:5" ht="24.75" customHeight="1" x14ac:dyDescent="0.25">
      <c r="A35" s="20"/>
      <c r="B35" s="20"/>
      <c r="C35" s="20"/>
      <c r="D35" s="20"/>
      <c r="E35" s="20"/>
    </row>
    <row r="36" spans="1:5" ht="24.75" customHeight="1" x14ac:dyDescent="0.25">
      <c r="A36" s="20"/>
      <c r="B36" s="20"/>
      <c r="C36" s="20"/>
      <c r="D36" s="20"/>
      <c r="E36" s="20"/>
    </row>
    <row r="37" spans="1:5" ht="24.75" customHeight="1" x14ac:dyDescent="0.25">
      <c r="A37" s="20"/>
      <c r="B37" s="20"/>
      <c r="C37" s="20"/>
      <c r="D37" s="20"/>
      <c r="E37" s="20"/>
    </row>
    <row r="38" spans="1:5" ht="24.75" customHeight="1" x14ac:dyDescent="0.25">
      <c r="A38" s="20"/>
      <c r="B38" s="20"/>
      <c r="C38" s="20"/>
      <c r="D38" s="20"/>
      <c r="E38" s="20"/>
    </row>
    <row r="39" spans="1:5" ht="24.75" customHeight="1" x14ac:dyDescent="0.25">
      <c r="A39" s="20"/>
      <c r="B39" s="20"/>
      <c r="C39" s="20"/>
      <c r="D39" s="20"/>
      <c r="E39" s="20"/>
    </row>
    <row r="40" spans="1:5" ht="24.75" customHeight="1" x14ac:dyDescent="0.25">
      <c r="A40" s="20"/>
      <c r="B40" s="20"/>
      <c r="C40" s="20"/>
      <c r="D40" s="20"/>
      <c r="E40" s="20"/>
    </row>
    <row r="41" spans="1:5" ht="24.75" customHeight="1" x14ac:dyDescent="0.25">
      <c r="A41" s="20"/>
      <c r="B41" s="20"/>
      <c r="C41" s="20"/>
      <c r="D41" s="20"/>
      <c r="E41" s="20"/>
    </row>
    <row r="42" spans="1:5" ht="24.75" customHeight="1" x14ac:dyDescent="0.25">
      <c r="A42" s="20"/>
      <c r="B42" s="20"/>
      <c r="C42" s="20"/>
      <c r="D42" s="20"/>
      <c r="E42" s="20"/>
    </row>
    <row r="43" spans="1:5" ht="24.75" customHeight="1" x14ac:dyDescent="0.25">
      <c r="A43" s="20"/>
      <c r="B43" s="20"/>
      <c r="C43" s="20"/>
      <c r="D43" s="20"/>
      <c r="E43" s="20"/>
    </row>
    <row r="44" spans="1:5" ht="24.75" customHeight="1" x14ac:dyDescent="0.25">
      <c r="A44" s="20"/>
      <c r="B44" s="20"/>
      <c r="C44" s="20"/>
      <c r="D44" s="20"/>
      <c r="E44" s="20"/>
    </row>
    <row r="45" spans="1:5" ht="24.75" customHeight="1" x14ac:dyDescent="0.25">
      <c r="A45" s="20"/>
      <c r="B45" s="20"/>
      <c r="C45" s="20"/>
      <c r="D45" s="20"/>
      <c r="E45" s="20"/>
    </row>
    <row r="46" spans="1:5" ht="24.75" customHeight="1" x14ac:dyDescent="0.25">
      <c r="A46" s="20"/>
      <c r="B46" s="20"/>
      <c r="C46" s="20"/>
      <c r="D46" s="20"/>
      <c r="E46" s="20"/>
    </row>
    <row r="47" spans="1:5" ht="24.75" customHeight="1" x14ac:dyDescent="0.25">
      <c r="A47" s="20"/>
      <c r="B47" s="20"/>
      <c r="C47" s="20"/>
      <c r="D47" s="20"/>
      <c r="E47" s="20"/>
    </row>
    <row r="48" spans="1:5" ht="24.75" customHeight="1" x14ac:dyDescent="0.25">
      <c r="A48" s="20"/>
      <c r="B48" s="20"/>
      <c r="C48" s="20"/>
      <c r="D48" s="20"/>
      <c r="E48" s="20"/>
    </row>
    <row r="49" spans="1:5" ht="24.75" customHeight="1" x14ac:dyDescent="0.25">
      <c r="A49" s="20"/>
      <c r="B49" s="20"/>
      <c r="C49" s="20"/>
      <c r="D49" s="20"/>
      <c r="E49" s="20"/>
    </row>
    <row r="50" spans="1:5" ht="24.75" customHeight="1" x14ac:dyDescent="0.25">
      <c r="A50" s="20"/>
      <c r="B50" s="20"/>
      <c r="C50" s="20"/>
      <c r="D50" s="20"/>
      <c r="E50" s="20"/>
    </row>
    <row r="51" spans="1:5" ht="24.75" customHeight="1" x14ac:dyDescent="0.25">
      <c r="A51" s="20"/>
      <c r="B51" s="20"/>
      <c r="C51" s="20"/>
      <c r="D51" s="20"/>
      <c r="E51" s="20"/>
    </row>
    <row r="52" spans="1:5" ht="24.75" customHeight="1" x14ac:dyDescent="0.25">
      <c r="A52" s="20"/>
      <c r="B52" s="20"/>
      <c r="C52" s="20"/>
      <c r="D52" s="20"/>
      <c r="E52" s="20"/>
    </row>
    <row r="53" spans="1:5" ht="24.75" customHeight="1" x14ac:dyDescent="0.25">
      <c r="A53" s="20"/>
      <c r="B53" s="20"/>
      <c r="C53" s="20"/>
      <c r="D53" s="20"/>
      <c r="E53" s="20"/>
    </row>
    <row r="54" spans="1:5" ht="24.75" customHeight="1" x14ac:dyDescent="0.25">
      <c r="A54" s="20"/>
      <c r="B54" s="20"/>
      <c r="C54" s="20"/>
      <c r="D54" s="20"/>
      <c r="E54" s="20"/>
    </row>
    <row r="55" spans="1:5" ht="24.75" customHeight="1" x14ac:dyDescent="0.25">
      <c r="A55" s="20"/>
      <c r="B55" s="20"/>
      <c r="C55" s="20"/>
      <c r="D55" s="20"/>
      <c r="E55" s="20"/>
    </row>
    <row r="56" spans="1:5" ht="24.75" customHeight="1" x14ac:dyDescent="0.25">
      <c r="A56" s="20"/>
      <c r="B56" s="20"/>
      <c r="C56" s="20"/>
      <c r="D56" s="20"/>
      <c r="E56" s="20"/>
    </row>
    <row r="57" spans="1:5" ht="24.75" customHeight="1" x14ac:dyDescent="0.25">
      <c r="A57" s="20"/>
      <c r="B57" s="20"/>
      <c r="C57" s="20"/>
      <c r="D57" s="20"/>
      <c r="E57" s="20"/>
    </row>
    <row r="58" spans="1:5" ht="24.75" customHeight="1" x14ac:dyDescent="0.25">
      <c r="A58" s="20"/>
      <c r="B58" s="20"/>
      <c r="C58" s="20"/>
      <c r="D58" s="20"/>
      <c r="E58" s="20"/>
    </row>
    <row r="59" spans="1:5" ht="24.75" customHeight="1" x14ac:dyDescent="0.25">
      <c r="A59" s="20"/>
      <c r="B59" s="20"/>
      <c r="C59" s="20"/>
      <c r="D59" s="20"/>
      <c r="E59" s="20"/>
    </row>
    <row r="60" spans="1:5" ht="24.75" customHeight="1" x14ac:dyDescent="0.25">
      <c r="A60" s="20"/>
      <c r="B60" s="20"/>
      <c r="C60" s="20"/>
      <c r="D60" s="20"/>
      <c r="E60" s="20"/>
    </row>
    <row r="61" spans="1:5" ht="24.75" customHeight="1" x14ac:dyDescent="0.25">
      <c r="A61" s="20"/>
      <c r="B61" s="20"/>
      <c r="C61" s="20"/>
      <c r="D61" s="20"/>
      <c r="E61" s="20"/>
    </row>
    <row r="62" spans="1:5" ht="24.75" customHeight="1" x14ac:dyDescent="0.25">
      <c r="A62" s="20"/>
      <c r="B62" s="20"/>
      <c r="C62" s="20"/>
      <c r="D62" s="20"/>
      <c r="E62" s="20"/>
    </row>
    <row r="63" spans="1:5" ht="24.75" customHeight="1" x14ac:dyDescent="0.25">
      <c r="A63" s="20"/>
      <c r="B63" s="20"/>
      <c r="C63" s="20"/>
      <c r="D63" s="20"/>
      <c r="E63" s="20"/>
    </row>
    <row r="64" spans="1:5" ht="24.75" customHeight="1" x14ac:dyDescent="0.25">
      <c r="A64" s="20"/>
      <c r="B64" s="20"/>
      <c r="C64" s="20"/>
      <c r="D64" s="20"/>
      <c r="E64" s="20"/>
    </row>
    <row r="65" spans="1:5" ht="24.75" customHeight="1" x14ac:dyDescent="0.25">
      <c r="A65" s="20"/>
      <c r="B65" s="20"/>
      <c r="C65" s="20"/>
      <c r="D65" s="20"/>
      <c r="E65" s="20"/>
    </row>
    <row r="66" spans="1:5" ht="24.75" customHeight="1" x14ac:dyDescent="0.25">
      <c r="A66" s="20"/>
      <c r="B66" s="20"/>
      <c r="C66" s="20"/>
      <c r="D66" s="20"/>
      <c r="E66" s="20"/>
    </row>
    <row r="67" spans="1:5" ht="24.75" customHeight="1" x14ac:dyDescent="0.25">
      <c r="A67" s="20"/>
      <c r="B67" s="20"/>
      <c r="C67" s="20"/>
      <c r="D67" s="20"/>
      <c r="E67" s="20"/>
    </row>
    <row r="68" spans="1:5" ht="24.75" customHeight="1" x14ac:dyDescent="0.25">
      <c r="A68" s="20"/>
      <c r="B68" s="20"/>
      <c r="C68" s="20"/>
      <c r="D68" s="20"/>
      <c r="E68" s="20"/>
    </row>
    <row r="69" spans="1:5" ht="24.75" customHeight="1" x14ac:dyDescent="0.25">
      <c r="A69" s="20"/>
      <c r="B69" s="20"/>
      <c r="C69" s="20"/>
      <c r="D69" s="20"/>
      <c r="E69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Shwebo District,  Kyaukmyaung Sub -Township"/>
  </hyperlinks>
  <pageMargins left="0.75" right="0.5" top="0.5" bottom="0.2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93"/>
  <sheetViews>
    <sheetView workbookViewId="0">
      <selection sqref="A1:E1"/>
    </sheetView>
  </sheetViews>
  <sheetFormatPr defaultRowHeight="24.75" customHeight="1" x14ac:dyDescent="0.25"/>
  <cols>
    <col min="1" max="1" width="5.5703125" style="3" customWidth="1"/>
    <col min="2" max="2" width="34.42578125" style="3" customWidth="1"/>
    <col min="3" max="5" width="15.7109375" style="3" customWidth="1"/>
    <col min="6" max="16384" width="9.140625" style="3"/>
  </cols>
  <sheetData>
    <row r="1" spans="1:9" ht="24.75" customHeight="1" x14ac:dyDescent="0.25">
      <c r="A1" s="67" t="s">
        <v>1737</v>
      </c>
      <c r="B1" s="67"/>
      <c r="C1" s="67"/>
      <c r="D1" s="67"/>
      <c r="E1" s="67"/>
    </row>
    <row r="2" spans="1:9" ht="24.75" customHeight="1" x14ac:dyDescent="0.4">
      <c r="A2" s="2"/>
      <c r="B2" s="7"/>
      <c r="C2" s="7"/>
      <c r="D2" s="7"/>
      <c r="E2" s="56" t="s">
        <v>1722</v>
      </c>
    </row>
    <row r="3" spans="1:9" ht="21.75" x14ac:dyDescent="0.4">
      <c r="A3" s="2"/>
      <c r="B3" s="7"/>
      <c r="C3" s="7"/>
      <c r="D3" s="7"/>
      <c r="E3" s="56"/>
    </row>
    <row r="4" spans="1:9" ht="10.5" customHeight="1" x14ac:dyDescent="0.4">
      <c r="A4" s="2"/>
      <c r="B4" s="7"/>
      <c r="C4" s="7"/>
      <c r="D4" s="7"/>
      <c r="E4" s="7"/>
    </row>
    <row r="5" spans="1:9" ht="21.9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9" ht="21.9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9" ht="21.95" customHeight="1" x14ac:dyDescent="0.25">
      <c r="A7" s="9"/>
      <c r="B7" s="9" t="s">
        <v>1772</v>
      </c>
      <c r="C7" s="22">
        <f>C9+C36</f>
        <v>372095</v>
      </c>
      <c r="D7" s="22">
        <f t="shared" ref="D7:E7" si="0">D9+D36</f>
        <v>171951</v>
      </c>
      <c r="E7" s="22">
        <f t="shared" si="0"/>
        <v>200144</v>
      </c>
      <c r="G7" s="15"/>
      <c r="H7" s="15"/>
      <c r="I7" s="15"/>
    </row>
    <row r="8" spans="1:9" ht="10.5" customHeight="1" x14ac:dyDescent="0.25">
      <c r="A8" s="10"/>
      <c r="B8" s="23"/>
      <c r="C8" s="23"/>
      <c r="D8" s="23"/>
      <c r="E8" s="23"/>
      <c r="G8" s="15"/>
      <c r="H8" s="15"/>
      <c r="I8" s="15"/>
    </row>
    <row r="9" spans="1:9" ht="24" customHeight="1" x14ac:dyDescent="0.25">
      <c r="A9" s="10"/>
      <c r="B9" s="10" t="s">
        <v>1725</v>
      </c>
      <c r="C9" s="24">
        <f>SUM(C10:C35)</f>
        <v>207489</v>
      </c>
      <c r="D9" s="24">
        <f t="shared" ref="D9:E9" si="1">SUM(D10:D35)</f>
        <v>97076</v>
      </c>
      <c r="E9" s="24">
        <f t="shared" si="1"/>
        <v>110413</v>
      </c>
      <c r="G9" s="15"/>
      <c r="H9" s="15"/>
      <c r="I9" s="15"/>
    </row>
    <row r="10" spans="1:9" ht="21.95" customHeight="1" x14ac:dyDescent="0.25">
      <c r="A10" s="11">
        <v>1</v>
      </c>
      <c r="B10" s="11" t="s">
        <v>680</v>
      </c>
      <c r="C10" s="11">
        <v>7710</v>
      </c>
      <c r="D10" s="11">
        <v>3508</v>
      </c>
      <c r="E10" s="11">
        <v>4202</v>
      </c>
      <c r="G10" s="15"/>
      <c r="H10" s="15"/>
      <c r="I10" s="15"/>
    </row>
    <row r="11" spans="1:9" ht="21.95" customHeight="1" x14ac:dyDescent="0.25">
      <c r="A11" s="11">
        <v>2</v>
      </c>
      <c r="B11" s="11" t="s">
        <v>275</v>
      </c>
      <c r="C11" s="11">
        <v>9868</v>
      </c>
      <c r="D11" s="11">
        <v>4729</v>
      </c>
      <c r="E11" s="11">
        <v>5139</v>
      </c>
      <c r="G11" s="15"/>
      <c r="H11" s="15"/>
      <c r="I11" s="15"/>
    </row>
    <row r="12" spans="1:9" ht="21.95" customHeight="1" x14ac:dyDescent="0.25">
      <c r="A12" s="11">
        <v>3</v>
      </c>
      <c r="B12" s="11" t="s">
        <v>681</v>
      </c>
      <c r="C12" s="11">
        <v>5881</v>
      </c>
      <c r="D12" s="11">
        <v>2467</v>
      </c>
      <c r="E12" s="11">
        <v>3414</v>
      </c>
      <c r="G12" s="15"/>
      <c r="H12" s="15"/>
      <c r="I12" s="15"/>
    </row>
    <row r="13" spans="1:9" ht="21.95" customHeight="1" x14ac:dyDescent="0.25">
      <c r="A13" s="11">
        <v>4</v>
      </c>
      <c r="B13" s="11" t="s">
        <v>682</v>
      </c>
      <c r="C13" s="11">
        <v>3834</v>
      </c>
      <c r="D13" s="11">
        <v>1658</v>
      </c>
      <c r="E13" s="11">
        <v>2176</v>
      </c>
      <c r="G13" s="15"/>
      <c r="H13" s="15"/>
      <c r="I13" s="15"/>
    </row>
    <row r="14" spans="1:9" ht="21.95" customHeight="1" x14ac:dyDescent="0.25">
      <c r="A14" s="11">
        <v>5</v>
      </c>
      <c r="B14" s="11" t="s">
        <v>683</v>
      </c>
      <c r="C14" s="11">
        <v>5887</v>
      </c>
      <c r="D14" s="11">
        <v>3049</v>
      </c>
      <c r="E14" s="11">
        <v>2838</v>
      </c>
      <c r="G14" s="15"/>
      <c r="H14" s="15"/>
      <c r="I14" s="15"/>
    </row>
    <row r="15" spans="1:9" ht="21.95" customHeight="1" x14ac:dyDescent="0.25">
      <c r="A15" s="11">
        <v>6</v>
      </c>
      <c r="B15" s="11" t="s">
        <v>684</v>
      </c>
      <c r="C15" s="11">
        <v>6743</v>
      </c>
      <c r="D15" s="11">
        <v>2960</v>
      </c>
      <c r="E15" s="11">
        <v>3783</v>
      </c>
      <c r="G15" s="15"/>
      <c r="H15" s="15"/>
      <c r="I15" s="15"/>
    </row>
    <row r="16" spans="1:9" ht="21.95" customHeight="1" x14ac:dyDescent="0.25">
      <c r="A16" s="11">
        <v>7</v>
      </c>
      <c r="B16" s="11" t="s">
        <v>685</v>
      </c>
      <c r="C16" s="11">
        <v>4813</v>
      </c>
      <c r="D16" s="11">
        <v>2243</v>
      </c>
      <c r="E16" s="11">
        <v>2570</v>
      </c>
      <c r="G16" s="15"/>
      <c r="H16" s="15"/>
      <c r="I16" s="15"/>
    </row>
    <row r="17" spans="1:9" ht="21.95" customHeight="1" x14ac:dyDescent="0.25">
      <c r="A17" s="11">
        <v>8</v>
      </c>
      <c r="B17" s="11" t="s">
        <v>686</v>
      </c>
      <c r="C17" s="11">
        <v>4422</v>
      </c>
      <c r="D17" s="11">
        <v>2040</v>
      </c>
      <c r="E17" s="11">
        <v>2382</v>
      </c>
      <c r="G17" s="15"/>
      <c r="H17" s="15"/>
      <c r="I17" s="15"/>
    </row>
    <row r="18" spans="1:9" ht="21.95" customHeight="1" x14ac:dyDescent="0.25">
      <c r="A18" s="11">
        <v>9</v>
      </c>
      <c r="B18" s="11" t="s">
        <v>687</v>
      </c>
      <c r="C18" s="11">
        <v>8507</v>
      </c>
      <c r="D18" s="11">
        <v>3867</v>
      </c>
      <c r="E18" s="11">
        <v>4640</v>
      </c>
      <c r="G18" s="15"/>
      <c r="H18" s="15"/>
      <c r="I18" s="15"/>
    </row>
    <row r="19" spans="1:9" ht="21.95" customHeight="1" x14ac:dyDescent="0.25">
      <c r="A19" s="11">
        <v>10</v>
      </c>
      <c r="B19" s="11" t="s">
        <v>688</v>
      </c>
      <c r="C19" s="11">
        <v>21192</v>
      </c>
      <c r="D19" s="11">
        <v>9763</v>
      </c>
      <c r="E19" s="11">
        <v>11429</v>
      </c>
      <c r="G19" s="15"/>
      <c r="H19" s="15"/>
      <c r="I19" s="15"/>
    </row>
    <row r="20" spans="1:9" ht="21.95" customHeight="1" x14ac:dyDescent="0.25">
      <c r="A20" s="11">
        <v>11</v>
      </c>
      <c r="B20" s="11" t="s">
        <v>689</v>
      </c>
      <c r="C20" s="11">
        <v>2207</v>
      </c>
      <c r="D20" s="11">
        <v>968</v>
      </c>
      <c r="E20" s="11">
        <v>1239</v>
      </c>
      <c r="G20" s="15"/>
      <c r="H20" s="15"/>
      <c r="I20" s="15"/>
    </row>
    <row r="21" spans="1:9" ht="21.95" customHeight="1" x14ac:dyDescent="0.25">
      <c r="A21" s="11">
        <v>12</v>
      </c>
      <c r="B21" s="11" t="s">
        <v>690</v>
      </c>
      <c r="C21" s="11">
        <v>15538</v>
      </c>
      <c r="D21" s="11">
        <v>7192</v>
      </c>
      <c r="E21" s="11">
        <v>8346</v>
      </c>
      <c r="G21" s="15"/>
      <c r="H21" s="15"/>
      <c r="I21" s="15"/>
    </row>
    <row r="22" spans="1:9" ht="21.95" customHeight="1" x14ac:dyDescent="0.25">
      <c r="A22" s="11">
        <v>13</v>
      </c>
      <c r="B22" s="11" t="s">
        <v>509</v>
      </c>
      <c r="C22" s="11">
        <v>2983</v>
      </c>
      <c r="D22" s="11">
        <v>1290</v>
      </c>
      <c r="E22" s="11">
        <v>1693</v>
      </c>
      <c r="G22" s="15"/>
      <c r="H22" s="15"/>
      <c r="I22" s="15"/>
    </row>
    <row r="23" spans="1:9" ht="21.95" customHeight="1" x14ac:dyDescent="0.25">
      <c r="A23" s="11">
        <v>14</v>
      </c>
      <c r="B23" s="11" t="s">
        <v>691</v>
      </c>
      <c r="C23" s="11">
        <v>6275</v>
      </c>
      <c r="D23" s="11">
        <v>2946</v>
      </c>
      <c r="E23" s="11">
        <v>3329</v>
      </c>
      <c r="G23" s="15"/>
      <c r="H23" s="15"/>
      <c r="I23" s="15"/>
    </row>
    <row r="24" spans="1:9" ht="21.95" customHeight="1" x14ac:dyDescent="0.25">
      <c r="A24" s="11">
        <v>15</v>
      </c>
      <c r="B24" s="11" t="s">
        <v>692</v>
      </c>
      <c r="C24" s="11">
        <v>16753</v>
      </c>
      <c r="D24" s="11">
        <v>7826</v>
      </c>
      <c r="E24" s="11">
        <v>8927</v>
      </c>
      <c r="G24" s="15"/>
      <c r="H24" s="15"/>
      <c r="I24" s="15"/>
    </row>
    <row r="25" spans="1:9" ht="21.95" customHeight="1" x14ac:dyDescent="0.25">
      <c r="A25" s="11">
        <v>16</v>
      </c>
      <c r="B25" s="11" t="s">
        <v>693</v>
      </c>
      <c r="C25" s="11">
        <v>3634</v>
      </c>
      <c r="D25" s="11">
        <v>1594</v>
      </c>
      <c r="E25" s="11">
        <v>2040</v>
      </c>
      <c r="G25" s="15"/>
      <c r="H25" s="15"/>
      <c r="I25" s="15"/>
    </row>
    <row r="26" spans="1:9" ht="21.95" customHeight="1" x14ac:dyDescent="0.25">
      <c r="A26" s="11">
        <v>17</v>
      </c>
      <c r="B26" s="11" t="s">
        <v>694</v>
      </c>
      <c r="C26" s="11">
        <v>9722</v>
      </c>
      <c r="D26" s="11">
        <v>5085</v>
      </c>
      <c r="E26" s="11">
        <v>4637</v>
      </c>
      <c r="G26" s="15"/>
      <c r="H26" s="15"/>
      <c r="I26" s="15"/>
    </row>
    <row r="27" spans="1:9" ht="21.95" customHeight="1" x14ac:dyDescent="0.25">
      <c r="A27" s="11">
        <v>18</v>
      </c>
      <c r="B27" s="11" t="s">
        <v>695</v>
      </c>
      <c r="C27" s="11">
        <v>2621</v>
      </c>
      <c r="D27" s="11">
        <v>1245</v>
      </c>
      <c r="E27" s="11">
        <v>1376</v>
      </c>
      <c r="G27" s="15"/>
      <c r="H27" s="15"/>
      <c r="I27" s="15"/>
    </row>
    <row r="28" spans="1:9" ht="21.95" customHeight="1" x14ac:dyDescent="0.25">
      <c r="A28" s="11">
        <v>19</v>
      </c>
      <c r="B28" s="11" t="s">
        <v>696</v>
      </c>
      <c r="C28" s="11">
        <v>6351</v>
      </c>
      <c r="D28" s="11">
        <v>2897</v>
      </c>
      <c r="E28" s="11">
        <v>3454</v>
      </c>
      <c r="G28" s="15"/>
      <c r="H28" s="15"/>
      <c r="I28" s="15"/>
    </row>
    <row r="29" spans="1:9" ht="21.95" customHeight="1" x14ac:dyDescent="0.25">
      <c r="A29" s="11">
        <v>20</v>
      </c>
      <c r="B29" s="11" t="s">
        <v>697</v>
      </c>
      <c r="C29" s="11">
        <v>7546</v>
      </c>
      <c r="D29" s="11">
        <v>3527</v>
      </c>
      <c r="E29" s="11">
        <v>4019</v>
      </c>
      <c r="G29" s="15"/>
      <c r="H29" s="15"/>
      <c r="I29" s="15"/>
    </row>
    <row r="30" spans="1:9" ht="21.95" customHeight="1" x14ac:dyDescent="0.25">
      <c r="A30" s="11">
        <v>21</v>
      </c>
      <c r="B30" s="11" t="s">
        <v>698</v>
      </c>
      <c r="C30" s="11">
        <v>6137</v>
      </c>
      <c r="D30" s="11">
        <v>2899</v>
      </c>
      <c r="E30" s="11">
        <v>3238</v>
      </c>
      <c r="G30" s="15"/>
      <c r="H30" s="15"/>
      <c r="I30" s="15"/>
    </row>
    <row r="31" spans="1:9" ht="21.95" customHeight="1" x14ac:dyDescent="0.25">
      <c r="A31" s="11">
        <v>22</v>
      </c>
      <c r="B31" s="11" t="s">
        <v>7</v>
      </c>
      <c r="C31" s="11">
        <v>6826</v>
      </c>
      <c r="D31" s="11">
        <v>2979</v>
      </c>
      <c r="E31" s="11">
        <v>3847</v>
      </c>
      <c r="G31" s="15"/>
      <c r="H31" s="15"/>
      <c r="I31" s="15"/>
    </row>
    <row r="32" spans="1:9" ht="21.95" customHeight="1" x14ac:dyDescent="0.25">
      <c r="A32" s="11">
        <v>23</v>
      </c>
      <c r="B32" s="11" t="s">
        <v>699</v>
      </c>
      <c r="C32" s="11">
        <v>15516</v>
      </c>
      <c r="D32" s="11">
        <v>7331</v>
      </c>
      <c r="E32" s="11">
        <v>8185</v>
      </c>
      <c r="G32" s="15"/>
      <c r="H32" s="15"/>
      <c r="I32" s="15"/>
    </row>
    <row r="33" spans="1:9" ht="21.95" customHeight="1" x14ac:dyDescent="0.25">
      <c r="A33" s="11">
        <v>24</v>
      </c>
      <c r="B33" s="11" t="s">
        <v>700</v>
      </c>
      <c r="C33" s="11">
        <v>8831</v>
      </c>
      <c r="D33" s="11">
        <v>4162</v>
      </c>
      <c r="E33" s="11">
        <v>4669</v>
      </c>
      <c r="G33" s="15"/>
      <c r="H33" s="15"/>
      <c r="I33" s="15"/>
    </row>
    <row r="34" spans="1:9" ht="21.95" customHeight="1" x14ac:dyDescent="0.25">
      <c r="A34" s="11">
        <v>25</v>
      </c>
      <c r="B34" s="11" t="s">
        <v>701</v>
      </c>
      <c r="C34" s="11">
        <v>11912</v>
      </c>
      <c r="D34" s="11">
        <v>6149</v>
      </c>
      <c r="E34" s="11">
        <v>5763</v>
      </c>
      <c r="G34" s="15"/>
      <c r="H34" s="15"/>
      <c r="I34" s="15"/>
    </row>
    <row r="35" spans="1:9" ht="21.95" customHeight="1" x14ac:dyDescent="0.25">
      <c r="A35" s="11">
        <v>26</v>
      </c>
      <c r="B35" s="11" t="s">
        <v>702</v>
      </c>
      <c r="C35" s="11">
        <v>5780</v>
      </c>
      <c r="D35" s="11">
        <v>2702</v>
      </c>
      <c r="E35" s="11">
        <v>3078</v>
      </c>
      <c r="G35" s="15"/>
      <c r="H35" s="15"/>
      <c r="I35" s="15"/>
    </row>
    <row r="36" spans="1:9" ht="24.75" customHeight="1" x14ac:dyDescent="0.25">
      <c r="A36" s="23"/>
      <c r="B36" s="10" t="s">
        <v>1773</v>
      </c>
      <c r="C36" s="24">
        <f>SUM(C37:C93)</f>
        <v>164606</v>
      </c>
      <c r="D36" s="24">
        <f t="shared" ref="D36:E36" si="2">SUM(D37:D93)</f>
        <v>74875</v>
      </c>
      <c r="E36" s="24">
        <f t="shared" si="2"/>
        <v>89731</v>
      </c>
      <c r="G36" s="15"/>
      <c r="H36" s="15"/>
      <c r="I36" s="15"/>
    </row>
    <row r="37" spans="1:9" ht="21.95" customHeight="1" x14ac:dyDescent="0.25">
      <c r="A37" s="23">
        <v>1</v>
      </c>
      <c r="B37" s="11" t="s">
        <v>703</v>
      </c>
      <c r="C37" s="11">
        <v>1676</v>
      </c>
      <c r="D37" s="11">
        <v>753</v>
      </c>
      <c r="E37" s="11">
        <v>923</v>
      </c>
      <c r="G37" s="15"/>
      <c r="H37" s="15"/>
      <c r="I37" s="15"/>
    </row>
    <row r="38" spans="1:9" ht="21.95" customHeight="1" x14ac:dyDescent="0.25">
      <c r="A38" s="23">
        <v>2</v>
      </c>
      <c r="B38" s="11" t="s">
        <v>168</v>
      </c>
      <c r="C38" s="11">
        <v>875</v>
      </c>
      <c r="D38" s="11">
        <v>408</v>
      </c>
      <c r="E38" s="11">
        <v>467</v>
      </c>
      <c r="G38" s="15"/>
      <c r="H38" s="15"/>
      <c r="I38" s="15"/>
    </row>
    <row r="39" spans="1:9" ht="21.95" customHeight="1" x14ac:dyDescent="0.25">
      <c r="A39" s="23">
        <v>3</v>
      </c>
      <c r="B39" s="11" t="s">
        <v>671</v>
      </c>
      <c r="C39" s="11">
        <v>3750</v>
      </c>
      <c r="D39" s="11">
        <v>1731</v>
      </c>
      <c r="E39" s="11">
        <v>2019</v>
      </c>
      <c r="G39" s="15"/>
      <c r="H39" s="15"/>
      <c r="I39" s="15"/>
    </row>
    <row r="40" spans="1:9" ht="21.95" customHeight="1" x14ac:dyDescent="0.25">
      <c r="A40" s="23">
        <v>4</v>
      </c>
      <c r="B40" s="11" t="s">
        <v>704</v>
      </c>
      <c r="C40" s="11">
        <v>6525</v>
      </c>
      <c r="D40" s="11">
        <v>3057</v>
      </c>
      <c r="E40" s="11">
        <v>3468</v>
      </c>
      <c r="G40" s="15"/>
      <c r="H40" s="15"/>
      <c r="I40" s="15"/>
    </row>
    <row r="41" spans="1:9" ht="21.95" customHeight="1" x14ac:dyDescent="0.25">
      <c r="A41" s="23">
        <v>5</v>
      </c>
      <c r="B41" s="11" t="s">
        <v>705</v>
      </c>
      <c r="C41" s="11">
        <v>4957</v>
      </c>
      <c r="D41" s="11">
        <v>2238</v>
      </c>
      <c r="E41" s="11">
        <v>2719</v>
      </c>
      <c r="G41" s="15"/>
      <c r="H41" s="15"/>
      <c r="I41" s="15"/>
    </row>
    <row r="42" spans="1:9" ht="21.95" customHeight="1" x14ac:dyDescent="0.25">
      <c r="A42" s="23">
        <v>6</v>
      </c>
      <c r="B42" s="11" t="s">
        <v>706</v>
      </c>
      <c r="C42" s="11">
        <v>1115</v>
      </c>
      <c r="D42" s="11">
        <v>489</v>
      </c>
      <c r="E42" s="11">
        <v>626</v>
      </c>
      <c r="G42" s="15"/>
      <c r="H42" s="15"/>
      <c r="I42" s="15"/>
    </row>
    <row r="43" spans="1:9" ht="21.95" customHeight="1" x14ac:dyDescent="0.25">
      <c r="A43" s="23">
        <v>7</v>
      </c>
      <c r="B43" s="11" t="s">
        <v>707</v>
      </c>
      <c r="C43" s="11">
        <v>2331</v>
      </c>
      <c r="D43" s="11">
        <v>1069</v>
      </c>
      <c r="E43" s="11">
        <v>1262</v>
      </c>
      <c r="G43" s="15"/>
      <c r="H43" s="15"/>
      <c r="I43" s="15"/>
    </row>
    <row r="44" spans="1:9" ht="21.95" customHeight="1" x14ac:dyDescent="0.25">
      <c r="A44" s="23">
        <v>8</v>
      </c>
      <c r="B44" s="11" t="s">
        <v>708</v>
      </c>
      <c r="C44" s="11">
        <v>1387</v>
      </c>
      <c r="D44" s="11">
        <v>660</v>
      </c>
      <c r="E44" s="11">
        <v>727</v>
      </c>
      <c r="G44" s="15"/>
      <c r="H44" s="15"/>
      <c r="I44" s="15"/>
    </row>
    <row r="45" spans="1:9" ht="21.95" customHeight="1" x14ac:dyDescent="0.25">
      <c r="A45" s="23">
        <v>9</v>
      </c>
      <c r="B45" s="11" t="s">
        <v>709</v>
      </c>
      <c r="C45" s="11">
        <v>1303</v>
      </c>
      <c r="D45" s="11">
        <v>590</v>
      </c>
      <c r="E45" s="11">
        <v>713</v>
      </c>
      <c r="G45" s="15"/>
      <c r="H45" s="15"/>
      <c r="I45" s="15"/>
    </row>
    <row r="46" spans="1:9" ht="21.95" customHeight="1" x14ac:dyDescent="0.25">
      <c r="A46" s="23">
        <v>10</v>
      </c>
      <c r="B46" s="11" t="s">
        <v>710</v>
      </c>
      <c r="C46" s="11">
        <v>2828</v>
      </c>
      <c r="D46" s="11">
        <v>1316</v>
      </c>
      <c r="E46" s="11">
        <v>1512</v>
      </c>
      <c r="G46" s="15"/>
      <c r="H46" s="15"/>
      <c r="I46" s="15"/>
    </row>
    <row r="47" spans="1:9" ht="21.95" customHeight="1" x14ac:dyDescent="0.25">
      <c r="A47" s="23">
        <v>11</v>
      </c>
      <c r="B47" s="11" t="s">
        <v>711</v>
      </c>
      <c r="C47" s="11">
        <v>2831</v>
      </c>
      <c r="D47" s="11">
        <v>1287</v>
      </c>
      <c r="E47" s="11">
        <v>1544</v>
      </c>
      <c r="G47" s="15"/>
      <c r="H47" s="15"/>
      <c r="I47" s="15"/>
    </row>
    <row r="48" spans="1:9" ht="21.95" customHeight="1" x14ac:dyDescent="0.25">
      <c r="A48" s="23">
        <v>12</v>
      </c>
      <c r="B48" s="11" t="s">
        <v>712</v>
      </c>
      <c r="C48" s="11">
        <v>5556</v>
      </c>
      <c r="D48" s="11">
        <v>2496</v>
      </c>
      <c r="E48" s="11">
        <v>3060</v>
      </c>
      <c r="G48" s="15"/>
      <c r="H48" s="15"/>
      <c r="I48" s="15"/>
    </row>
    <row r="49" spans="1:9" ht="21.95" customHeight="1" x14ac:dyDescent="0.25">
      <c r="A49" s="23">
        <v>13</v>
      </c>
      <c r="B49" s="11" t="s">
        <v>713</v>
      </c>
      <c r="C49" s="11">
        <v>3007</v>
      </c>
      <c r="D49" s="11">
        <v>1312</v>
      </c>
      <c r="E49" s="11">
        <v>1695</v>
      </c>
      <c r="G49" s="15"/>
      <c r="H49" s="15"/>
      <c r="I49" s="15"/>
    </row>
    <row r="50" spans="1:9" ht="21.95" customHeight="1" x14ac:dyDescent="0.25">
      <c r="A50" s="23">
        <v>14</v>
      </c>
      <c r="B50" s="11" t="s">
        <v>714</v>
      </c>
      <c r="C50" s="11">
        <v>2442</v>
      </c>
      <c r="D50" s="11">
        <v>1074</v>
      </c>
      <c r="E50" s="11">
        <v>1368</v>
      </c>
      <c r="G50" s="15"/>
      <c r="H50" s="15"/>
      <c r="I50" s="15"/>
    </row>
    <row r="51" spans="1:9" ht="21.95" customHeight="1" x14ac:dyDescent="0.25">
      <c r="A51" s="23">
        <v>15</v>
      </c>
      <c r="B51" s="11" t="s">
        <v>715</v>
      </c>
      <c r="C51" s="11">
        <v>2622</v>
      </c>
      <c r="D51" s="11">
        <v>1130</v>
      </c>
      <c r="E51" s="11">
        <v>1492</v>
      </c>
      <c r="G51" s="15"/>
      <c r="H51" s="15"/>
      <c r="I51" s="15"/>
    </row>
    <row r="52" spans="1:9" ht="21.95" customHeight="1" x14ac:dyDescent="0.25">
      <c r="A52" s="23">
        <v>16</v>
      </c>
      <c r="B52" s="11" t="s">
        <v>716</v>
      </c>
      <c r="C52" s="11">
        <v>3502</v>
      </c>
      <c r="D52" s="11">
        <v>1618</v>
      </c>
      <c r="E52" s="11">
        <v>1884</v>
      </c>
      <c r="G52" s="15"/>
      <c r="H52" s="15"/>
      <c r="I52" s="15"/>
    </row>
    <row r="53" spans="1:9" ht="21.95" customHeight="1" x14ac:dyDescent="0.25">
      <c r="A53" s="23">
        <v>17</v>
      </c>
      <c r="B53" s="11" t="s">
        <v>487</v>
      </c>
      <c r="C53" s="11">
        <v>3442</v>
      </c>
      <c r="D53" s="11">
        <v>1616</v>
      </c>
      <c r="E53" s="11">
        <v>1826</v>
      </c>
      <c r="G53" s="15"/>
      <c r="H53" s="15"/>
      <c r="I53" s="15"/>
    </row>
    <row r="54" spans="1:9" ht="21.95" customHeight="1" x14ac:dyDescent="0.25">
      <c r="A54" s="23">
        <v>18</v>
      </c>
      <c r="B54" s="11" t="s">
        <v>174</v>
      </c>
      <c r="C54" s="11">
        <v>4000</v>
      </c>
      <c r="D54" s="11">
        <v>1827</v>
      </c>
      <c r="E54" s="11">
        <v>2173</v>
      </c>
      <c r="G54" s="15"/>
      <c r="H54" s="15"/>
      <c r="I54" s="15"/>
    </row>
    <row r="55" spans="1:9" ht="21.95" customHeight="1" x14ac:dyDescent="0.25">
      <c r="A55" s="23">
        <v>19</v>
      </c>
      <c r="B55" s="11" t="s">
        <v>717</v>
      </c>
      <c r="C55" s="11">
        <v>2158</v>
      </c>
      <c r="D55" s="11">
        <v>980</v>
      </c>
      <c r="E55" s="11">
        <v>1178</v>
      </c>
      <c r="G55" s="15"/>
      <c r="H55" s="15"/>
      <c r="I55" s="15"/>
    </row>
    <row r="56" spans="1:9" ht="21.95" customHeight="1" x14ac:dyDescent="0.25">
      <c r="A56" s="23">
        <v>20</v>
      </c>
      <c r="B56" s="11" t="s">
        <v>718</v>
      </c>
      <c r="C56" s="11">
        <v>1375</v>
      </c>
      <c r="D56" s="11">
        <v>615</v>
      </c>
      <c r="E56" s="11">
        <v>760</v>
      </c>
      <c r="G56" s="15"/>
      <c r="H56" s="15"/>
      <c r="I56" s="15"/>
    </row>
    <row r="57" spans="1:9" ht="21.95" customHeight="1" x14ac:dyDescent="0.25">
      <c r="A57" s="23">
        <v>21</v>
      </c>
      <c r="B57" s="11" t="s">
        <v>719</v>
      </c>
      <c r="C57" s="11">
        <v>4442</v>
      </c>
      <c r="D57" s="11">
        <v>2056</v>
      </c>
      <c r="E57" s="11">
        <v>2386</v>
      </c>
      <c r="G57" s="15"/>
      <c r="H57" s="15"/>
      <c r="I57" s="15"/>
    </row>
    <row r="58" spans="1:9" ht="21.95" customHeight="1" x14ac:dyDescent="0.25">
      <c r="A58" s="23">
        <v>22</v>
      </c>
      <c r="B58" s="11" t="s">
        <v>623</v>
      </c>
      <c r="C58" s="11">
        <v>4210</v>
      </c>
      <c r="D58" s="11">
        <v>1945</v>
      </c>
      <c r="E58" s="11">
        <v>2265</v>
      </c>
      <c r="G58" s="15"/>
      <c r="H58" s="15"/>
      <c r="I58" s="15"/>
    </row>
    <row r="59" spans="1:9" ht="21.95" customHeight="1" x14ac:dyDescent="0.25">
      <c r="A59" s="23">
        <v>23</v>
      </c>
      <c r="B59" s="11" t="s">
        <v>720</v>
      </c>
      <c r="C59" s="11">
        <v>2695</v>
      </c>
      <c r="D59" s="11">
        <v>1200</v>
      </c>
      <c r="E59" s="11">
        <v>1495</v>
      </c>
      <c r="G59" s="15"/>
      <c r="H59" s="15"/>
      <c r="I59" s="15"/>
    </row>
    <row r="60" spans="1:9" ht="21.95" customHeight="1" x14ac:dyDescent="0.25">
      <c r="A60" s="23">
        <v>24</v>
      </c>
      <c r="B60" s="11" t="s">
        <v>721</v>
      </c>
      <c r="C60" s="11">
        <v>2755</v>
      </c>
      <c r="D60" s="11">
        <v>1259</v>
      </c>
      <c r="E60" s="11">
        <v>1496</v>
      </c>
      <c r="G60" s="15"/>
      <c r="H60" s="15"/>
      <c r="I60" s="15"/>
    </row>
    <row r="61" spans="1:9" ht="21.95" customHeight="1" x14ac:dyDescent="0.25">
      <c r="A61" s="23">
        <v>25</v>
      </c>
      <c r="B61" s="11" t="s">
        <v>722</v>
      </c>
      <c r="C61" s="11">
        <v>2327</v>
      </c>
      <c r="D61" s="11">
        <v>1064</v>
      </c>
      <c r="E61" s="11">
        <v>1263</v>
      </c>
      <c r="G61" s="15"/>
      <c r="H61" s="15"/>
      <c r="I61" s="15"/>
    </row>
    <row r="62" spans="1:9" ht="21.95" customHeight="1" x14ac:dyDescent="0.25">
      <c r="A62" s="23">
        <v>26</v>
      </c>
      <c r="B62" s="11" t="s">
        <v>625</v>
      </c>
      <c r="C62" s="11">
        <v>1882</v>
      </c>
      <c r="D62" s="11">
        <v>818</v>
      </c>
      <c r="E62" s="11">
        <v>1064</v>
      </c>
      <c r="G62" s="15"/>
      <c r="H62" s="15"/>
      <c r="I62" s="15"/>
    </row>
    <row r="63" spans="1:9" ht="21.95" customHeight="1" x14ac:dyDescent="0.25">
      <c r="A63" s="23">
        <v>27</v>
      </c>
      <c r="B63" s="11" t="s">
        <v>723</v>
      </c>
      <c r="C63" s="11">
        <v>2257</v>
      </c>
      <c r="D63" s="11">
        <v>1034</v>
      </c>
      <c r="E63" s="11">
        <v>1223</v>
      </c>
      <c r="G63" s="15"/>
      <c r="H63" s="15"/>
      <c r="I63" s="15"/>
    </row>
    <row r="64" spans="1:9" ht="21.95" customHeight="1" x14ac:dyDescent="0.25">
      <c r="A64" s="23">
        <v>28</v>
      </c>
      <c r="B64" s="11" t="s">
        <v>92</v>
      </c>
      <c r="C64" s="11">
        <v>2852</v>
      </c>
      <c r="D64" s="11">
        <v>1344</v>
      </c>
      <c r="E64" s="11">
        <v>1508</v>
      </c>
      <c r="G64" s="15"/>
      <c r="H64" s="15"/>
      <c r="I64" s="15"/>
    </row>
    <row r="65" spans="1:9" ht="21.95" customHeight="1" x14ac:dyDescent="0.25">
      <c r="A65" s="23">
        <v>29</v>
      </c>
      <c r="B65" s="11" t="s">
        <v>724</v>
      </c>
      <c r="C65" s="11">
        <v>3102</v>
      </c>
      <c r="D65" s="11">
        <v>1420</v>
      </c>
      <c r="E65" s="11">
        <v>1682</v>
      </c>
      <c r="G65" s="15"/>
      <c r="H65" s="15"/>
      <c r="I65" s="15"/>
    </row>
    <row r="66" spans="1:9" ht="21.95" customHeight="1" x14ac:dyDescent="0.25">
      <c r="A66" s="23">
        <v>30</v>
      </c>
      <c r="B66" s="11" t="s">
        <v>725</v>
      </c>
      <c r="C66" s="11">
        <v>1290</v>
      </c>
      <c r="D66" s="11">
        <v>609</v>
      </c>
      <c r="E66" s="11">
        <v>681</v>
      </c>
      <c r="G66" s="15"/>
      <c r="H66" s="15"/>
      <c r="I66" s="15"/>
    </row>
    <row r="67" spans="1:9" ht="21.95" customHeight="1" x14ac:dyDescent="0.25">
      <c r="A67" s="23">
        <v>31</v>
      </c>
      <c r="B67" s="11" t="s">
        <v>726</v>
      </c>
      <c r="C67" s="11">
        <v>2453</v>
      </c>
      <c r="D67" s="11">
        <v>996</v>
      </c>
      <c r="E67" s="11">
        <v>1457</v>
      </c>
      <c r="G67" s="15"/>
      <c r="H67" s="15"/>
      <c r="I67" s="15"/>
    </row>
    <row r="68" spans="1:9" ht="21.95" customHeight="1" x14ac:dyDescent="0.25">
      <c r="A68" s="23">
        <v>32</v>
      </c>
      <c r="B68" s="11" t="s">
        <v>727</v>
      </c>
      <c r="C68" s="11">
        <v>3142</v>
      </c>
      <c r="D68" s="11">
        <v>1423</v>
      </c>
      <c r="E68" s="11">
        <v>1719</v>
      </c>
      <c r="G68" s="15"/>
      <c r="H68" s="15"/>
      <c r="I68" s="15"/>
    </row>
    <row r="69" spans="1:9" ht="21.95" customHeight="1" x14ac:dyDescent="0.25">
      <c r="A69" s="23">
        <v>33</v>
      </c>
      <c r="B69" s="11" t="s">
        <v>728</v>
      </c>
      <c r="C69" s="11">
        <v>3086</v>
      </c>
      <c r="D69" s="11">
        <v>1245</v>
      </c>
      <c r="E69" s="11">
        <v>1841</v>
      </c>
      <c r="G69" s="15"/>
      <c r="H69" s="15"/>
      <c r="I69" s="15"/>
    </row>
    <row r="70" spans="1:9" ht="21.95" customHeight="1" x14ac:dyDescent="0.25">
      <c r="A70" s="23">
        <v>34</v>
      </c>
      <c r="B70" s="11" t="s">
        <v>729</v>
      </c>
      <c r="C70" s="11">
        <v>1435</v>
      </c>
      <c r="D70" s="11">
        <v>507</v>
      </c>
      <c r="E70" s="11">
        <v>928</v>
      </c>
      <c r="G70" s="15"/>
      <c r="H70" s="15"/>
      <c r="I70" s="15"/>
    </row>
    <row r="71" spans="1:9" ht="21.95" customHeight="1" x14ac:dyDescent="0.25">
      <c r="A71" s="23">
        <v>35</v>
      </c>
      <c r="B71" s="11" t="s">
        <v>134</v>
      </c>
      <c r="C71" s="11">
        <v>1803</v>
      </c>
      <c r="D71" s="11">
        <v>715</v>
      </c>
      <c r="E71" s="11">
        <v>1088</v>
      </c>
      <c r="G71" s="15"/>
      <c r="H71" s="15"/>
      <c r="I71" s="15"/>
    </row>
    <row r="72" spans="1:9" ht="21.95" customHeight="1" x14ac:dyDescent="0.25">
      <c r="A72" s="23">
        <v>36</v>
      </c>
      <c r="B72" s="11" t="s">
        <v>730</v>
      </c>
      <c r="C72" s="11">
        <v>4594</v>
      </c>
      <c r="D72" s="11">
        <v>2349</v>
      </c>
      <c r="E72" s="11">
        <v>2245</v>
      </c>
      <c r="G72" s="15"/>
      <c r="H72" s="15"/>
      <c r="I72" s="15"/>
    </row>
    <row r="73" spans="1:9" ht="21.95" customHeight="1" x14ac:dyDescent="0.25">
      <c r="A73" s="23">
        <v>37</v>
      </c>
      <c r="B73" s="11" t="s">
        <v>731</v>
      </c>
      <c r="C73" s="11">
        <v>2273</v>
      </c>
      <c r="D73" s="11">
        <v>1110</v>
      </c>
      <c r="E73" s="11">
        <v>1163</v>
      </c>
      <c r="G73" s="15"/>
      <c r="H73" s="15"/>
      <c r="I73" s="15"/>
    </row>
    <row r="74" spans="1:9" ht="21.95" customHeight="1" x14ac:dyDescent="0.25">
      <c r="A74" s="23">
        <v>38</v>
      </c>
      <c r="B74" s="11" t="s">
        <v>732</v>
      </c>
      <c r="C74" s="11">
        <v>1283</v>
      </c>
      <c r="D74" s="11">
        <v>576</v>
      </c>
      <c r="E74" s="11">
        <v>707</v>
      </c>
      <c r="G74" s="15"/>
      <c r="H74" s="15"/>
      <c r="I74" s="15"/>
    </row>
    <row r="75" spans="1:9" ht="21.95" customHeight="1" x14ac:dyDescent="0.25">
      <c r="A75" s="23">
        <v>39</v>
      </c>
      <c r="B75" s="11" t="s">
        <v>733</v>
      </c>
      <c r="C75" s="11">
        <v>6009</v>
      </c>
      <c r="D75" s="11">
        <v>2389</v>
      </c>
      <c r="E75" s="11">
        <v>3620</v>
      </c>
      <c r="G75" s="15"/>
      <c r="H75" s="15"/>
      <c r="I75" s="15"/>
    </row>
    <row r="76" spans="1:9" ht="21.95" customHeight="1" x14ac:dyDescent="0.25">
      <c r="A76" s="23">
        <v>40</v>
      </c>
      <c r="B76" s="11" t="s">
        <v>734</v>
      </c>
      <c r="C76" s="11">
        <v>5809</v>
      </c>
      <c r="D76" s="11">
        <v>2701</v>
      </c>
      <c r="E76" s="11">
        <v>3108</v>
      </c>
      <c r="G76" s="15"/>
      <c r="H76" s="15"/>
      <c r="I76" s="15"/>
    </row>
    <row r="77" spans="1:9" ht="21.95" customHeight="1" x14ac:dyDescent="0.25">
      <c r="A77" s="23">
        <v>41</v>
      </c>
      <c r="B77" s="11" t="s">
        <v>735</v>
      </c>
      <c r="C77" s="11">
        <v>985</v>
      </c>
      <c r="D77" s="11">
        <v>460</v>
      </c>
      <c r="E77" s="11">
        <v>525</v>
      </c>
      <c r="G77" s="15"/>
      <c r="H77" s="15"/>
      <c r="I77" s="15"/>
    </row>
    <row r="78" spans="1:9" ht="21.95" customHeight="1" x14ac:dyDescent="0.25">
      <c r="A78" s="23">
        <v>42</v>
      </c>
      <c r="B78" s="11" t="s">
        <v>736</v>
      </c>
      <c r="C78" s="11">
        <v>7949</v>
      </c>
      <c r="D78" s="11">
        <v>3994</v>
      </c>
      <c r="E78" s="11">
        <v>3955</v>
      </c>
      <c r="G78" s="15"/>
      <c r="H78" s="15"/>
      <c r="I78" s="15"/>
    </row>
    <row r="79" spans="1:9" ht="21.95" customHeight="1" x14ac:dyDescent="0.25">
      <c r="A79" s="23">
        <v>43</v>
      </c>
      <c r="B79" s="11" t="s">
        <v>737</v>
      </c>
      <c r="C79" s="11">
        <v>4668</v>
      </c>
      <c r="D79" s="11">
        <v>2315</v>
      </c>
      <c r="E79" s="11">
        <v>2353</v>
      </c>
      <c r="G79" s="15"/>
      <c r="H79" s="15"/>
      <c r="I79" s="15"/>
    </row>
    <row r="80" spans="1:9" ht="21.95" customHeight="1" x14ac:dyDescent="0.25">
      <c r="A80" s="23">
        <v>44</v>
      </c>
      <c r="B80" s="11" t="s">
        <v>738</v>
      </c>
      <c r="C80" s="11">
        <v>1759</v>
      </c>
      <c r="D80" s="11">
        <v>753</v>
      </c>
      <c r="E80" s="11">
        <v>1006</v>
      </c>
      <c r="G80" s="15"/>
      <c r="H80" s="15"/>
      <c r="I80" s="15"/>
    </row>
    <row r="81" spans="1:9" ht="21.95" customHeight="1" x14ac:dyDescent="0.25">
      <c r="A81" s="23">
        <v>45</v>
      </c>
      <c r="B81" s="11" t="s">
        <v>739</v>
      </c>
      <c r="C81" s="11">
        <v>3727</v>
      </c>
      <c r="D81" s="11">
        <v>1685</v>
      </c>
      <c r="E81" s="11">
        <v>2042</v>
      </c>
      <c r="G81" s="15"/>
      <c r="H81" s="15"/>
      <c r="I81" s="15"/>
    </row>
    <row r="82" spans="1:9" ht="21.95" customHeight="1" x14ac:dyDescent="0.25">
      <c r="A82" s="23">
        <v>46</v>
      </c>
      <c r="B82" s="11" t="s">
        <v>740</v>
      </c>
      <c r="C82" s="11">
        <v>4166</v>
      </c>
      <c r="D82" s="11">
        <v>1941</v>
      </c>
      <c r="E82" s="11">
        <v>2225</v>
      </c>
      <c r="G82" s="15"/>
      <c r="H82" s="15"/>
      <c r="I82" s="15"/>
    </row>
    <row r="83" spans="1:9" ht="21.95" customHeight="1" x14ac:dyDescent="0.25">
      <c r="A83" s="23">
        <v>47</v>
      </c>
      <c r="B83" s="11" t="s">
        <v>741</v>
      </c>
      <c r="C83" s="11">
        <v>3368</v>
      </c>
      <c r="D83" s="11">
        <v>1545</v>
      </c>
      <c r="E83" s="11">
        <v>1823</v>
      </c>
      <c r="G83" s="15"/>
      <c r="H83" s="15"/>
      <c r="I83" s="15"/>
    </row>
    <row r="84" spans="1:9" ht="21.95" customHeight="1" x14ac:dyDescent="0.25">
      <c r="A84" s="23">
        <v>48</v>
      </c>
      <c r="B84" s="11" t="s">
        <v>742</v>
      </c>
      <c r="C84" s="11">
        <v>2750</v>
      </c>
      <c r="D84" s="11">
        <v>1218</v>
      </c>
      <c r="E84" s="11">
        <v>1532</v>
      </c>
      <c r="G84" s="15"/>
      <c r="H84" s="15"/>
      <c r="I84" s="15"/>
    </row>
    <row r="85" spans="1:9" ht="21.95" customHeight="1" x14ac:dyDescent="0.25">
      <c r="A85" s="23">
        <v>49</v>
      </c>
      <c r="B85" s="11" t="s">
        <v>743</v>
      </c>
      <c r="C85" s="11">
        <v>1665</v>
      </c>
      <c r="D85" s="11">
        <v>613</v>
      </c>
      <c r="E85" s="11">
        <v>1052</v>
      </c>
      <c r="G85" s="15"/>
      <c r="H85" s="15"/>
      <c r="I85" s="15"/>
    </row>
    <row r="86" spans="1:9" ht="21.95" customHeight="1" x14ac:dyDescent="0.25">
      <c r="A86" s="23">
        <v>50</v>
      </c>
      <c r="B86" s="11" t="s">
        <v>744</v>
      </c>
      <c r="C86" s="11">
        <v>1722</v>
      </c>
      <c r="D86" s="11">
        <v>760</v>
      </c>
      <c r="E86" s="11">
        <v>962</v>
      </c>
      <c r="G86" s="15"/>
      <c r="H86" s="15"/>
      <c r="I86" s="15"/>
    </row>
    <row r="87" spans="1:9" ht="21.95" customHeight="1" x14ac:dyDescent="0.25">
      <c r="A87" s="23">
        <v>51</v>
      </c>
      <c r="B87" s="11" t="s">
        <v>745</v>
      </c>
      <c r="C87" s="11">
        <v>1328</v>
      </c>
      <c r="D87" s="11">
        <v>585</v>
      </c>
      <c r="E87" s="11">
        <v>743</v>
      </c>
      <c r="G87" s="15"/>
      <c r="H87" s="15"/>
      <c r="I87" s="15"/>
    </row>
    <row r="88" spans="1:9" ht="21.95" customHeight="1" x14ac:dyDescent="0.25">
      <c r="A88" s="23">
        <v>52</v>
      </c>
      <c r="B88" s="11" t="s">
        <v>746</v>
      </c>
      <c r="C88" s="11">
        <v>1472</v>
      </c>
      <c r="D88" s="11">
        <v>655</v>
      </c>
      <c r="E88" s="11">
        <v>817</v>
      </c>
      <c r="G88" s="15"/>
      <c r="H88" s="15"/>
      <c r="I88" s="15"/>
    </row>
    <row r="89" spans="1:9" ht="21.95" customHeight="1" x14ac:dyDescent="0.25">
      <c r="A89" s="23">
        <v>53</v>
      </c>
      <c r="B89" s="11" t="s">
        <v>47</v>
      </c>
      <c r="C89" s="11">
        <v>2160</v>
      </c>
      <c r="D89" s="11">
        <v>931</v>
      </c>
      <c r="E89" s="11">
        <v>1229</v>
      </c>
      <c r="G89" s="15"/>
      <c r="H89" s="15"/>
      <c r="I89" s="15"/>
    </row>
    <row r="90" spans="1:9" ht="21.95" customHeight="1" x14ac:dyDescent="0.25">
      <c r="A90" s="23">
        <v>54</v>
      </c>
      <c r="B90" s="11" t="s">
        <v>747</v>
      </c>
      <c r="C90" s="11">
        <v>2108</v>
      </c>
      <c r="D90" s="11">
        <v>1008</v>
      </c>
      <c r="E90" s="11">
        <v>1100</v>
      </c>
      <c r="G90" s="15"/>
      <c r="H90" s="15"/>
      <c r="I90" s="15"/>
    </row>
    <row r="91" spans="1:9" ht="21.95" customHeight="1" x14ac:dyDescent="0.25">
      <c r="A91" s="23">
        <v>55</v>
      </c>
      <c r="B91" s="11" t="s">
        <v>748</v>
      </c>
      <c r="C91" s="11">
        <v>3404</v>
      </c>
      <c r="D91" s="11">
        <v>1540</v>
      </c>
      <c r="E91" s="11">
        <v>1864</v>
      </c>
      <c r="G91" s="15"/>
      <c r="H91" s="15"/>
      <c r="I91" s="15"/>
    </row>
    <row r="92" spans="1:9" ht="21.95" customHeight="1" x14ac:dyDescent="0.25">
      <c r="A92" s="23">
        <v>56</v>
      </c>
      <c r="B92" s="11" t="s">
        <v>749</v>
      </c>
      <c r="C92" s="11">
        <v>2335</v>
      </c>
      <c r="D92" s="11">
        <v>1030</v>
      </c>
      <c r="E92" s="11">
        <v>1305</v>
      </c>
      <c r="G92" s="15"/>
      <c r="H92" s="15"/>
      <c r="I92" s="15"/>
    </row>
    <row r="93" spans="1:9" ht="21.95" customHeight="1" x14ac:dyDescent="0.25">
      <c r="A93" s="30">
        <v>57</v>
      </c>
      <c r="B93" s="12" t="s">
        <v>750</v>
      </c>
      <c r="C93" s="12">
        <v>1659</v>
      </c>
      <c r="D93" s="12">
        <v>816</v>
      </c>
      <c r="E93" s="12">
        <v>843</v>
      </c>
      <c r="G93" s="15"/>
      <c r="H93" s="15"/>
      <c r="I93" s="15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Monywa District, Monywa Township"/>
  </hyperlinks>
  <pageMargins left="0.75" right="0.5" top="0.5" bottom="0.2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sqref="A1:E1"/>
    </sheetView>
  </sheetViews>
  <sheetFormatPr defaultRowHeight="24.75" customHeight="1" x14ac:dyDescent="0.25"/>
  <cols>
    <col min="1" max="1" width="4.7109375" style="3" customWidth="1"/>
    <col min="2" max="2" width="35.28515625" style="3" customWidth="1"/>
    <col min="3" max="5" width="16" style="3" customWidth="1"/>
    <col min="6" max="16384" width="9.140625" style="3"/>
  </cols>
  <sheetData>
    <row r="1" spans="1:10" ht="24.75" customHeight="1" x14ac:dyDescent="0.25">
      <c r="A1" s="67" t="s">
        <v>1738</v>
      </c>
      <c r="B1" s="67"/>
      <c r="C1" s="67"/>
      <c r="D1" s="67"/>
      <c r="E1" s="67"/>
    </row>
    <row r="2" spans="1:10" ht="24.75" customHeight="1" x14ac:dyDescent="0.4">
      <c r="A2" s="2"/>
      <c r="B2" s="7"/>
      <c r="C2" s="7"/>
      <c r="D2" s="7"/>
      <c r="E2" s="56" t="s">
        <v>1722</v>
      </c>
    </row>
    <row r="3" spans="1:10" ht="24.75" customHeight="1" x14ac:dyDescent="0.4">
      <c r="A3" s="2"/>
      <c r="B3" s="7"/>
      <c r="C3" s="7"/>
      <c r="D3" s="7"/>
      <c r="E3" s="56"/>
    </row>
    <row r="4" spans="1:10" ht="10.5" customHeight="1" x14ac:dyDescent="0.4">
      <c r="A4" s="2"/>
      <c r="B4" s="7"/>
      <c r="C4" s="7"/>
      <c r="D4" s="7"/>
      <c r="E4" s="7"/>
    </row>
    <row r="5" spans="1:10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10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10" ht="24.75" customHeight="1" x14ac:dyDescent="0.25">
      <c r="A7" s="9"/>
      <c r="B7" s="9" t="s">
        <v>1772</v>
      </c>
      <c r="C7" s="22">
        <f>C9+C13</f>
        <v>123539</v>
      </c>
      <c r="D7" s="22">
        <f t="shared" ref="D7:E7" si="0">D9+D13</f>
        <v>55106</v>
      </c>
      <c r="E7" s="22">
        <f t="shared" si="0"/>
        <v>68433</v>
      </c>
      <c r="F7"/>
      <c r="G7"/>
      <c r="H7"/>
      <c r="I7"/>
      <c r="J7"/>
    </row>
    <row r="8" spans="1:10" ht="10.5" customHeight="1" x14ac:dyDescent="0.25">
      <c r="A8" s="10"/>
      <c r="B8" s="23"/>
      <c r="C8" s="23"/>
      <c r="D8" s="23"/>
      <c r="E8" s="23"/>
      <c r="H8"/>
      <c r="I8"/>
      <c r="J8"/>
    </row>
    <row r="9" spans="1:10" ht="24.75" customHeight="1" x14ac:dyDescent="0.25">
      <c r="A9" s="10"/>
      <c r="B9" s="10" t="s">
        <v>1725</v>
      </c>
      <c r="C9" s="24">
        <f>SUM(C10:C12)</f>
        <v>5210</v>
      </c>
      <c r="D9" s="24">
        <f t="shared" ref="D9:E9" si="1">SUM(D10:D12)</f>
        <v>2399</v>
      </c>
      <c r="E9" s="24">
        <f t="shared" si="1"/>
        <v>2811</v>
      </c>
      <c r="H9"/>
      <c r="I9"/>
      <c r="J9"/>
    </row>
    <row r="10" spans="1:10" ht="24.75" customHeight="1" x14ac:dyDescent="0.25">
      <c r="A10" s="11">
        <v>1</v>
      </c>
      <c r="B10" s="11" t="s">
        <v>692</v>
      </c>
      <c r="C10" s="11">
        <v>1996</v>
      </c>
      <c r="D10" s="11">
        <v>919</v>
      </c>
      <c r="E10" s="11">
        <v>1077</v>
      </c>
      <c r="H10"/>
      <c r="I10"/>
      <c r="J10"/>
    </row>
    <row r="11" spans="1:10" ht="24.75" customHeight="1" x14ac:dyDescent="0.25">
      <c r="A11" s="11">
        <v>2</v>
      </c>
      <c r="B11" s="11" t="s">
        <v>751</v>
      </c>
      <c r="C11" s="11">
        <v>1769</v>
      </c>
      <c r="D11" s="11">
        <v>842</v>
      </c>
      <c r="E11" s="11">
        <v>927</v>
      </c>
      <c r="H11"/>
      <c r="I11"/>
      <c r="J11"/>
    </row>
    <row r="12" spans="1:10" ht="24.75" customHeight="1" x14ac:dyDescent="0.25">
      <c r="A12" s="11">
        <v>3</v>
      </c>
      <c r="B12" s="11" t="s">
        <v>752</v>
      </c>
      <c r="C12" s="11">
        <v>1445</v>
      </c>
      <c r="D12" s="11">
        <v>638</v>
      </c>
      <c r="E12" s="11">
        <v>807</v>
      </c>
      <c r="H12"/>
      <c r="I12"/>
      <c r="J12"/>
    </row>
    <row r="13" spans="1:10" ht="24.75" customHeight="1" x14ac:dyDescent="0.25">
      <c r="A13" s="11"/>
      <c r="B13" s="10" t="s">
        <v>1773</v>
      </c>
      <c r="C13" s="24">
        <f>SUM(C14:C67)</f>
        <v>118329</v>
      </c>
      <c r="D13" s="24">
        <f t="shared" ref="D13:E13" si="2">SUM(D14:D67)</f>
        <v>52707</v>
      </c>
      <c r="E13" s="24">
        <f t="shared" si="2"/>
        <v>65622</v>
      </c>
      <c r="H13"/>
      <c r="I13"/>
      <c r="J13"/>
    </row>
    <row r="14" spans="1:10" ht="24.75" customHeight="1" x14ac:dyDescent="0.25">
      <c r="A14" s="11">
        <v>1</v>
      </c>
      <c r="B14" s="11" t="s">
        <v>753</v>
      </c>
      <c r="C14" s="11">
        <v>932</v>
      </c>
      <c r="D14" s="11">
        <v>416</v>
      </c>
      <c r="E14" s="11">
        <v>516</v>
      </c>
      <c r="H14"/>
      <c r="I14"/>
      <c r="J14"/>
    </row>
    <row r="15" spans="1:10" ht="24.75" customHeight="1" x14ac:dyDescent="0.25">
      <c r="A15" s="11">
        <v>2</v>
      </c>
      <c r="B15" s="11" t="s">
        <v>754</v>
      </c>
      <c r="C15" s="11">
        <v>1743</v>
      </c>
      <c r="D15" s="11">
        <v>746</v>
      </c>
      <c r="E15" s="11">
        <v>997</v>
      </c>
      <c r="H15"/>
      <c r="I15"/>
      <c r="J15"/>
    </row>
    <row r="16" spans="1:10" ht="24.75" customHeight="1" x14ac:dyDescent="0.25">
      <c r="A16" s="11">
        <v>3</v>
      </c>
      <c r="B16" s="11" t="s">
        <v>299</v>
      </c>
      <c r="C16" s="11">
        <v>1217</v>
      </c>
      <c r="D16" s="11">
        <v>509</v>
      </c>
      <c r="E16" s="11">
        <v>708</v>
      </c>
      <c r="H16"/>
      <c r="I16"/>
      <c r="J16"/>
    </row>
    <row r="17" spans="1:10" ht="24.75" customHeight="1" x14ac:dyDescent="0.25">
      <c r="A17" s="11">
        <v>4</v>
      </c>
      <c r="B17" s="11" t="s">
        <v>215</v>
      </c>
      <c r="C17" s="11">
        <v>2784</v>
      </c>
      <c r="D17" s="11">
        <v>1259</v>
      </c>
      <c r="E17" s="11">
        <v>1525</v>
      </c>
      <c r="H17"/>
      <c r="I17"/>
      <c r="J17"/>
    </row>
    <row r="18" spans="1:10" ht="24.75" customHeight="1" x14ac:dyDescent="0.25">
      <c r="A18" s="11">
        <v>5</v>
      </c>
      <c r="B18" s="11" t="s">
        <v>755</v>
      </c>
      <c r="C18" s="11">
        <v>1804</v>
      </c>
      <c r="D18" s="11">
        <v>784</v>
      </c>
      <c r="E18" s="11">
        <v>1020</v>
      </c>
      <c r="H18"/>
      <c r="I18"/>
      <c r="J18"/>
    </row>
    <row r="19" spans="1:10" ht="24.75" customHeight="1" x14ac:dyDescent="0.25">
      <c r="A19" s="11">
        <v>6</v>
      </c>
      <c r="B19" s="11" t="s">
        <v>756</v>
      </c>
      <c r="C19" s="11">
        <v>1457</v>
      </c>
      <c r="D19" s="11">
        <v>623</v>
      </c>
      <c r="E19" s="11">
        <v>834</v>
      </c>
      <c r="H19"/>
      <c r="I19"/>
      <c r="J19"/>
    </row>
    <row r="20" spans="1:10" ht="24.75" customHeight="1" x14ac:dyDescent="0.25">
      <c r="A20" s="11">
        <v>7</v>
      </c>
      <c r="B20" s="11" t="s">
        <v>757</v>
      </c>
      <c r="C20" s="11">
        <v>1294</v>
      </c>
      <c r="D20" s="11">
        <v>555</v>
      </c>
      <c r="E20" s="11">
        <v>739</v>
      </c>
      <c r="H20"/>
      <c r="I20"/>
      <c r="J20"/>
    </row>
    <row r="21" spans="1:10" ht="24.75" customHeight="1" x14ac:dyDescent="0.25">
      <c r="A21" s="11">
        <v>8</v>
      </c>
      <c r="B21" s="11" t="s">
        <v>286</v>
      </c>
      <c r="C21" s="11">
        <v>994</v>
      </c>
      <c r="D21" s="11">
        <v>446</v>
      </c>
      <c r="E21" s="11">
        <v>548</v>
      </c>
      <c r="H21"/>
      <c r="I21"/>
      <c r="J21"/>
    </row>
    <row r="22" spans="1:10" ht="24.75" customHeight="1" x14ac:dyDescent="0.25">
      <c r="A22" s="11">
        <v>9</v>
      </c>
      <c r="B22" s="11" t="s">
        <v>758</v>
      </c>
      <c r="C22" s="11">
        <v>594</v>
      </c>
      <c r="D22" s="11">
        <v>272</v>
      </c>
      <c r="E22" s="11">
        <v>322</v>
      </c>
      <c r="H22"/>
      <c r="I22"/>
      <c r="J22"/>
    </row>
    <row r="23" spans="1:10" ht="24.75" customHeight="1" x14ac:dyDescent="0.25">
      <c r="A23" s="11">
        <v>10</v>
      </c>
      <c r="B23" s="11" t="s">
        <v>533</v>
      </c>
      <c r="C23" s="11">
        <v>2459</v>
      </c>
      <c r="D23" s="11">
        <v>1128</v>
      </c>
      <c r="E23" s="11">
        <v>1331</v>
      </c>
      <c r="H23"/>
      <c r="I23"/>
      <c r="J23"/>
    </row>
    <row r="24" spans="1:10" ht="24.75" customHeight="1" x14ac:dyDescent="0.25">
      <c r="A24" s="11">
        <v>11</v>
      </c>
      <c r="B24" s="11" t="s">
        <v>180</v>
      </c>
      <c r="C24" s="11">
        <v>1727</v>
      </c>
      <c r="D24" s="11">
        <v>776</v>
      </c>
      <c r="E24" s="11">
        <v>951</v>
      </c>
      <c r="H24"/>
      <c r="I24"/>
      <c r="J24"/>
    </row>
    <row r="25" spans="1:10" ht="24.75" customHeight="1" x14ac:dyDescent="0.25">
      <c r="A25" s="11">
        <v>12</v>
      </c>
      <c r="B25" s="11" t="s">
        <v>759</v>
      </c>
      <c r="C25" s="11">
        <v>2020</v>
      </c>
      <c r="D25" s="11">
        <v>881</v>
      </c>
      <c r="E25" s="11">
        <v>1139</v>
      </c>
      <c r="H25"/>
      <c r="I25"/>
      <c r="J25"/>
    </row>
    <row r="26" spans="1:10" ht="24.75" customHeight="1" x14ac:dyDescent="0.25">
      <c r="A26" s="11">
        <v>13</v>
      </c>
      <c r="B26" s="11" t="s">
        <v>760</v>
      </c>
      <c r="C26" s="11">
        <v>1906</v>
      </c>
      <c r="D26" s="11">
        <v>902</v>
      </c>
      <c r="E26" s="11">
        <v>1004</v>
      </c>
      <c r="H26"/>
      <c r="I26"/>
      <c r="J26"/>
    </row>
    <row r="27" spans="1:10" ht="24.75" customHeight="1" x14ac:dyDescent="0.25">
      <c r="A27" s="11">
        <v>14</v>
      </c>
      <c r="B27" s="11" t="s">
        <v>761</v>
      </c>
      <c r="C27" s="11">
        <v>3979</v>
      </c>
      <c r="D27" s="11">
        <v>1752</v>
      </c>
      <c r="E27" s="11">
        <v>2227</v>
      </c>
      <c r="H27"/>
      <c r="I27"/>
      <c r="J27"/>
    </row>
    <row r="28" spans="1:10" ht="24.75" customHeight="1" x14ac:dyDescent="0.25">
      <c r="A28" s="11">
        <v>15</v>
      </c>
      <c r="B28" s="11" t="s">
        <v>762</v>
      </c>
      <c r="C28" s="11">
        <v>2354</v>
      </c>
      <c r="D28" s="11">
        <v>1057</v>
      </c>
      <c r="E28" s="11">
        <v>1297</v>
      </c>
      <c r="H28"/>
      <c r="I28"/>
      <c r="J28"/>
    </row>
    <row r="29" spans="1:10" ht="24.75" customHeight="1" x14ac:dyDescent="0.25">
      <c r="A29" s="11">
        <v>16</v>
      </c>
      <c r="B29" s="11" t="s">
        <v>763</v>
      </c>
      <c r="C29" s="11">
        <v>3667</v>
      </c>
      <c r="D29" s="11">
        <v>1671</v>
      </c>
      <c r="E29" s="11">
        <v>1996</v>
      </c>
      <c r="H29"/>
      <c r="I29"/>
      <c r="J29"/>
    </row>
    <row r="30" spans="1:10" ht="24.75" customHeight="1" x14ac:dyDescent="0.25">
      <c r="A30" s="11">
        <v>17</v>
      </c>
      <c r="B30" s="11" t="s">
        <v>69</v>
      </c>
      <c r="C30" s="11">
        <v>5078</v>
      </c>
      <c r="D30" s="11">
        <v>2225</v>
      </c>
      <c r="E30" s="11">
        <v>2853</v>
      </c>
      <c r="H30"/>
      <c r="I30"/>
      <c r="J30"/>
    </row>
    <row r="31" spans="1:10" ht="24.75" customHeight="1" x14ac:dyDescent="0.25">
      <c r="A31" s="11">
        <v>18</v>
      </c>
      <c r="B31" s="11" t="s">
        <v>764</v>
      </c>
      <c r="C31" s="11">
        <v>2017</v>
      </c>
      <c r="D31" s="11">
        <v>878</v>
      </c>
      <c r="E31" s="11">
        <v>1139</v>
      </c>
      <c r="H31"/>
      <c r="I31"/>
      <c r="J31"/>
    </row>
    <row r="32" spans="1:10" ht="24.75" customHeight="1" x14ac:dyDescent="0.25">
      <c r="A32" s="11">
        <v>19</v>
      </c>
      <c r="B32" s="11" t="s">
        <v>765</v>
      </c>
      <c r="C32" s="11">
        <v>2185</v>
      </c>
      <c r="D32" s="11">
        <v>1006</v>
      </c>
      <c r="E32" s="11">
        <v>1179</v>
      </c>
      <c r="H32"/>
      <c r="I32"/>
      <c r="J32"/>
    </row>
    <row r="33" spans="1:10" ht="24.75" customHeight="1" x14ac:dyDescent="0.25">
      <c r="A33" s="11">
        <v>20</v>
      </c>
      <c r="B33" s="11" t="s">
        <v>766</v>
      </c>
      <c r="C33" s="11">
        <v>1052</v>
      </c>
      <c r="D33" s="11">
        <v>453</v>
      </c>
      <c r="E33" s="11">
        <v>599</v>
      </c>
      <c r="H33"/>
      <c r="I33"/>
      <c r="J33"/>
    </row>
    <row r="34" spans="1:10" ht="24.75" customHeight="1" x14ac:dyDescent="0.25">
      <c r="A34" s="11">
        <v>21</v>
      </c>
      <c r="B34" s="11" t="s">
        <v>271</v>
      </c>
      <c r="C34" s="11">
        <v>5110</v>
      </c>
      <c r="D34" s="11">
        <v>2250</v>
      </c>
      <c r="E34" s="11">
        <v>2860</v>
      </c>
      <c r="H34"/>
      <c r="I34"/>
      <c r="J34"/>
    </row>
    <row r="35" spans="1:10" ht="24.75" customHeight="1" x14ac:dyDescent="0.25">
      <c r="A35" s="11">
        <v>22</v>
      </c>
      <c r="B35" s="11" t="s">
        <v>767</v>
      </c>
      <c r="C35" s="11">
        <v>1227</v>
      </c>
      <c r="D35" s="11">
        <v>537</v>
      </c>
      <c r="E35" s="11">
        <v>690</v>
      </c>
      <c r="H35"/>
      <c r="I35"/>
      <c r="J35"/>
    </row>
    <row r="36" spans="1:10" ht="24.75" customHeight="1" x14ac:dyDescent="0.25">
      <c r="A36" s="11">
        <v>23</v>
      </c>
      <c r="B36" s="11" t="s">
        <v>768</v>
      </c>
      <c r="C36" s="11">
        <v>2514</v>
      </c>
      <c r="D36" s="11">
        <v>1072</v>
      </c>
      <c r="E36" s="11">
        <v>1442</v>
      </c>
      <c r="H36"/>
      <c r="I36"/>
      <c r="J36"/>
    </row>
    <row r="37" spans="1:10" ht="24.75" customHeight="1" x14ac:dyDescent="0.25">
      <c r="A37" s="11">
        <v>24</v>
      </c>
      <c r="B37" s="11" t="s">
        <v>769</v>
      </c>
      <c r="C37" s="11">
        <v>1859</v>
      </c>
      <c r="D37" s="11">
        <v>869</v>
      </c>
      <c r="E37" s="11">
        <v>990</v>
      </c>
      <c r="H37"/>
      <c r="I37"/>
      <c r="J37"/>
    </row>
    <row r="38" spans="1:10" ht="24.75" customHeight="1" x14ac:dyDescent="0.25">
      <c r="A38" s="11">
        <v>25</v>
      </c>
      <c r="B38" s="11" t="s">
        <v>770</v>
      </c>
      <c r="C38" s="11">
        <v>2120</v>
      </c>
      <c r="D38" s="11">
        <v>921</v>
      </c>
      <c r="E38" s="11">
        <v>1199</v>
      </c>
      <c r="H38"/>
      <c r="I38"/>
      <c r="J38"/>
    </row>
    <row r="39" spans="1:10" ht="24.75" customHeight="1" x14ac:dyDescent="0.25">
      <c r="A39" s="11">
        <v>26</v>
      </c>
      <c r="B39" s="11" t="s">
        <v>771</v>
      </c>
      <c r="C39" s="11">
        <v>2649</v>
      </c>
      <c r="D39" s="11">
        <v>1160</v>
      </c>
      <c r="E39" s="11">
        <v>1489</v>
      </c>
      <c r="H39"/>
      <c r="I39"/>
      <c r="J39"/>
    </row>
    <row r="40" spans="1:10" ht="24.75" customHeight="1" x14ac:dyDescent="0.25">
      <c r="A40" s="11">
        <v>27</v>
      </c>
      <c r="B40" s="11" t="s">
        <v>772</v>
      </c>
      <c r="C40" s="11">
        <v>892</v>
      </c>
      <c r="D40" s="11">
        <v>402</v>
      </c>
      <c r="E40" s="11">
        <v>490</v>
      </c>
      <c r="H40"/>
      <c r="I40"/>
      <c r="J40"/>
    </row>
    <row r="41" spans="1:10" ht="24.75" customHeight="1" x14ac:dyDescent="0.25">
      <c r="A41" s="11">
        <v>28</v>
      </c>
      <c r="B41" s="11" t="s">
        <v>773</v>
      </c>
      <c r="C41" s="11">
        <v>751</v>
      </c>
      <c r="D41" s="11">
        <v>293</v>
      </c>
      <c r="E41" s="11">
        <v>458</v>
      </c>
      <c r="H41"/>
      <c r="I41"/>
      <c r="J41"/>
    </row>
    <row r="42" spans="1:10" ht="24.75" customHeight="1" x14ac:dyDescent="0.25">
      <c r="A42" s="11">
        <v>29</v>
      </c>
      <c r="B42" s="11" t="s">
        <v>774</v>
      </c>
      <c r="C42" s="11">
        <v>1533</v>
      </c>
      <c r="D42" s="11">
        <v>641</v>
      </c>
      <c r="E42" s="11">
        <v>892</v>
      </c>
      <c r="H42"/>
      <c r="I42"/>
      <c r="J42"/>
    </row>
    <row r="43" spans="1:10" ht="24.75" customHeight="1" x14ac:dyDescent="0.25">
      <c r="A43" s="11">
        <v>30</v>
      </c>
      <c r="B43" s="11" t="s">
        <v>638</v>
      </c>
      <c r="C43" s="11">
        <v>4713</v>
      </c>
      <c r="D43" s="11">
        <v>2187</v>
      </c>
      <c r="E43" s="11">
        <v>2526</v>
      </c>
      <c r="H43"/>
      <c r="I43"/>
      <c r="J43"/>
    </row>
    <row r="44" spans="1:10" ht="24.75" customHeight="1" x14ac:dyDescent="0.25">
      <c r="A44" s="11">
        <v>31</v>
      </c>
      <c r="B44" s="11" t="s">
        <v>775</v>
      </c>
      <c r="C44" s="11">
        <v>1832</v>
      </c>
      <c r="D44" s="11">
        <v>846</v>
      </c>
      <c r="E44" s="11">
        <v>986</v>
      </c>
      <c r="H44"/>
      <c r="I44"/>
      <c r="J44"/>
    </row>
    <row r="45" spans="1:10" ht="24.75" customHeight="1" x14ac:dyDescent="0.25">
      <c r="A45" s="11">
        <v>32</v>
      </c>
      <c r="B45" s="11" t="s">
        <v>776</v>
      </c>
      <c r="C45" s="11">
        <v>2131</v>
      </c>
      <c r="D45" s="11">
        <v>933</v>
      </c>
      <c r="E45" s="11">
        <v>1198</v>
      </c>
      <c r="H45"/>
      <c r="I45"/>
      <c r="J45"/>
    </row>
    <row r="46" spans="1:10" ht="24.75" customHeight="1" x14ac:dyDescent="0.25">
      <c r="A46" s="11">
        <v>33</v>
      </c>
      <c r="B46" s="11" t="s">
        <v>777</v>
      </c>
      <c r="C46" s="11">
        <v>625</v>
      </c>
      <c r="D46" s="11">
        <v>248</v>
      </c>
      <c r="E46" s="11">
        <v>377</v>
      </c>
      <c r="H46"/>
      <c r="I46"/>
      <c r="J46"/>
    </row>
    <row r="47" spans="1:10" ht="24.75" customHeight="1" x14ac:dyDescent="0.25">
      <c r="A47" s="11">
        <v>34</v>
      </c>
      <c r="B47" s="11" t="s">
        <v>778</v>
      </c>
      <c r="C47" s="11">
        <v>4392</v>
      </c>
      <c r="D47" s="11">
        <v>1974</v>
      </c>
      <c r="E47" s="11">
        <v>2418</v>
      </c>
      <c r="H47"/>
      <c r="I47"/>
      <c r="J47"/>
    </row>
    <row r="48" spans="1:10" ht="24.75" customHeight="1" x14ac:dyDescent="0.25">
      <c r="A48" s="11">
        <v>35</v>
      </c>
      <c r="B48" s="11" t="s">
        <v>779</v>
      </c>
      <c r="C48" s="11">
        <v>1830</v>
      </c>
      <c r="D48" s="11">
        <v>848</v>
      </c>
      <c r="E48" s="11">
        <v>982</v>
      </c>
      <c r="H48"/>
      <c r="I48"/>
      <c r="J48"/>
    </row>
    <row r="49" spans="1:10" ht="24.75" customHeight="1" x14ac:dyDescent="0.25">
      <c r="A49" s="11">
        <v>36</v>
      </c>
      <c r="B49" s="11" t="s">
        <v>291</v>
      </c>
      <c r="C49" s="11">
        <v>1582</v>
      </c>
      <c r="D49" s="11">
        <v>667</v>
      </c>
      <c r="E49" s="11">
        <v>915</v>
      </c>
      <c r="H49"/>
      <c r="I49"/>
      <c r="J49"/>
    </row>
    <row r="50" spans="1:10" ht="24.75" customHeight="1" x14ac:dyDescent="0.25">
      <c r="A50" s="11">
        <v>37</v>
      </c>
      <c r="B50" s="11" t="s">
        <v>552</v>
      </c>
      <c r="C50" s="11">
        <v>2326</v>
      </c>
      <c r="D50" s="11">
        <v>1067</v>
      </c>
      <c r="E50" s="11">
        <v>1259</v>
      </c>
      <c r="H50"/>
      <c r="I50"/>
      <c r="J50"/>
    </row>
    <row r="51" spans="1:10" ht="24.75" customHeight="1" x14ac:dyDescent="0.25">
      <c r="A51" s="11">
        <v>38</v>
      </c>
      <c r="B51" s="11" t="s">
        <v>428</v>
      </c>
      <c r="C51" s="11">
        <v>4879</v>
      </c>
      <c r="D51" s="11">
        <v>2212</v>
      </c>
      <c r="E51" s="11">
        <v>2667</v>
      </c>
      <c r="H51"/>
      <c r="I51"/>
      <c r="J51"/>
    </row>
    <row r="52" spans="1:10" ht="24.75" customHeight="1" x14ac:dyDescent="0.25">
      <c r="A52" s="11">
        <v>39</v>
      </c>
      <c r="B52" s="11" t="s">
        <v>780</v>
      </c>
      <c r="C52" s="11">
        <v>2553</v>
      </c>
      <c r="D52" s="11">
        <v>1111</v>
      </c>
      <c r="E52" s="11">
        <v>1442</v>
      </c>
      <c r="H52"/>
      <c r="I52"/>
      <c r="J52"/>
    </row>
    <row r="53" spans="1:10" ht="24.75" customHeight="1" x14ac:dyDescent="0.25">
      <c r="A53" s="11">
        <v>40</v>
      </c>
      <c r="B53" s="11" t="s">
        <v>781</v>
      </c>
      <c r="C53" s="11">
        <v>2045</v>
      </c>
      <c r="D53" s="11">
        <v>925</v>
      </c>
      <c r="E53" s="11">
        <v>1120</v>
      </c>
      <c r="H53"/>
      <c r="I53"/>
      <c r="J53"/>
    </row>
    <row r="54" spans="1:10" ht="24.75" customHeight="1" x14ac:dyDescent="0.25">
      <c r="A54" s="11">
        <v>41</v>
      </c>
      <c r="B54" s="11" t="s">
        <v>782</v>
      </c>
      <c r="C54" s="11">
        <v>1584</v>
      </c>
      <c r="D54" s="11">
        <v>688</v>
      </c>
      <c r="E54" s="11">
        <v>896</v>
      </c>
      <c r="H54"/>
      <c r="I54"/>
      <c r="J54"/>
    </row>
    <row r="55" spans="1:10" ht="24.75" customHeight="1" x14ac:dyDescent="0.25">
      <c r="A55" s="11">
        <v>42</v>
      </c>
      <c r="B55" s="11" t="s">
        <v>783</v>
      </c>
      <c r="C55" s="11">
        <v>1872</v>
      </c>
      <c r="D55" s="11">
        <v>863</v>
      </c>
      <c r="E55" s="11">
        <v>1009</v>
      </c>
      <c r="H55"/>
      <c r="I55"/>
      <c r="J55"/>
    </row>
    <row r="56" spans="1:10" ht="24.75" customHeight="1" x14ac:dyDescent="0.25">
      <c r="A56" s="11">
        <v>43</v>
      </c>
      <c r="B56" s="11" t="s">
        <v>214</v>
      </c>
      <c r="C56" s="11">
        <v>1519</v>
      </c>
      <c r="D56" s="11">
        <v>576</v>
      </c>
      <c r="E56" s="11">
        <v>943</v>
      </c>
      <c r="H56"/>
      <c r="I56"/>
      <c r="J56"/>
    </row>
    <row r="57" spans="1:10" ht="24.75" customHeight="1" x14ac:dyDescent="0.25">
      <c r="A57" s="11">
        <v>44</v>
      </c>
      <c r="B57" s="11" t="s">
        <v>39</v>
      </c>
      <c r="C57" s="11">
        <v>1928</v>
      </c>
      <c r="D57" s="11">
        <v>903</v>
      </c>
      <c r="E57" s="11">
        <v>1025</v>
      </c>
      <c r="H57"/>
      <c r="I57"/>
      <c r="J57"/>
    </row>
    <row r="58" spans="1:10" ht="24.75" customHeight="1" x14ac:dyDescent="0.25">
      <c r="A58" s="11">
        <v>45</v>
      </c>
      <c r="B58" s="11" t="s">
        <v>784</v>
      </c>
      <c r="C58" s="11">
        <v>3142</v>
      </c>
      <c r="D58" s="11">
        <v>1408</v>
      </c>
      <c r="E58" s="11">
        <v>1734</v>
      </c>
      <c r="H58"/>
      <c r="I58"/>
      <c r="J58"/>
    </row>
    <row r="59" spans="1:10" ht="24.75" customHeight="1" x14ac:dyDescent="0.25">
      <c r="A59" s="11">
        <v>46</v>
      </c>
      <c r="B59" s="11" t="s">
        <v>785</v>
      </c>
      <c r="C59" s="11">
        <v>1661</v>
      </c>
      <c r="D59" s="11">
        <v>746</v>
      </c>
      <c r="E59" s="11">
        <v>915</v>
      </c>
      <c r="H59"/>
      <c r="I59"/>
      <c r="J59"/>
    </row>
    <row r="60" spans="1:10" ht="24.75" customHeight="1" x14ac:dyDescent="0.25">
      <c r="A60" s="11">
        <v>47</v>
      </c>
      <c r="B60" s="11" t="s">
        <v>786</v>
      </c>
      <c r="C60" s="11">
        <v>2132</v>
      </c>
      <c r="D60" s="11">
        <v>922</v>
      </c>
      <c r="E60" s="11">
        <v>1210</v>
      </c>
      <c r="H60"/>
      <c r="I60"/>
      <c r="J60"/>
    </row>
    <row r="61" spans="1:10" ht="24.75" customHeight="1" x14ac:dyDescent="0.25">
      <c r="A61" s="11">
        <v>48</v>
      </c>
      <c r="B61" s="11" t="s">
        <v>787</v>
      </c>
      <c r="C61" s="11">
        <v>1962</v>
      </c>
      <c r="D61" s="11">
        <v>954</v>
      </c>
      <c r="E61" s="11">
        <v>1008</v>
      </c>
      <c r="H61"/>
      <c r="I61"/>
      <c r="J61"/>
    </row>
    <row r="62" spans="1:10" ht="24.75" customHeight="1" x14ac:dyDescent="0.25">
      <c r="A62" s="11">
        <v>49</v>
      </c>
      <c r="B62" s="11" t="s">
        <v>788</v>
      </c>
      <c r="C62" s="11">
        <v>2904</v>
      </c>
      <c r="D62" s="11">
        <v>1255</v>
      </c>
      <c r="E62" s="11">
        <v>1649</v>
      </c>
      <c r="H62"/>
      <c r="I62"/>
      <c r="J62"/>
    </row>
    <row r="63" spans="1:10" ht="24.75" customHeight="1" x14ac:dyDescent="0.25">
      <c r="A63" s="11">
        <v>50</v>
      </c>
      <c r="B63" s="11" t="s">
        <v>789</v>
      </c>
      <c r="C63" s="11">
        <v>958</v>
      </c>
      <c r="D63" s="11">
        <v>448</v>
      </c>
      <c r="E63" s="11">
        <v>510</v>
      </c>
      <c r="H63"/>
      <c r="I63"/>
      <c r="J63"/>
    </row>
    <row r="64" spans="1:10" ht="24.75" customHeight="1" x14ac:dyDescent="0.25">
      <c r="A64" s="11">
        <v>51</v>
      </c>
      <c r="B64" s="11" t="s">
        <v>790</v>
      </c>
      <c r="C64" s="11">
        <v>1279</v>
      </c>
      <c r="D64" s="11">
        <v>571</v>
      </c>
      <c r="E64" s="11">
        <v>708</v>
      </c>
      <c r="H64"/>
      <c r="I64"/>
      <c r="J64"/>
    </row>
    <row r="65" spans="1:10" ht="24.75" customHeight="1" x14ac:dyDescent="0.25">
      <c r="A65" s="11">
        <v>52</v>
      </c>
      <c r="B65" s="11" t="s">
        <v>791</v>
      </c>
      <c r="C65" s="11">
        <v>1151</v>
      </c>
      <c r="D65" s="11">
        <v>444</v>
      </c>
      <c r="E65" s="11">
        <v>707</v>
      </c>
      <c r="H65"/>
      <c r="I65"/>
      <c r="J65"/>
    </row>
    <row r="66" spans="1:10" ht="24.75" customHeight="1" x14ac:dyDescent="0.25">
      <c r="A66" s="11">
        <v>53</v>
      </c>
      <c r="B66" s="11" t="s">
        <v>327</v>
      </c>
      <c r="C66" s="11">
        <v>3405</v>
      </c>
      <c r="D66" s="11">
        <v>1510</v>
      </c>
      <c r="E66" s="11">
        <v>1895</v>
      </c>
      <c r="H66"/>
      <c r="I66"/>
      <c r="J66"/>
    </row>
    <row r="67" spans="1:10" ht="24.75" customHeight="1" x14ac:dyDescent="0.25">
      <c r="A67" s="11">
        <v>54</v>
      </c>
      <c r="B67" s="12" t="s">
        <v>792</v>
      </c>
      <c r="C67" s="12">
        <v>4006</v>
      </c>
      <c r="D67" s="12">
        <v>1917</v>
      </c>
      <c r="E67" s="12">
        <v>2089</v>
      </c>
      <c r="H67"/>
      <c r="I67"/>
      <c r="J67"/>
    </row>
    <row r="68" spans="1:10" ht="24.75" customHeight="1" x14ac:dyDescent="0.25">
      <c r="A68" s="33"/>
      <c r="B68" s="18"/>
      <c r="C68" s="18"/>
      <c r="D68" s="18"/>
      <c r="E68" s="18"/>
    </row>
    <row r="69" spans="1:10" ht="24.75" customHeight="1" x14ac:dyDescent="0.25">
      <c r="A69" s="32"/>
      <c r="B69" s="20"/>
      <c r="C69" s="20"/>
      <c r="D69" s="20"/>
      <c r="E69" s="20"/>
    </row>
    <row r="70" spans="1:10" ht="24.75" customHeight="1" x14ac:dyDescent="0.25">
      <c r="A70" s="32"/>
      <c r="B70" s="20"/>
      <c r="C70" s="20"/>
      <c r="D70" s="20"/>
      <c r="E70" s="20"/>
    </row>
    <row r="71" spans="1:10" ht="24.75" customHeight="1" x14ac:dyDescent="0.25">
      <c r="A71" s="32"/>
      <c r="B71" s="20"/>
      <c r="C71" s="20"/>
      <c r="D71" s="20"/>
      <c r="E71" s="20"/>
    </row>
    <row r="72" spans="1:10" ht="24.75" customHeight="1" x14ac:dyDescent="0.25">
      <c r="A72" s="32"/>
      <c r="B72" s="20"/>
      <c r="C72" s="20"/>
      <c r="D72" s="20"/>
      <c r="E72" s="20"/>
    </row>
    <row r="73" spans="1:10" ht="24.75" customHeight="1" x14ac:dyDescent="0.25">
      <c r="A73" s="32"/>
      <c r="B73" s="20"/>
      <c r="C73" s="20"/>
      <c r="D73" s="20"/>
      <c r="E73" s="20"/>
    </row>
    <row r="74" spans="1:10" ht="24.75" customHeight="1" x14ac:dyDescent="0.25">
      <c r="A74" s="32"/>
      <c r="B74" s="20"/>
      <c r="C74" s="20"/>
      <c r="D74" s="20"/>
      <c r="E74" s="20"/>
    </row>
    <row r="75" spans="1:10" ht="24.75" customHeight="1" x14ac:dyDescent="0.25">
      <c r="A75" s="32"/>
      <c r="B75" s="20"/>
      <c r="C75" s="20"/>
      <c r="D75" s="20"/>
      <c r="E75" s="20"/>
    </row>
    <row r="76" spans="1:10" ht="24.75" customHeight="1" x14ac:dyDescent="0.25">
      <c r="A76" s="32"/>
      <c r="B76" s="20"/>
      <c r="C76" s="20"/>
      <c r="D76" s="20"/>
      <c r="E76" s="20"/>
    </row>
    <row r="77" spans="1:10" ht="24.75" customHeight="1" x14ac:dyDescent="0.25">
      <c r="A77" s="32"/>
      <c r="B77" s="20"/>
      <c r="C77" s="20"/>
      <c r="D77" s="20"/>
      <c r="E77" s="20"/>
    </row>
    <row r="78" spans="1:10" ht="24.75" customHeight="1" x14ac:dyDescent="0.25">
      <c r="A78" s="32"/>
      <c r="B78" s="20"/>
      <c r="C78" s="20"/>
      <c r="D78" s="20"/>
      <c r="E78" s="20"/>
    </row>
    <row r="79" spans="1:10" ht="24.75" customHeight="1" x14ac:dyDescent="0.25">
      <c r="A79" s="32"/>
      <c r="B79" s="20"/>
      <c r="C79" s="20"/>
      <c r="D79" s="20"/>
      <c r="E79" s="20"/>
    </row>
    <row r="80" spans="1:10" ht="24.75" customHeight="1" x14ac:dyDescent="0.25">
      <c r="A80" s="32"/>
      <c r="B80" s="20"/>
      <c r="C80" s="20"/>
      <c r="D80" s="20"/>
      <c r="E80" s="20"/>
    </row>
    <row r="81" spans="1:5" ht="24.75" customHeight="1" x14ac:dyDescent="0.25">
      <c r="A81" s="32"/>
      <c r="B81" s="20"/>
      <c r="C81" s="20"/>
      <c r="D81" s="20"/>
      <c r="E81" s="20"/>
    </row>
    <row r="82" spans="1:5" ht="24.75" customHeight="1" x14ac:dyDescent="0.25">
      <c r="A82" s="32"/>
      <c r="B82" s="20"/>
      <c r="C82" s="20"/>
      <c r="D82" s="20"/>
      <c r="E82" s="20"/>
    </row>
    <row r="83" spans="1:5" ht="24.75" customHeight="1" x14ac:dyDescent="0.25">
      <c r="A83" s="32"/>
      <c r="B83" s="20"/>
      <c r="C83" s="20"/>
      <c r="D83" s="20"/>
      <c r="E83" s="20"/>
    </row>
    <row r="84" spans="1:5" ht="24.75" customHeight="1" x14ac:dyDescent="0.25">
      <c r="A84" s="32"/>
      <c r="B84" s="20"/>
      <c r="C84" s="20"/>
      <c r="D84" s="20"/>
      <c r="E84" s="20"/>
    </row>
    <row r="85" spans="1:5" ht="24.75" customHeight="1" x14ac:dyDescent="0.25">
      <c r="A85" s="32"/>
      <c r="B85" s="20"/>
      <c r="C85" s="20"/>
      <c r="D85" s="20"/>
      <c r="E85" s="20"/>
    </row>
    <row r="86" spans="1:5" ht="24.75" customHeight="1" x14ac:dyDescent="0.25">
      <c r="A86" s="32"/>
      <c r="B86" s="20"/>
      <c r="C86" s="20"/>
      <c r="D86" s="20"/>
      <c r="E86" s="20"/>
    </row>
    <row r="87" spans="1:5" ht="24.75" customHeight="1" x14ac:dyDescent="0.25">
      <c r="A87" s="32"/>
      <c r="B87" s="20"/>
      <c r="C87" s="20"/>
      <c r="D87" s="20"/>
      <c r="E87" s="20"/>
    </row>
    <row r="88" spans="1:5" ht="24.75" customHeight="1" x14ac:dyDescent="0.25">
      <c r="A88" s="32"/>
      <c r="B88" s="20"/>
      <c r="C88" s="20"/>
      <c r="D88" s="20"/>
      <c r="E88" s="20"/>
    </row>
    <row r="89" spans="1:5" ht="24.75" customHeight="1" x14ac:dyDescent="0.25">
      <c r="A89" s="32"/>
      <c r="B89" s="20"/>
      <c r="C89" s="20"/>
      <c r="D89" s="20"/>
      <c r="E89" s="20"/>
    </row>
    <row r="90" spans="1:5" ht="24.75" customHeight="1" x14ac:dyDescent="0.25">
      <c r="A90" s="32"/>
      <c r="B90" s="20"/>
      <c r="C90" s="20"/>
      <c r="D90" s="20"/>
      <c r="E90" s="20"/>
    </row>
    <row r="91" spans="1:5" ht="24.75" customHeight="1" x14ac:dyDescent="0.25">
      <c r="A91" s="32"/>
      <c r="B91" s="20"/>
      <c r="C91" s="20"/>
      <c r="D91" s="20"/>
      <c r="E91" s="20"/>
    </row>
    <row r="92" spans="1:5" ht="24.75" customHeight="1" x14ac:dyDescent="0.25">
      <c r="A92" s="32"/>
      <c r="B92" s="20"/>
      <c r="C92" s="20"/>
      <c r="D92" s="20"/>
      <c r="E92" s="20"/>
    </row>
    <row r="93" spans="1:5" ht="24.75" customHeight="1" x14ac:dyDescent="0.25">
      <c r="A93" s="32"/>
      <c r="B93" s="20"/>
      <c r="C93" s="20"/>
      <c r="D93" s="20"/>
      <c r="E93" s="20"/>
    </row>
    <row r="94" spans="1:5" ht="24.75" customHeight="1" x14ac:dyDescent="0.25">
      <c r="A94" s="32"/>
      <c r="B94" s="32"/>
      <c r="C94" s="32"/>
      <c r="D94" s="32"/>
      <c r="E94" s="32"/>
    </row>
    <row r="95" spans="1:5" ht="24.75" customHeight="1" x14ac:dyDescent="0.25">
      <c r="A95" s="32"/>
      <c r="B95" s="32"/>
      <c r="C95" s="32"/>
      <c r="D95" s="32"/>
      <c r="E95" s="32"/>
    </row>
    <row r="96" spans="1:5" ht="24.75" customHeight="1" x14ac:dyDescent="0.25">
      <c r="A96" s="6"/>
      <c r="B96" s="6"/>
      <c r="C96" s="6"/>
      <c r="D96" s="6"/>
      <c r="E96" s="6"/>
    </row>
    <row r="97" spans="1:5" ht="24.75" customHeight="1" x14ac:dyDescent="0.25">
      <c r="A97" s="6"/>
      <c r="B97" s="6"/>
      <c r="C97" s="6"/>
      <c r="D97" s="6"/>
      <c r="E97" s="6"/>
    </row>
    <row r="98" spans="1:5" ht="24.75" customHeight="1" x14ac:dyDescent="0.25">
      <c r="A98" s="6"/>
      <c r="B98" s="6"/>
      <c r="C98" s="6"/>
      <c r="D98" s="6"/>
      <c r="E98" s="6"/>
    </row>
    <row r="99" spans="1:5" ht="24.75" customHeight="1" x14ac:dyDescent="0.25">
      <c r="A99" s="6"/>
      <c r="B99" s="6"/>
      <c r="C99" s="6"/>
      <c r="D99" s="6"/>
      <c r="E99" s="6"/>
    </row>
    <row r="100" spans="1:5" ht="24.75" customHeight="1" x14ac:dyDescent="0.25">
      <c r="A100" s="6"/>
      <c r="B100" s="6"/>
      <c r="C100" s="6"/>
      <c r="D100" s="6"/>
      <c r="E100" s="6"/>
    </row>
    <row r="101" spans="1:5" ht="24.75" customHeight="1" x14ac:dyDescent="0.25">
      <c r="A101" s="6"/>
      <c r="B101" s="6"/>
      <c r="C101" s="6"/>
      <c r="D101" s="6"/>
      <c r="E101" s="6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Monywa District, Butalin Township"/>
  </hyperlinks>
  <pageMargins left="0.75" right="0.5" top="0.5" bottom="0.2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workbookViewId="0">
      <selection sqref="A1:E1"/>
    </sheetView>
  </sheetViews>
  <sheetFormatPr defaultRowHeight="24.75" customHeight="1" x14ac:dyDescent="0.25"/>
  <cols>
    <col min="1" max="1" width="6.28515625" style="3" customWidth="1"/>
    <col min="2" max="2" width="33" style="3" customWidth="1"/>
    <col min="3" max="5" width="15.7109375" style="3" customWidth="1"/>
    <col min="6" max="16384" width="9.140625" style="3"/>
  </cols>
  <sheetData>
    <row r="1" spans="1:13" ht="24.75" customHeight="1" x14ac:dyDescent="0.25">
      <c r="A1" s="67" t="s">
        <v>1739</v>
      </c>
      <c r="B1" s="67"/>
      <c r="C1" s="67"/>
      <c r="D1" s="67"/>
      <c r="E1" s="67"/>
    </row>
    <row r="2" spans="1:13" ht="24.75" customHeight="1" x14ac:dyDescent="0.4">
      <c r="A2" s="2"/>
      <c r="B2" s="7"/>
      <c r="C2" s="7"/>
      <c r="D2" s="7"/>
      <c r="E2" s="56" t="s">
        <v>1722</v>
      </c>
    </row>
    <row r="3" spans="1:13" ht="24.75" customHeight="1" x14ac:dyDescent="0.4">
      <c r="A3" s="2"/>
      <c r="B3" s="7"/>
      <c r="C3" s="7"/>
      <c r="D3" s="7"/>
      <c r="E3" s="56"/>
    </row>
    <row r="4" spans="1:13" ht="10.5" customHeight="1" x14ac:dyDescent="0.4">
      <c r="A4" s="2"/>
      <c r="B4" s="7"/>
      <c r="C4" s="7"/>
      <c r="D4" s="7"/>
      <c r="E4" s="7"/>
    </row>
    <row r="5" spans="1:13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13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13" ht="24.75" customHeight="1" x14ac:dyDescent="0.25">
      <c r="A7" s="9"/>
      <c r="B7" s="9" t="s">
        <v>1772</v>
      </c>
      <c r="C7" s="22">
        <f>C9+C13</f>
        <v>155769</v>
      </c>
      <c r="D7" s="22">
        <f t="shared" ref="D7:E7" si="0">D9+D13</f>
        <v>70734</v>
      </c>
      <c r="E7" s="22">
        <f t="shared" si="0"/>
        <v>85035</v>
      </c>
      <c r="G7"/>
      <c r="H7"/>
      <c r="I7"/>
      <c r="J7"/>
      <c r="K7"/>
      <c r="L7"/>
      <c r="M7"/>
    </row>
    <row r="8" spans="1:13" ht="10.5" customHeight="1" x14ac:dyDescent="0.25">
      <c r="A8" s="10"/>
      <c r="B8" s="23"/>
      <c r="C8" s="23"/>
      <c r="D8" s="23"/>
      <c r="E8" s="23"/>
      <c r="G8"/>
      <c r="H8"/>
      <c r="I8"/>
      <c r="J8"/>
      <c r="K8"/>
      <c r="L8"/>
      <c r="M8"/>
    </row>
    <row r="9" spans="1:13" ht="21.95" customHeight="1" x14ac:dyDescent="0.25">
      <c r="A9" s="10"/>
      <c r="B9" s="10" t="s">
        <v>1725</v>
      </c>
      <c r="C9" s="24">
        <f>SUM(C10:C12)</f>
        <v>9516</v>
      </c>
      <c r="D9" s="24">
        <f t="shared" ref="D9:E9" si="1">SUM(D10:D12)</f>
        <v>4369</v>
      </c>
      <c r="E9" s="24">
        <f t="shared" si="1"/>
        <v>5147</v>
      </c>
      <c r="G9"/>
      <c r="H9"/>
      <c r="I9"/>
      <c r="J9"/>
      <c r="K9"/>
      <c r="L9"/>
      <c r="M9"/>
    </row>
    <row r="10" spans="1:13" ht="21.95" customHeight="1" x14ac:dyDescent="0.25">
      <c r="A10" s="11">
        <v>1</v>
      </c>
      <c r="B10" s="11" t="s">
        <v>203</v>
      </c>
      <c r="C10" s="11">
        <v>4519</v>
      </c>
      <c r="D10" s="11">
        <v>2062</v>
      </c>
      <c r="E10" s="11">
        <v>2457</v>
      </c>
      <c r="G10"/>
      <c r="H10"/>
      <c r="I10"/>
      <c r="J10"/>
      <c r="K10"/>
      <c r="L10"/>
      <c r="M10"/>
    </row>
    <row r="11" spans="1:13" ht="21.95" customHeight="1" x14ac:dyDescent="0.25">
      <c r="A11" s="11">
        <v>2</v>
      </c>
      <c r="B11" s="11" t="s">
        <v>204</v>
      </c>
      <c r="C11" s="11">
        <v>2429</v>
      </c>
      <c r="D11" s="11">
        <v>1052</v>
      </c>
      <c r="E11" s="11">
        <v>1377</v>
      </c>
      <c r="G11"/>
      <c r="H11"/>
      <c r="I11"/>
      <c r="J11"/>
      <c r="K11"/>
      <c r="L11"/>
      <c r="M11"/>
    </row>
    <row r="12" spans="1:13" ht="21.95" customHeight="1" x14ac:dyDescent="0.25">
      <c r="A12" s="11">
        <v>3</v>
      </c>
      <c r="B12" s="11" t="s">
        <v>205</v>
      </c>
      <c r="C12" s="11">
        <v>2568</v>
      </c>
      <c r="D12" s="11">
        <v>1255</v>
      </c>
      <c r="E12" s="11">
        <v>1313</v>
      </c>
      <c r="G12"/>
      <c r="H12"/>
      <c r="I12"/>
      <c r="J12"/>
      <c r="K12"/>
      <c r="L12"/>
      <c r="M12"/>
    </row>
    <row r="13" spans="1:13" ht="21.95" customHeight="1" x14ac:dyDescent="0.25">
      <c r="A13" s="11"/>
      <c r="B13" s="10" t="s">
        <v>1773</v>
      </c>
      <c r="C13" s="24">
        <f>SUM(C14:C51)</f>
        <v>146253</v>
      </c>
      <c r="D13" s="24">
        <f t="shared" ref="D13:E13" si="2">SUM(D14:D51)</f>
        <v>66365</v>
      </c>
      <c r="E13" s="24">
        <f t="shared" si="2"/>
        <v>79888</v>
      </c>
      <c r="G13"/>
      <c r="H13"/>
      <c r="I13"/>
      <c r="J13"/>
      <c r="K13"/>
      <c r="L13"/>
      <c r="M13"/>
    </row>
    <row r="14" spans="1:13" ht="21.95" customHeight="1" x14ac:dyDescent="0.25">
      <c r="A14" s="11">
        <v>1</v>
      </c>
      <c r="B14" s="11" t="s">
        <v>793</v>
      </c>
      <c r="C14" s="11">
        <v>3451</v>
      </c>
      <c r="D14" s="11">
        <v>1908</v>
      </c>
      <c r="E14" s="11">
        <v>1543</v>
      </c>
      <c r="G14"/>
      <c r="H14"/>
      <c r="I14"/>
      <c r="J14"/>
      <c r="K14"/>
      <c r="L14"/>
      <c r="M14"/>
    </row>
    <row r="15" spans="1:13" ht="21.95" customHeight="1" x14ac:dyDescent="0.25">
      <c r="A15" s="11">
        <v>2</v>
      </c>
      <c r="B15" s="11" t="s">
        <v>244</v>
      </c>
      <c r="C15" s="11">
        <v>4899</v>
      </c>
      <c r="D15" s="11">
        <v>2208</v>
      </c>
      <c r="E15" s="11">
        <v>2691</v>
      </c>
      <c r="G15"/>
      <c r="H15"/>
      <c r="I15"/>
      <c r="J15"/>
      <c r="K15"/>
      <c r="L15"/>
      <c r="M15"/>
    </row>
    <row r="16" spans="1:13" ht="21.95" customHeight="1" x14ac:dyDescent="0.25">
      <c r="A16" s="11">
        <v>3</v>
      </c>
      <c r="B16" s="11" t="s">
        <v>794</v>
      </c>
      <c r="C16" s="11">
        <v>8925</v>
      </c>
      <c r="D16" s="11">
        <v>3995</v>
      </c>
      <c r="E16" s="11">
        <v>4930</v>
      </c>
      <c r="G16"/>
      <c r="H16"/>
      <c r="I16"/>
      <c r="J16"/>
      <c r="K16"/>
      <c r="L16"/>
      <c r="M16"/>
    </row>
    <row r="17" spans="1:13" ht="21.95" customHeight="1" x14ac:dyDescent="0.25">
      <c r="A17" s="11">
        <v>4</v>
      </c>
      <c r="B17" s="11" t="s">
        <v>795</v>
      </c>
      <c r="C17" s="11">
        <v>2899</v>
      </c>
      <c r="D17" s="11">
        <v>1372</v>
      </c>
      <c r="E17" s="11">
        <v>1527</v>
      </c>
      <c r="G17"/>
      <c r="H17"/>
      <c r="I17"/>
      <c r="J17"/>
      <c r="K17"/>
      <c r="L17"/>
      <c r="M17"/>
    </row>
    <row r="18" spans="1:13" ht="21.95" customHeight="1" x14ac:dyDescent="0.25">
      <c r="A18" s="11">
        <v>5</v>
      </c>
      <c r="B18" s="11" t="s">
        <v>796</v>
      </c>
      <c r="C18" s="11">
        <v>9300</v>
      </c>
      <c r="D18" s="11">
        <v>4317</v>
      </c>
      <c r="E18" s="11">
        <v>4983</v>
      </c>
      <c r="G18"/>
      <c r="H18"/>
      <c r="I18"/>
      <c r="J18"/>
      <c r="K18"/>
      <c r="L18"/>
      <c r="M18"/>
    </row>
    <row r="19" spans="1:13" ht="21.95" customHeight="1" x14ac:dyDescent="0.25">
      <c r="A19" s="11">
        <v>6</v>
      </c>
      <c r="B19" s="11" t="s">
        <v>797</v>
      </c>
      <c r="C19" s="11">
        <v>2880</v>
      </c>
      <c r="D19" s="11">
        <v>1340</v>
      </c>
      <c r="E19" s="11">
        <v>1540</v>
      </c>
      <c r="G19"/>
      <c r="H19"/>
      <c r="I19"/>
      <c r="J19"/>
      <c r="K19"/>
      <c r="L19"/>
      <c r="M19"/>
    </row>
    <row r="20" spans="1:13" ht="21.95" customHeight="1" x14ac:dyDescent="0.25">
      <c r="A20" s="11">
        <v>7</v>
      </c>
      <c r="B20" s="11" t="s">
        <v>798</v>
      </c>
      <c r="C20" s="11">
        <v>8027</v>
      </c>
      <c r="D20" s="11">
        <v>3642</v>
      </c>
      <c r="E20" s="11">
        <v>4385</v>
      </c>
      <c r="G20"/>
      <c r="H20"/>
      <c r="I20"/>
      <c r="J20"/>
      <c r="K20"/>
      <c r="L20"/>
      <c r="M20"/>
    </row>
    <row r="21" spans="1:13" ht="21.95" customHeight="1" x14ac:dyDescent="0.25">
      <c r="A21" s="11">
        <v>8</v>
      </c>
      <c r="B21" s="11" t="s">
        <v>799</v>
      </c>
      <c r="C21" s="11">
        <v>5068</v>
      </c>
      <c r="D21" s="11">
        <v>2275</v>
      </c>
      <c r="E21" s="11">
        <v>2793</v>
      </c>
      <c r="G21"/>
      <c r="H21"/>
      <c r="I21"/>
      <c r="J21"/>
      <c r="K21"/>
      <c r="L21"/>
      <c r="M21"/>
    </row>
    <row r="22" spans="1:13" ht="21.95" customHeight="1" x14ac:dyDescent="0.25">
      <c r="A22" s="11">
        <v>9</v>
      </c>
      <c r="B22" s="11" t="s">
        <v>800</v>
      </c>
      <c r="C22" s="11">
        <v>5048</v>
      </c>
      <c r="D22" s="11">
        <v>2063</v>
      </c>
      <c r="E22" s="11">
        <v>2985</v>
      </c>
      <c r="G22"/>
      <c r="H22"/>
      <c r="I22"/>
      <c r="J22"/>
      <c r="K22"/>
      <c r="L22"/>
      <c r="M22"/>
    </row>
    <row r="23" spans="1:13" ht="21.95" customHeight="1" x14ac:dyDescent="0.25">
      <c r="A23" s="11">
        <v>10</v>
      </c>
      <c r="B23" s="11" t="s">
        <v>801</v>
      </c>
      <c r="C23" s="11">
        <v>3901</v>
      </c>
      <c r="D23" s="11">
        <v>1702</v>
      </c>
      <c r="E23" s="11">
        <v>2199</v>
      </c>
      <c r="G23"/>
      <c r="H23"/>
      <c r="I23"/>
      <c r="J23"/>
      <c r="K23"/>
      <c r="L23"/>
      <c r="M23"/>
    </row>
    <row r="24" spans="1:13" ht="21.95" customHeight="1" x14ac:dyDescent="0.25">
      <c r="A24" s="11">
        <v>11</v>
      </c>
      <c r="B24" s="11" t="s">
        <v>802</v>
      </c>
      <c r="C24" s="11">
        <v>2435</v>
      </c>
      <c r="D24" s="11">
        <v>1130</v>
      </c>
      <c r="E24" s="11">
        <v>1305</v>
      </c>
      <c r="G24"/>
      <c r="H24"/>
      <c r="I24"/>
      <c r="J24"/>
      <c r="K24"/>
      <c r="L24"/>
      <c r="M24"/>
    </row>
    <row r="25" spans="1:13" ht="21.95" customHeight="1" x14ac:dyDescent="0.25">
      <c r="A25" s="11">
        <v>12</v>
      </c>
      <c r="B25" s="11" t="s">
        <v>803</v>
      </c>
      <c r="C25" s="11">
        <v>3963</v>
      </c>
      <c r="D25" s="11">
        <v>1808</v>
      </c>
      <c r="E25" s="11">
        <v>2155</v>
      </c>
      <c r="G25"/>
      <c r="H25"/>
      <c r="I25"/>
      <c r="J25"/>
      <c r="K25"/>
      <c r="L25"/>
      <c r="M25"/>
    </row>
    <row r="26" spans="1:13" ht="21.95" customHeight="1" x14ac:dyDescent="0.25">
      <c r="A26" s="11">
        <v>13</v>
      </c>
      <c r="B26" s="11" t="s">
        <v>804</v>
      </c>
      <c r="C26" s="11">
        <v>5223</v>
      </c>
      <c r="D26" s="11">
        <v>2369</v>
      </c>
      <c r="E26" s="11">
        <v>2854</v>
      </c>
      <c r="G26"/>
      <c r="H26"/>
      <c r="I26"/>
      <c r="J26"/>
      <c r="K26"/>
      <c r="L26"/>
      <c r="M26"/>
    </row>
    <row r="27" spans="1:13" ht="21.95" customHeight="1" x14ac:dyDescent="0.25">
      <c r="A27" s="11">
        <v>14</v>
      </c>
      <c r="B27" s="11" t="s">
        <v>805</v>
      </c>
      <c r="C27" s="11">
        <v>4847</v>
      </c>
      <c r="D27" s="11">
        <v>2217</v>
      </c>
      <c r="E27" s="11">
        <v>2630</v>
      </c>
      <c r="G27"/>
      <c r="H27"/>
      <c r="I27"/>
      <c r="J27"/>
      <c r="K27"/>
      <c r="L27"/>
      <c r="M27"/>
    </row>
    <row r="28" spans="1:13" ht="21.95" customHeight="1" x14ac:dyDescent="0.25">
      <c r="A28" s="11">
        <v>15</v>
      </c>
      <c r="B28" s="11" t="s">
        <v>806</v>
      </c>
      <c r="C28" s="11">
        <v>5499</v>
      </c>
      <c r="D28" s="11">
        <v>2557</v>
      </c>
      <c r="E28" s="11">
        <v>2942</v>
      </c>
      <c r="G28"/>
      <c r="H28"/>
      <c r="I28"/>
      <c r="J28"/>
      <c r="K28"/>
      <c r="L28"/>
      <c r="M28"/>
    </row>
    <row r="29" spans="1:13" ht="21.95" customHeight="1" x14ac:dyDescent="0.25">
      <c r="A29" s="11">
        <v>16</v>
      </c>
      <c r="B29" s="11" t="s">
        <v>92</v>
      </c>
      <c r="C29" s="11">
        <v>1634</v>
      </c>
      <c r="D29" s="11">
        <v>690</v>
      </c>
      <c r="E29" s="11">
        <v>944</v>
      </c>
      <c r="G29"/>
      <c r="H29"/>
      <c r="I29"/>
      <c r="J29"/>
      <c r="K29"/>
      <c r="L29"/>
      <c r="M29"/>
    </row>
    <row r="30" spans="1:13" ht="21.95" customHeight="1" x14ac:dyDescent="0.25">
      <c r="A30" s="11">
        <v>17</v>
      </c>
      <c r="B30" s="11" t="s">
        <v>807</v>
      </c>
      <c r="C30" s="11">
        <v>2470</v>
      </c>
      <c r="D30" s="11">
        <v>1054</v>
      </c>
      <c r="E30" s="11">
        <v>1416</v>
      </c>
      <c r="G30"/>
      <c r="H30"/>
      <c r="I30"/>
      <c r="J30"/>
      <c r="K30"/>
      <c r="L30"/>
      <c r="M30"/>
    </row>
    <row r="31" spans="1:13" ht="21.95" customHeight="1" x14ac:dyDescent="0.25">
      <c r="A31" s="11">
        <v>18</v>
      </c>
      <c r="B31" s="11" t="s">
        <v>52</v>
      </c>
      <c r="C31" s="11">
        <v>3335</v>
      </c>
      <c r="D31" s="11">
        <v>1546</v>
      </c>
      <c r="E31" s="11">
        <v>1789</v>
      </c>
      <c r="G31"/>
      <c r="H31"/>
      <c r="I31"/>
      <c r="J31"/>
      <c r="K31"/>
      <c r="L31"/>
      <c r="M31"/>
    </row>
    <row r="32" spans="1:13" ht="21.95" customHeight="1" x14ac:dyDescent="0.25">
      <c r="A32" s="11">
        <v>19</v>
      </c>
      <c r="B32" s="11" t="s">
        <v>808</v>
      </c>
      <c r="C32" s="11">
        <v>2864</v>
      </c>
      <c r="D32" s="11">
        <v>1302</v>
      </c>
      <c r="E32" s="11">
        <v>1562</v>
      </c>
      <c r="G32"/>
      <c r="H32"/>
      <c r="I32"/>
      <c r="J32"/>
      <c r="K32"/>
      <c r="L32"/>
      <c r="M32"/>
    </row>
    <row r="33" spans="1:13" ht="21.95" customHeight="1" x14ac:dyDescent="0.25">
      <c r="A33" s="11">
        <v>20</v>
      </c>
      <c r="B33" s="11" t="s">
        <v>586</v>
      </c>
      <c r="C33" s="11">
        <v>2935</v>
      </c>
      <c r="D33" s="11">
        <v>1313</v>
      </c>
      <c r="E33" s="11">
        <v>1622</v>
      </c>
      <c r="G33"/>
      <c r="H33"/>
      <c r="I33"/>
      <c r="J33"/>
      <c r="K33"/>
      <c r="L33"/>
      <c r="M33"/>
    </row>
    <row r="34" spans="1:13" ht="21.95" customHeight="1" x14ac:dyDescent="0.25">
      <c r="A34" s="11">
        <v>21</v>
      </c>
      <c r="B34" s="11" t="s">
        <v>809</v>
      </c>
      <c r="C34" s="11">
        <v>3608</v>
      </c>
      <c r="D34" s="11">
        <v>1709</v>
      </c>
      <c r="E34" s="11">
        <v>1899</v>
      </c>
      <c r="G34"/>
      <c r="H34"/>
      <c r="I34"/>
      <c r="J34"/>
      <c r="K34"/>
      <c r="L34"/>
      <c r="M34"/>
    </row>
    <row r="35" spans="1:13" ht="21.95" customHeight="1" x14ac:dyDescent="0.25">
      <c r="A35" s="11">
        <v>22</v>
      </c>
      <c r="B35" s="11" t="s">
        <v>810</v>
      </c>
      <c r="C35" s="11">
        <v>2141</v>
      </c>
      <c r="D35" s="11">
        <v>995</v>
      </c>
      <c r="E35" s="11">
        <v>1146</v>
      </c>
      <c r="G35"/>
      <c r="H35"/>
      <c r="I35"/>
      <c r="J35"/>
      <c r="K35"/>
      <c r="L35"/>
      <c r="M35"/>
    </row>
    <row r="36" spans="1:13" ht="21.95" customHeight="1" x14ac:dyDescent="0.25">
      <c r="A36" s="11">
        <v>23</v>
      </c>
      <c r="B36" s="11" t="s">
        <v>811</v>
      </c>
      <c r="C36" s="11">
        <v>2719</v>
      </c>
      <c r="D36" s="11">
        <v>1268</v>
      </c>
      <c r="E36" s="11">
        <v>1451</v>
      </c>
      <c r="G36"/>
      <c r="H36"/>
      <c r="I36"/>
      <c r="J36"/>
      <c r="K36"/>
      <c r="L36"/>
      <c r="M36"/>
    </row>
    <row r="37" spans="1:13" ht="21.95" customHeight="1" x14ac:dyDescent="0.25">
      <c r="A37" s="11">
        <v>24</v>
      </c>
      <c r="B37" s="11" t="s">
        <v>812</v>
      </c>
      <c r="C37" s="11">
        <v>2880</v>
      </c>
      <c r="D37" s="11">
        <v>1271</v>
      </c>
      <c r="E37" s="11">
        <v>1609</v>
      </c>
      <c r="G37"/>
      <c r="H37"/>
      <c r="I37"/>
      <c r="J37"/>
      <c r="K37"/>
      <c r="L37"/>
      <c r="M37"/>
    </row>
    <row r="38" spans="1:13" ht="21.95" customHeight="1" x14ac:dyDescent="0.25">
      <c r="A38" s="11">
        <v>25</v>
      </c>
      <c r="B38" s="11" t="s">
        <v>813</v>
      </c>
      <c r="C38" s="11">
        <v>4593</v>
      </c>
      <c r="D38" s="11">
        <v>2049</v>
      </c>
      <c r="E38" s="11">
        <v>2544</v>
      </c>
      <c r="G38"/>
      <c r="H38"/>
      <c r="I38"/>
      <c r="J38"/>
      <c r="K38"/>
      <c r="L38"/>
      <c r="M38"/>
    </row>
    <row r="39" spans="1:13" ht="21.95" customHeight="1" x14ac:dyDescent="0.25">
      <c r="A39" s="11">
        <v>26</v>
      </c>
      <c r="B39" s="11" t="s">
        <v>814</v>
      </c>
      <c r="C39" s="11">
        <v>1362</v>
      </c>
      <c r="D39" s="11">
        <v>585</v>
      </c>
      <c r="E39" s="11">
        <v>777</v>
      </c>
      <c r="G39"/>
      <c r="H39"/>
      <c r="I39"/>
      <c r="J39"/>
      <c r="K39"/>
      <c r="L39"/>
      <c r="M39"/>
    </row>
    <row r="40" spans="1:13" ht="21.95" customHeight="1" x14ac:dyDescent="0.25">
      <c r="A40" s="11">
        <v>27</v>
      </c>
      <c r="B40" s="11" t="s">
        <v>138</v>
      </c>
      <c r="C40" s="11">
        <v>8614</v>
      </c>
      <c r="D40" s="11">
        <v>3723</v>
      </c>
      <c r="E40" s="11">
        <v>4891</v>
      </c>
      <c r="G40"/>
      <c r="H40"/>
      <c r="I40"/>
      <c r="J40"/>
      <c r="K40"/>
      <c r="L40"/>
      <c r="M40"/>
    </row>
    <row r="41" spans="1:13" ht="21.95" customHeight="1" x14ac:dyDescent="0.25">
      <c r="A41" s="11">
        <v>28</v>
      </c>
      <c r="B41" s="11" t="s">
        <v>815</v>
      </c>
      <c r="C41" s="11">
        <v>2686</v>
      </c>
      <c r="D41" s="11">
        <v>1127</v>
      </c>
      <c r="E41" s="11">
        <v>1559</v>
      </c>
      <c r="G41"/>
      <c r="H41"/>
      <c r="I41"/>
      <c r="J41"/>
      <c r="K41"/>
      <c r="L41"/>
      <c r="M41"/>
    </row>
    <row r="42" spans="1:13" ht="21.95" customHeight="1" x14ac:dyDescent="0.25">
      <c r="A42" s="11">
        <v>29</v>
      </c>
      <c r="B42" s="11" t="s">
        <v>816</v>
      </c>
      <c r="C42" s="11">
        <v>2714</v>
      </c>
      <c r="D42" s="11">
        <v>1261</v>
      </c>
      <c r="E42" s="11">
        <v>1453</v>
      </c>
      <c r="G42"/>
      <c r="H42"/>
      <c r="I42"/>
      <c r="J42"/>
      <c r="K42"/>
      <c r="L42"/>
      <c r="M42"/>
    </row>
    <row r="43" spans="1:13" ht="21.95" customHeight="1" x14ac:dyDescent="0.25">
      <c r="A43" s="11">
        <v>30</v>
      </c>
      <c r="B43" s="11" t="s">
        <v>817</v>
      </c>
      <c r="C43" s="11">
        <v>3359</v>
      </c>
      <c r="D43" s="11">
        <v>1550</v>
      </c>
      <c r="E43" s="11">
        <v>1809</v>
      </c>
      <c r="G43"/>
      <c r="H43"/>
      <c r="I43"/>
      <c r="J43"/>
      <c r="K43"/>
      <c r="L43"/>
      <c r="M43"/>
    </row>
    <row r="44" spans="1:13" ht="21.95" customHeight="1" x14ac:dyDescent="0.25">
      <c r="A44" s="11">
        <v>31</v>
      </c>
      <c r="B44" s="11" t="s">
        <v>818</v>
      </c>
      <c r="C44" s="11">
        <v>1461</v>
      </c>
      <c r="D44" s="11">
        <v>679</v>
      </c>
      <c r="E44" s="11">
        <v>782</v>
      </c>
      <c r="G44"/>
      <c r="H44"/>
      <c r="I44"/>
      <c r="J44"/>
      <c r="K44"/>
      <c r="L44"/>
      <c r="M44"/>
    </row>
    <row r="45" spans="1:13" ht="21.95" customHeight="1" x14ac:dyDescent="0.25">
      <c r="A45" s="11">
        <v>32</v>
      </c>
      <c r="B45" s="11" t="s">
        <v>819</v>
      </c>
      <c r="C45" s="11">
        <v>945</v>
      </c>
      <c r="D45" s="11">
        <v>439</v>
      </c>
      <c r="E45" s="11">
        <v>506</v>
      </c>
      <c r="G45"/>
      <c r="H45"/>
      <c r="I45"/>
      <c r="J45"/>
      <c r="K45"/>
      <c r="L45"/>
      <c r="M45"/>
    </row>
    <row r="46" spans="1:13" ht="21.95" customHeight="1" x14ac:dyDescent="0.25">
      <c r="A46" s="11">
        <v>33</v>
      </c>
      <c r="B46" s="11" t="s">
        <v>820</v>
      </c>
      <c r="C46" s="11">
        <v>3230</v>
      </c>
      <c r="D46" s="11">
        <v>1457</v>
      </c>
      <c r="E46" s="11">
        <v>1773</v>
      </c>
      <c r="G46"/>
      <c r="H46"/>
      <c r="I46"/>
      <c r="J46"/>
      <c r="K46"/>
      <c r="L46"/>
      <c r="M46"/>
    </row>
    <row r="47" spans="1:13" ht="21.95" customHeight="1" x14ac:dyDescent="0.25">
      <c r="A47" s="11">
        <v>34</v>
      </c>
      <c r="B47" s="11" t="s">
        <v>821</v>
      </c>
      <c r="C47" s="11">
        <v>2124</v>
      </c>
      <c r="D47" s="11">
        <v>1011</v>
      </c>
      <c r="E47" s="11">
        <v>1113</v>
      </c>
      <c r="G47"/>
      <c r="H47"/>
      <c r="I47"/>
      <c r="J47"/>
      <c r="K47"/>
      <c r="L47"/>
      <c r="M47"/>
    </row>
    <row r="48" spans="1:13" ht="21.95" customHeight="1" x14ac:dyDescent="0.25">
      <c r="A48" s="11">
        <v>35</v>
      </c>
      <c r="B48" s="11" t="s">
        <v>822</v>
      </c>
      <c r="C48" s="11">
        <v>6087</v>
      </c>
      <c r="D48" s="11">
        <v>2837</v>
      </c>
      <c r="E48" s="11">
        <v>3250</v>
      </c>
      <c r="G48"/>
      <c r="H48"/>
      <c r="I48"/>
      <c r="J48"/>
      <c r="K48"/>
      <c r="L48"/>
      <c r="M48"/>
    </row>
    <row r="49" spans="1:9" ht="21.95" customHeight="1" x14ac:dyDescent="0.25">
      <c r="A49" s="11">
        <v>36</v>
      </c>
      <c r="B49" s="11" t="s">
        <v>823</v>
      </c>
      <c r="C49" s="11">
        <v>2545</v>
      </c>
      <c r="D49" s="11">
        <v>1127</v>
      </c>
      <c r="E49" s="11">
        <v>1418</v>
      </c>
      <c r="G49"/>
      <c r="H49"/>
      <c r="I49"/>
    </row>
    <row r="50" spans="1:9" ht="21.95" customHeight="1" x14ac:dyDescent="0.25">
      <c r="A50" s="11">
        <v>37</v>
      </c>
      <c r="B50" s="11" t="s">
        <v>824</v>
      </c>
      <c r="C50" s="11">
        <v>3225</v>
      </c>
      <c r="D50" s="11">
        <v>1433</v>
      </c>
      <c r="E50" s="11">
        <v>1792</v>
      </c>
      <c r="G50"/>
      <c r="H50"/>
      <c r="I50"/>
    </row>
    <row r="51" spans="1:9" ht="21.95" customHeight="1" x14ac:dyDescent="0.25">
      <c r="A51" s="12">
        <v>38</v>
      </c>
      <c r="B51" s="12" t="s">
        <v>363</v>
      </c>
      <c r="C51" s="12">
        <v>2357</v>
      </c>
      <c r="D51" s="12">
        <v>1036</v>
      </c>
      <c r="E51" s="12">
        <v>1321</v>
      </c>
      <c r="G51"/>
      <c r="H51"/>
      <c r="I51"/>
    </row>
    <row r="52" spans="1:9" ht="24.75" customHeight="1" x14ac:dyDescent="0.25">
      <c r="A52" s="18"/>
      <c r="B52" s="18"/>
      <c r="C52" s="18"/>
      <c r="D52" s="18"/>
      <c r="E52" s="18"/>
    </row>
    <row r="53" spans="1:9" ht="24.75" customHeight="1" x14ac:dyDescent="0.25">
      <c r="A53" s="20"/>
      <c r="B53" s="20"/>
      <c r="C53" s="20"/>
      <c r="D53" s="20"/>
      <c r="E53" s="20"/>
    </row>
    <row r="54" spans="1:9" ht="24.75" customHeight="1" x14ac:dyDescent="0.25">
      <c r="A54" s="20"/>
      <c r="B54" s="20"/>
      <c r="C54" s="20"/>
      <c r="D54" s="20"/>
      <c r="E54" s="20"/>
    </row>
    <row r="55" spans="1:9" ht="24.75" customHeight="1" x14ac:dyDescent="0.25">
      <c r="A55" s="20"/>
      <c r="B55" s="20"/>
      <c r="C55" s="20"/>
      <c r="D55" s="20"/>
      <c r="E55" s="20"/>
    </row>
    <row r="56" spans="1:9" ht="24.75" customHeight="1" x14ac:dyDescent="0.25">
      <c r="A56" s="20"/>
      <c r="B56" s="20"/>
      <c r="C56" s="20"/>
      <c r="D56" s="20"/>
      <c r="E56" s="20"/>
    </row>
    <row r="57" spans="1:9" ht="24.75" customHeight="1" x14ac:dyDescent="0.25">
      <c r="A57" s="20"/>
      <c r="B57" s="20"/>
      <c r="C57" s="20"/>
      <c r="D57" s="20"/>
      <c r="E57" s="20"/>
    </row>
    <row r="58" spans="1:9" ht="24.75" customHeight="1" x14ac:dyDescent="0.25">
      <c r="A58" s="20"/>
      <c r="B58" s="20"/>
      <c r="C58" s="20"/>
      <c r="D58" s="20"/>
      <c r="E58" s="20"/>
    </row>
    <row r="59" spans="1:9" ht="24.75" customHeight="1" x14ac:dyDescent="0.25">
      <c r="A59" s="20"/>
      <c r="B59" s="20"/>
      <c r="C59" s="20"/>
      <c r="D59" s="20"/>
      <c r="E59" s="20"/>
    </row>
    <row r="60" spans="1:9" ht="24.75" customHeight="1" x14ac:dyDescent="0.25">
      <c r="A60" s="20"/>
      <c r="B60" s="20"/>
      <c r="C60" s="20"/>
      <c r="D60" s="20"/>
      <c r="E60" s="20"/>
    </row>
    <row r="61" spans="1:9" ht="24.75" customHeight="1" x14ac:dyDescent="0.25">
      <c r="A61" s="20"/>
      <c r="B61" s="20"/>
      <c r="C61" s="20"/>
      <c r="D61" s="20"/>
      <c r="E61" s="20"/>
    </row>
    <row r="62" spans="1:9" ht="24.75" customHeight="1" x14ac:dyDescent="0.25">
      <c r="A62" s="20"/>
      <c r="B62" s="20"/>
      <c r="C62" s="20"/>
      <c r="D62" s="20"/>
      <c r="E62" s="20"/>
    </row>
    <row r="63" spans="1:9" ht="24.75" customHeight="1" x14ac:dyDescent="0.25">
      <c r="A63" s="20"/>
      <c r="B63" s="20"/>
      <c r="C63" s="20"/>
      <c r="D63" s="20"/>
      <c r="E63" s="20"/>
    </row>
    <row r="64" spans="1:9" ht="24.75" customHeight="1" x14ac:dyDescent="0.25">
      <c r="A64" s="20"/>
      <c r="B64" s="20"/>
      <c r="C64" s="20"/>
      <c r="D64" s="20"/>
      <c r="E64" s="20"/>
    </row>
    <row r="65" spans="1:5" ht="24.75" customHeight="1" x14ac:dyDescent="0.25">
      <c r="A65" s="20"/>
      <c r="B65" s="20"/>
      <c r="C65" s="20"/>
      <c r="D65" s="20"/>
      <c r="E65" s="20"/>
    </row>
    <row r="66" spans="1:5" ht="24.75" customHeight="1" x14ac:dyDescent="0.25">
      <c r="A66" s="20"/>
      <c r="B66" s="20"/>
      <c r="C66" s="20"/>
      <c r="D66" s="20"/>
      <c r="E66" s="20"/>
    </row>
    <row r="67" spans="1:5" ht="24.75" customHeight="1" x14ac:dyDescent="0.25">
      <c r="A67" s="20"/>
      <c r="B67" s="20"/>
      <c r="C67" s="20"/>
      <c r="D67" s="20"/>
      <c r="E67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Monywa District ,Ayartaw Township"/>
  </hyperlinks>
  <pageMargins left="0.75" right="0.5" top="0.5" bottom="0.2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sqref="A1:E1"/>
    </sheetView>
  </sheetViews>
  <sheetFormatPr defaultRowHeight="24.75" customHeight="1" x14ac:dyDescent="0.25"/>
  <cols>
    <col min="1" max="1" width="5.28515625" style="3" customWidth="1"/>
    <col min="2" max="2" width="35.7109375" style="3" customWidth="1"/>
    <col min="3" max="5" width="15.7109375" style="3" customWidth="1"/>
    <col min="6" max="16384" width="9.140625" style="3"/>
  </cols>
  <sheetData>
    <row r="1" spans="1:9" ht="24.75" customHeight="1" x14ac:dyDescent="0.25">
      <c r="A1" s="67" t="s">
        <v>1740</v>
      </c>
      <c r="B1" s="67"/>
      <c r="C1" s="67"/>
      <c r="D1" s="67"/>
      <c r="E1" s="67"/>
    </row>
    <row r="2" spans="1:9" ht="24.75" customHeight="1" x14ac:dyDescent="0.4">
      <c r="A2" s="2"/>
      <c r="B2" s="7"/>
      <c r="C2" s="7"/>
      <c r="D2" s="7"/>
      <c r="E2" s="56" t="s">
        <v>1722</v>
      </c>
    </row>
    <row r="3" spans="1:9" ht="24.75" customHeight="1" x14ac:dyDescent="0.4">
      <c r="A3" s="2"/>
      <c r="B3" s="7"/>
      <c r="C3" s="7"/>
      <c r="D3" s="7"/>
      <c r="E3" s="56"/>
    </row>
    <row r="4" spans="1:9" ht="10.5" customHeight="1" x14ac:dyDescent="0.4">
      <c r="A4" s="2"/>
      <c r="B4" s="7"/>
      <c r="C4" s="7"/>
      <c r="D4" s="7"/>
      <c r="E4" s="7"/>
    </row>
    <row r="5" spans="1:9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9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9" ht="24.75" customHeight="1" x14ac:dyDescent="0.25">
      <c r="A7" s="9"/>
      <c r="B7" s="9" t="s">
        <v>1772</v>
      </c>
      <c r="C7" s="22">
        <f>C9+C16</f>
        <v>105955</v>
      </c>
      <c r="D7" s="22">
        <f t="shared" ref="D7:E7" si="0">D9+D16</f>
        <v>48456</v>
      </c>
      <c r="E7" s="22">
        <f t="shared" si="0"/>
        <v>57499</v>
      </c>
      <c r="G7" s="31"/>
      <c r="H7" s="31"/>
      <c r="I7" s="31"/>
    </row>
    <row r="8" spans="1:9" ht="10.5" customHeight="1" x14ac:dyDescent="0.25">
      <c r="A8" s="10"/>
      <c r="B8" s="23"/>
      <c r="C8" s="23"/>
      <c r="D8" s="23"/>
      <c r="E8" s="23"/>
      <c r="G8" s="31"/>
      <c r="H8" s="31"/>
      <c r="I8" s="31"/>
    </row>
    <row r="9" spans="1:9" ht="24.75" customHeight="1" x14ac:dyDescent="0.25">
      <c r="A9" s="10"/>
      <c r="B9" s="10" t="s">
        <v>1725</v>
      </c>
      <c r="C9" s="24">
        <f>SUM(C10:C15)</f>
        <v>21929</v>
      </c>
      <c r="D9" s="24">
        <f t="shared" ref="D9:E9" si="1">SUM(D10:D15)</f>
        <v>10145</v>
      </c>
      <c r="E9" s="24">
        <f t="shared" si="1"/>
        <v>11784</v>
      </c>
      <c r="G9" s="31"/>
      <c r="H9" s="31"/>
      <c r="I9" s="31"/>
    </row>
    <row r="10" spans="1:9" ht="24.75" customHeight="1" x14ac:dyDescent="0.25">
      <c r="A10" s="11">
        <v>1</v>
      </c>
      <c r="B10" s="23" t="s">
        <v>7</v>
      </c>
      <c r="C10" s="23">
        <v>5008</v>
      </c>
      <c r="D10" s="23">
        <v>2335</v>
      </c>
      <c r="E10" s="23">
        <v>2673</v>
      </c>
      <c r="G10" s="31"/>
      <c r="H10" s="31"/>
      <c r="I10" s="31"/>
    </row>
    <row r="11" spans="1:9" ht="24.75" customHeight="1" x14ac:dyDescent="0.25">
      <c r="A11" s="11">
        <v>2</v>
      </c>
      <c r="B11" s="11" t="s">
        <v>825</v>
      </c>
      <c r="C11" s="23">
        <v>3070</v>
      </c>
      <c r="D11" s="23">
        <v>1456</v>
      </c>
      <c r="E11" s="23">
        <v>1614</v>
      </c>
      <c r="G11" s="31"/>
      <c r="H11" s="31"/>
      <c r="I11" s="31"/>
    </row>
    <row r="12" spans="1:9" ht="24.75" customHeight="1" x14ac:dyDescent="0.25">
      <c r="A12" s="11">
        <v>3</v>
      </c>
      <c r="B12" s="11" t="s">
        <v>826</v>
      </c>
      <c r="C12" s="11">
        <v>3676</v>
      </c>
      <c r="D12" s="11">
        <v>1689</v>
      </c>
      <c r="E12" s="11">
        <v>1987</v>
      </c>
      <c r="G12" s="31"/>
      <c r="H12" s="31"/>
      <c r="I12" s="31"/>
    </row>
    <row r="13" spans="1:9" ht="24.75" customHeight="1" x14ac:dyDescent="0.25">
      <c r="A13" s="11">
        <v>4</v>
      </c>
      <c r="B13" s="11" t="s">
        <v>827</v>
      </c>
      <c r="C13" s="11">
        <v>3274</v>
      </c>
      <c r="D13" s="11">
        <v>1428</v>
      </c>
      <c r="E13" s="11">
        <v>1846</v>
      </c>
      <c r="G13" s="31"/>
      <c r="H13" s="31"/>
      <c r="I13" s="31"/>
    </row>
    <row r="14" spans="1:9" ht="24.75" customHeight="1" x14ac:dyDescent="0.25">
      <c r="A14" s="11">
        <v>5</v>
      </c>
      <c r="B14" s="11" t="s">
        <v>828</v>
      </c>
      <c r="C14" s="11">
        <v>2404</v>
      </c>
      <c r="D14" s="11">
        <v>1097</v>
      </c>
      <c r="E14" s="11">
        <v>1307</v>
      </c>
      <c r="G14" s="31"/>
      <c r="H14" s="31"/>
      <c r="I14" s="31"/>
    </row>
    <row r="15" spans="1:9" ht="24.75" customHeight="1" x14ac:dyDescent="0.25">
      <c r="A15" s="11">
        <v>6</v>
      </c>
      <c r="B15" s="11" t="s">
        <v>829</v>
      </c>
      <c r="C15" s="23">
        <v>4497</v>
      </c>
      <c r="D15" s="23">
        <v>2140</v>
      </c>
      <c r="E15" s="23">
        <v>2357</v>
      </c>
      <c r="G15" s="31"/>
      <c r="H15" s="31"/>
      <c r="I15" s="31"/>
    </row>
    <row r="16" spans="1:9" ht="24.75" customHeight="1" x14ac:dyDescent="0.25">
      <c r="A16" s="11"/>
      <c r="B16" s="10" t="s">
        <v>1773</v>
      </c>
      <c r="C16" s="24">
        <f>SUM(C17:C42)</f>
        <v>84026</v>
      </c>
      <c r="D16" s="24">
        <f t="shared" ref="D16:E16" si="2">SUM(D17:D42)</f>
        <v>38311</v>
      </c>
      <c r="E16" s="24">
        <f t="shared" si="2"/>
        <v>45715</v>
      </c>
      <c r="G16" s="31"/>
      <c r="H16" s="31"/>
      <c r="I16" s="31"/>
    </row>
    <row r="17" spans="1:9" ht="24.75" customHeight="1" x14ac:dyDescent="0.25">
      <c r="A17" s="11">
        <v>1</v>
      </c>
      <c r="B17" s="11" t="s">
        <v>215</v>
      </c>
      <c r="C17" s="11">
        <v>1773</v>
      </c>
      <c r="D17" s="11">
        <v>812</v>
      </c>
      <c r="E17" s="11">
        <v>961</v>
      </c>
      <c r="G17" s="31"/>
      <c r="H17" s="31"/>
      <c r="I17" s="31"/>
    </row>
    <row r="18" spans="1:9" ht="24.75" customHeight="1" x14ac:dyDescent="0.25">
      <c r="A18" s="11">
        <v>2</v>
      </c>
      <c r="B18" s="11" t="s">
        <v>450</v>
      </c>
      <c r="C18" s="11">
        <v>3772</v>
      </c>
      <c r="D18" s="11">
        <v>1691</v>
      </c>
      <c r="E18" s="11">
        <v>2081</v>
      </c>
      <c r="G18" s="31"/>
      <c r="H18" s="31"/>
      <c r="I18" s="31"/>
    </row>
    <row r="19" spans="1:9" ht="24.75" customHeight="1" x14ac:dyDescent="0.25">
      <c r="A19" s="11">
        <v>3</v>
      </c>
      <c r="B19" s="11" t="s">
        <v>830</v>
      </c>
      <c r="C19" s="11">
        <v>4175</v>
      </c>
      <c r="D19" s="11">
        <v>1931</v>
      </c>
      <c r="E19" s="11">
        <v>2244</v>
      </c>
      <c r="G19" s="31"/>
      <c r="H19" s="31"/>
      <c r="I19" s="31"/>
    </row>
    <row r="20" spans="1:9" ht="24.75" customHeight="1" x14ac:dyDescent="0.25">
      <c r="A20" s="11">
        <v>4</v>
      </c>
      <c r="B20" s="11" t="s">
        <v>831</v>
      </c>
      <c r="C20" s="11">
        <v>1759</v>
      </c>
      <c r="D20" s="11">
        <v>790</v>
      </c>
      <c r="E20" s="11">
        <v>969</v>
      </c>
      <c r="G20" s="31"/>
      <c r="H20" s="31"/>
      <c r="I20" s="31"/>
    </row>
    <row r="21" spans="1:9" ht="24.75" customHeight="1" x14ac:dyDescent="0.25">
      <c r="A21" s="11">
        <v>5</v>
      </c>
      <c r="B21" s="11" t="s">
        <v>832</v>
      </c>
      <c r="C21" s="11">
        <v>2919</v>
      </c>
      <c r="D21" s="11">
        <v>1308</v>
      </c>
      <c r="E21" s="11">
        <v>1611</v>
      </c>
      <c r="G21" s="31"/>
      <c r="H21" s="31"/>
      <c r="I21" s="31"/>
    </row>
    <row r="22" spans="1:9" ht="24.75" customHeight="1" x14ac:dyDescent="0.25">
      <c r="A22" s="11">
        <v>6</v>
      </c>
      <c r="B22" s="11" t="s">
        <v>833</v>
      </c>
      <c r="C22" s="11">
        <v>8450</v>
      </c>
      <c r="D22" s="11">
        <v>3831</v>
      </c>
      <c r="E22" s="11">
        <v>4619</v>
      </c>
      <c r="G22" s="31"/>
      <c r="H22" s="31"/>
      <c r="I22" s="31"/>
    </row>
    <row r="23" spans="1:9" ht="24.75" customHeight="1" x14ac:dyDescent="0.25">
      <c r="A23" s="11">
        <v>7</v>
      </c>
      <c r="B23" s="11" t="s">
        <v>834</v>
      </c>
      <c r="C23" s="11">
        <v>2496</v>
      </c>
      <c r="D23" s="11">
        <v>1136</v>
      </c>
      <c r="E23" s="11">
        <v>1360</v>
      </c>
      <c r="G23" s="31"/>
      <c r="H23" s="31"/>
      <c r="I23" s="31"/>
    </row>
    <row r="24" spans="1:9" ht="24.75" customHeight="1" x14ac:dyDescent="0.25">
      <c r="A24" s="11">
        <v>8</v>
      </c>
      <c r="B24" s="11" t="s">
        <v>835</v>
      </c>
      <c r="C24" s="11">
        <v>1427</v>
      </c>
      <c r="D24" s="11">
        <v>646</v>
      </c>
      <c r="E24" s="11">
        <v>781</v>
      </c>
      <c r="G24" s="31"/>
      <c r="H24" s="31"/>
      <c r="I24" s="31"/>
    </row>
    <row r="25" spans="1:9" ht="24.75" customHeight="1" x14ac:dyDescent="0.25">
      <c r="A25" s="11">
        <v>9</v>
      </c>
      <c r="B25" s="11" t="s">
        <v>836</v>
      </c>
      <c r="C25" s="11">
        <v>1258</v>
      </c>
      <c r="D25" s="11">
        <v>593</v>
      </c>
      <c r="E25" s="11">
        <v>665</v>
      </c>
      <c r="G25" s="31"/>
      <c r="H25" s="31"/>
      <c r="I25" s="31"/>
    </row>
    <row r="26" spans="1:9" ht="24.75" customHeight="1" x14ac:dyDescent="0.25">
      <c r="A26" s="11">
        <v>10</v>
      </c>
      <c r="B26" s="11" t="s">
        <v>837</v>
      </c>
      <c r="C26" s="11">
        <v>1105</v>
      </c>
      <c r="D26" s="11">
        <v>485</v>
      </c>
      <c r="E26" s="11">
        <v>620</v>
      </c>
      <c r="G26" s="31"/>
      <c r="H26" s="31"/>
      <c r="I26" s="31"/>
    </row>
    <row r="27" spans="1:9" ht="24.75" customHeight="1" x14ac:dyDescent="0.25">
      <c r="A27" s="11">
        <v>11</v>
      </c>
      <c r="B27" s="11" t="s">
        <v>838</v>
      </c>
      <c r="C27" s="11">
        <v>7493</v>
      </c>
      <c r="D27" s="11">
        <v>3493</v>
      </c>
      <c r="E27" s="11">
        <v>4000</v>
      </c>
      <c r="G27" s="31"/>
      <c r="H27" s="31"/>
      <c r="I27" s="31"/>
    </row>
    <row r="28" spans="1:9" ht="24.75" customHeight="1" x14ac:dyDescent="0.25">
      <c r="A28" s="11">
        <v>12</v>
      </c>
      <c r="B28" s="11" t="s">
        <v>839</v>
      </c>
      <c r="C28" s="11">
        <v>6100</v>
      </c>
      <c r="D28" s="11">
        <v>2712</v>
      </c>
      <c r="E28" s="11">
        <v>3388</v>
      </c>
      <c r="G28" s="31"/>
      <c r="H28" s="31"/>
      <c r="I28" s="31"/>
    </row>
    <row r="29" spans="1:9" ht="24.75" customHeight="1" x14ac:dyDescent="0.25">
      <c r="A29" s="11">
        <v>13</v>
      </c>
      <c r="B29" s="11" t="s">
        <v>574</v>
      </c>
      <c r="C29" s="11">
        <v>4353</v>
      </c>
      <c r="D29" s="11">
        <v>1886</v>
      </c>
      <c r="E29" s="11">
        <v>2467</v>
      </c>
      <c r="G29" s="31"/>
      <c r="H29" s="31"/>
      <c r="I29" s="31"/>
    </row>
    <row r="30" spans="1:9" ht="24.75" customHeight="1" x14ac:dyDescent="0.25">
      <c r="A30" s="11">
        <v>14</v>
      </c>
      <c r="B30" s="11" t="s">
        <v>840</v>
      </c>
      <c r="C30" s="11">
        <v>2600</v>
      </c>
      <c r="D30" s="11">
        <v>1163</v>
      </c>
      <c r="E30" s="11">
        <v>1437</v>
      </c>
      <c r="G30" s="31"/>
      <c r="H30" s="31"/>
      <c r="I30" s="31"/>
    </row>
    <row r="31" spans="1:9" ht="24.75" customHeight="1" x14ac:dyDescent="0.25">
      <c r="A31" s="11">
        <v>15</v>
      </c>
      <c r="B31" s="11" t="s">
        <v>841</v>
      </c>
      <c r="C31" s="11">
        <v>4464</v>
      </c>
      <c r="D31" s="11">
        <v>2071</v>
      </c>
      <c r="E31" s="11">
        <v>2393</v>
      </c>
      <c r="G31" s="31"/>
      <c r="H31" s="31"/>
      <c r="I31" s="31"/>
    </row>
    <row r="32" spans="1:9" ht="24.75" customHeight="1" x14ac:dyDescent="0.25">
      <c r="A32" s="11">
        <v>16</v>
      </c>
      <c r="B32" s="11" t="s">
        <v>842</v>
      </c>
      <c r="C32" s="11">
        <v>3722</v>
      </c>
      <c r="D32" s="11">
        <v>1724</v>
      </c>
      <c r="E32" s="11">
        <v>1998</v>
      </c>
      <c r="G32" s="31"/>
      <c r="H32" s="31"/>
      <c r="I32" s="31"/>
    </row>
    <row r="33" spans="1:9" ht="24.75" customHeight="1" x14ac:dyDescent="0.25">
      <c r="A33" s="11">
        <v>17</v>
      </c>
      <c r="B33" s="11" t="s">
        <v>843</v>
      </c>
      <c r="C33" s="11">
        <v>2879</v>
      </c>
      <c r="D33" s="11">
        <v>1346</v>
      </c>
      <c r="E33" s="11">
        <v>1533</v>
      </c>
      <c r="G33" s="31"/>
      <c r="H33" s="31"/>
      <c r="I33" s="31"/>
    </row>
    <row r="34" spans="1:9" ht="24.75" customHeight="1" x14ac:dyDescent="0.25">
      <c r="A34" s="11">
        <v>18</v>
      </c>
      <c r="B34" s="11" t="s">
        <v>66</v>
      </c>
      <c r="C34" s="11">
        <v>2898</v>
      </c>
      <c r="D34" s="11">
        <v>1313</v>
      </c>
      <c r="E34" s="11">
        <v>1585</v>
      </c>
      <c r="G34" s="31"/>
      <c r="H34" s="31"/>
      <c r="I34" s="31"/>
    </row>
    <row r="35" spans="1:9" ht="24.75" customHeight="1" x14ac:dyDescent="0.25">
      <c r="A35" s="11">
        <v>19</v>
      </c>
      <c r="B35" s="11" t="s">
        <v>844</v>
      </c>
      <c r="C35" s="11">
        <v>2613</v>
      </c>
      <c r="D35" s="11">
        <v>1152</v>
      </c>
      <c r="E35" s="11">
        <v>1461</v>
      </c>
      <c r="G35" s="31"/>
      <c r="H35" s="31"/>
      <c r="I35" s="31"/>
    </row>
    <row r="36" spans="1:9" ht="24.75" customHeight="1" x14ac:dyDescent="0.25">
      <c r="A36" s="11">
        <v>20</v>
      </c>
      <c r="B36" s="11" t="s">
        <v>168</v>
      </c>
      <c r="C36" s="11">
        <v>1896</v>
      </c>
      <c r="D36" s="11">
        <v>866</v>
      </c>
      <c r="E36" s="11">
        <v>1030</v>
      </c>
      <c r="G36" s="31"/>
      <c r="H36" s="31"/>
      <c r="I36" s="31"/>
    </row>
    <row r="37" spans="1:9" ht="24.75" customHeight="1" x14ac:dyDescent="0.25">
      <c r="A37" s="11">
        <v>21</v>
      </c>
      <c r="B37" s="11" t="s">
        <v>64</v>
      </c>
      <c r="C37" s="11">
        <v>2447</v>
      </c>
      <c r="D37" s="11">
        <v>1131</v>
      </c>
      <c r="E37" s="11">
        <v>1316</v>
      </c>
      <c r="G37" s="31"/>
      <c r="H37" s="31"/>
      <c r="I37" s="31"/>
    </row>
    <row r="38" spans="1:9" ht="24.75" customHeight="1" x14ac:dyDescent="0.25">
      <c r="A38" s="11">
        <v>22</v>
      </c>
      <c r="B38" s="11" t="s">
        <v>845</v>
      </c>
      <c r="C38" s="11">
        <v>3003</v>
      </c>
      <c r="D38" s="11">
        <v>1410</v>
      </c>
      <c r="E38" s="11">
        <v>1593</v>
      </c>
      <c r="G38" s="31"/>
      <c r="H38" s="31"/>
      <c r="I38" s="31"/>
    </row>
    <row r="39" spans="1:9" ht="24.75" customHeight="1" x14ac:dyDescent="0.25">
      <c r="A39" s="11">
        <v>23</v>
      </c>
      <c r="B39" s="11" t="s">
        <v>846</v>
      </c>
      <c r="C39" s="11">
        <v>1374</v>
      </c>
      <c r="D39" s="11">
        <v>684</v>
      </c>
      <c r="E39" s="11">
        <v>690</v>
      </c>
      <c r="G39" s="31"/>
      <c r="H39" s="31"/>
      <c r="I39" s="31"/>
    </row>
    <row r="40" spans="1:9" ht="24.75" customHeight="1" x14ac:dyDescent="0.25">
      <c r="A40" s="11">
        <v>24</v>
      </c>
      <c r="B40" s="11" t="s">
        <v>847</v>
      </c>
      <c r="C40" s="11">
        <v>3923</v>
      </c>
      <c r="D40" s="11">
        <v>1769</v>
      </c>
      <c r="E40" s="11">
        <v>2154</v>
      </c>
      <c r="G40" s="31"/>
      <c r="H40" s="31"/>
      <c r="I40" s="31"/>
    </row>
    <row r="41" spans="1:9" ht="24.75" customHeight="1" x14ac:dyDescent="0.25">
      <c r="A41" s="11">
        <v>25</v>
      </c>
      <c r="B41" s="11" t="s">
        <v>848</v>
      </c>
      <c r="C41" s="11">
        <v>4222</v>
      </c>
      <c r="D41" s="11">
        <v>1915</v>
      </c>
      <c r="E41" s="11">
        <v>2307</v>
      </c>
      <c r="G41" s="31"/>
      <c r="H41" s="31"/>
      <c r="I41" s="31"/>
    </row>
    <row r="42" spans="1:9" ht="24.75" customHeight="1" x14ac:dyDescent="0.25">
      <c r="A42" s="12">
        <v>26</v>
      </c>
      <c r="B42" s="12" t="s">
        <v>849</v>
      </c>
      <c r="C42" s="12">
        <v>905</v>
      </c>
      <c r="D42" s="12">
        <v>453</v>
      </c>
      <c r="E42" s="12">
        <v>452</v>
      </c>
      <c r="G42" s="31"/>
      <c r="H42" s="31"/>
      <c r="I42" s="31"/>
    </row>
    <row r="43" spans="1:9" ht="24.75" customHeight="1" x14ac:dyDescent="0.25">
      <c r="A43" s="18"/>
      <c r="B43" s="18"/>
      <c r="C43" s="18"/>
      <c r="D43" s="18"/>
      <c r="E43" s="18"/>
    </row>
    <row r="44" spans="1:9" ht="24.75" customHeight="1" x14ac:dyDescent="0.25">
      <c r="A44" s="20"/>
      <c r="B44" s="20"/>
      <c r="C44" s="20"/>
      <c r="D44" s="20"/>
      <c r="E44" s="20"/>
    </row>
    <row r="45" spans="1:9" ht="24.75" customHeight="1" x14ac:dyDescent="0.25">
      <c r="A45" s="20"/>
      <c r="B45" s="20"/>
      <c r="C45" s="20"/>
      <c r="D45" s="20"/>
      <c r="E45" s="20"/>
    </row>
    <row r="46" spans="1:9" ht="24.75" customHeight="1" x14ac:dyDescent="0.25">
      <c r="A46" s="20"/>
      <c r="B46" s="20"/>
      <c r="C46" s="20"/>
      <c r="D46" s="20"/>
      <c r="E46" s="20"/>
    </row>
    <row r="47" spans="1:9" ht="24.75" customHeight="1" x14ac:dyDescent="0.25">
      <c r="A47" s="20"/>
      <c r="B47" s="20"/>
      <c r="C47" s="20"/>
      <c r="D47" s="20"/>
      <c r="E47" s="20"/>
    </row>
    <row r="48" spans="1:9" ht="24.75" customHeight="1" x14ac:dyDescent="0.25">
      <c r="A48" s="20"/>
      <c r="B48" s="20"/>
      <c r="C48" s="20"/>
      <c r="D48" s="20"/>
      <c r="E48" s="20"/>
    </row>
    <row r="49" spans="1:5" ht="24.75" customHeight="1" x14ac:dyDescent="0.25">
      <c r="A49" s="20"/>
      <c r="B49" s="20"/>
      <c r="C49" s="20"/>
      <c r="D49" s="20"/>
      <c r="E49" s="20"/>
    </row>
    <row r="50" spans="1:5" ht="24.75" customHeight="1" x14ac:dyDescent="0.25">
      <c r="A50" s="20"/>
      <c r="B50" s="20"/>
      <c r="C50" s="20"/>
      <c r="D50" s="20"/>
      <c r="E50" s="20"/>
    </row>
    <row r="51" spans="1:5" ht="24.75" customHeight="1" x14ac:dyDescent="0.25">
      <c r="A51" s="20"/>
      <c r="B51" s="20"/>
      <c r="C51" s="20"/>
      <c r="D51" s="20"/>
      <c r="E51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Monywa District , Chaung Oo Township"/>
  </hyperlinks>
  <pageMargins left="0.75" right="0.5" top="0.5" bottom="0.2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52"/>
  <sheetViews>
    <sheetView workbookViewId="0">
      <selection sqref="A1:E1"/>
    </sheetView>
  </sheetViews>
  <sheetFormatPr defaultRowHeight="24.75" customHeight="1" x14ac:dyDescent="0.25"/>
  <cols>
    <col min="1" max="1" width="5.85546875" style="3" customWidth="1"/>
    <col min="2" max="2" width="29.7109375" style="3" customWidth="1"/>
    <col min="3" max="5" width="15.7109375" style="3" customWidth="1"/>
    <col min="6" max="16384" width="9.140625" style="3"/>
  </cols>
  <sheetData>
    <row r="1" spans="1:10" ht="24.75" customHeight="1" x14ac:dyDescent="0.25">
      <c r="A1" s="67" t="s">
        <v>1741</v>
      </c>
      <c r="B1" s="67"/>
      <c r="C1" s="67"/>
      <c r="D1" s="67"/>
      <c r="E1" s="67"/>
    </row>
    <row r="2" spans="1:10" ht="24.75" customHeight="1" x14ac:dyDescent="0.4">
      <c r="A2" s="2"/>
      <c r="B2" s="7"/>
      <c r="C2" s="7"/>
      <c r="D2" s="7"/>
      <c r="E2" s="56" t="s">
        <v>1722</v>
      </c>
    </row>
    <row r="3" spans="1:10" ht="24.75" customHeight="1" x14ac:dyDescent="0.4">
      <c r="A3" s="2"/>
      <c r="B3" s="7"/>
      <c r="C3" s="7"/>
      <c r="D3" s="7"/>
      <c r="E3" s="56"/>
    </row>
    <row r="4" spans="1:10" ht="11.25" customHeight="1" x14ac:dyDescent="0.4">
      <c r="A4" s="2"/>
      <c r="B4" s="7"/>
      <c r="C4" s="7"/>
      <c r="D4" s="7"/>
      <c r="E4" s="7"/>
    </row>
    <row r="5" spans="1:10" ht="28.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10" ht="27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10" ht="24.75" customHeight="1" x14ac:dyDescent="0.25">
      <c r="A7" s="9"/>
      <c r="B7" s="9" t="s">
        <v>1772</v>
      </c>
      <c r="C7" s="22">
        <f>C9+C20</f>
        <v>167734</v>
      </c>
      <c r="D7" s="22">
        <f t="shared" ref="D7:E7" si="0">D9+D20</f>
        <v>82325</v>
      </c>
      <c r="E7" s="22">
        <f t="shared" si="0"/>
        <v>85409</v>
      </c>
      <c r="G7" s="31"/>
      <c r="H7" s="31"/>
      <c r="I7" s="31"/>
      <c r="J7" s="31"/>
    </row>
    <row r="8" spans="1:10" ht="10.5" customHeight="1" x14ac:dyDescent="0.25">
      <c r="A8" s="10"/>
      <c r="B8" s="23"/>
      <c r="C8" s="23"/>
      <c r="D8" s="23"/>
      <c r="E8" s="23"/>
      <c r="H8" s="31"/>
      <c r="I8" s="31"/>
      <c r="J8" s="31"/>
    </row>
    <row r="9" spans="1:10" ht="24.75" customHeight="1" x14ac:dyDescent="0.25">
      <c r="A9" s="10"/>
      <c r="B9" s="10" t="s">
        <v>1725</v>
      </c>
      <c r="C9" s="24">
        <f>SUM(C10:C19)</f>
        <v>26732</v>
      </c>
      <c r="D9" s="24">
        <f t="shared" ref="D9:E9" si="1">SUM(D10:D19)</f>
        <v>12932</v>
      </c>
      <c r="E9" s="24">
        <f t="shared" si="1"/>
        <v>13800</v>
      </c>
      <c r="H9" s="31"/>
      <c r="I9" s="31"/>
      <c r="J9" s="31"/>
    </row>
    <row r="10" spans="1:10" ht="24.75" customHeight="1" x14ac:dyDescent="0.25">
      <c r="A10" s="11">
        <v>1</v>
      </c>
      <c r="B10" s="23" t="s">
        <v>850</v>
      </c>
      <c r="C10" s="23">
        <v>1400</v>
      </c>
      <c r="D10" s="23">
        <v>724</v>
      </c>
      <c r="E10" s="23">
        <v>676</v>
      </c>
      <c r="H10" s="31"/>
      <c r="I10" s="31"/>
      <c r="J10" s="31"/>
    </row>
    <row r="11" spans="1:10" ht="24.75" customHeight="1" x14ac:dyDescent="0.25">
      <c r="A11" s="11">
        <v>2</v>
      </c>
      <c r="B11" s="11" t="s">
        <v>851</v>
      </c>
      <c r="C11" s="23">
        <v>927</v>
      </c>
      <c r="D11" s="23">
        <v>451</v>
      </c>
      <c r="E11" s="23">
        <v>476</v>
      </c>
      <c r="H11" s="31"/>
      <c r="I11" s="31"/>
      <c r="J11" s="31"/>
    </row>
    <row r="12" spans="1:10" ht="24.75" customHeight="1" x14ac:dyDescent="0.25">
      <c r="A12" s="11">
        <v>3</v>
      </c>
      <c r="B12" s="23" t="s">
        <v>852</v>
      </c>
      <c r="C12" s="23">
        <v>2006</v>
      </c>
      <c r="D12" s="23">
        <v>1151</v>
      </c>
      <c r="E12" s="23">
        <v>855</v>
      </c>
      <c r="H12" s="31"/>
      <c r="I12" s="31"/>
      <c r="J12" s="31"/>
    </row>
    <row r="13" spans="1:10" ht="24.75" customHeight="1" x14ac:dyDescent="0.25">
      <c r="A13" s="11">
        <v>4</v>
      </c>
      <c r="B13" s="11" t="s">
        <v>853</v>
      </c>
      <c r="C13" s="23">
        <v>2645</v>
      </c>
      <c r="D13" s="23">
        <v>1195</v>
      </c>
      <c r="E13" s="23">
        <v>1450</v>
      </c>
      <c r="H13" s="31"/>
      <c r="I13" s="31"/>
      <c r="J13" s="31"/>
    </row>
    <row r="14" spans="1:10" ht="24.75" customHeight="1" x14ac:dyDescent="0.25">
      <c r="A14" s="11">
        <v>5</v>
      </c>
      <c r="B14" s="11" t="s">
        <v>854</v>
      </c>
      <c r="C14" s="11">
        <v>4491</v>
      </c>
      <c r="D14" s="11">
        <v>2095</v>
      </c>
      <c r="E14" s="11">
        <v>2396</v>
      </c>
      <c r="H14" s="31"/>
      <c r="I14" s="31"/>
      <c r="J14" s="31"/>
    </row>
    <row r="15" spans="1:10" ht="24.75" customHeight="1" x14ac:dyDescent="0.25">
      <c r="A15" s="11">
        <v>6</v>
      </c>
      <c r="B15" s="11" t="s">
        <v>855</v>
      </c>
      <c r="C15" s="11">
        <v>3140</v>
      </c>
      <c r="D15" s="11">
        <v>1462</v>
      </c>
      <c r="E15" s="11">
        <v>1678</v>
      </c>
      <c r="H15" s="31"/>
      <c r="I15" s="31"/>
      <c r="J15" s="31"/>
    </row>
    <row r="16" spans="1:10" ht="24.75" customHeight="1" x14ac:dyDescent="0.25">
      <c r="A16" s="11">
        <v>7</v>
      </c>
      <c r="B16" s="11" t="s">
        <v>856</v>
      </c>
      <c r="C16" s="11">
        <v>2417</v>
      </c>
      <c r="D16" s="11">
        <v>1107</v>
      </c>
      <c r="E16" s="11">
        <v>1310</v>
      </c>
      <c r="H16" s="31"/>
      <c r="I16" s="31"/>
      <c r="J16" s="31"/>
    </row>
    <row r="17" spans="1:10" ht="24.75" customHeight="1" x14ac:dyDescent="0.25">
      <c r="A17" s="11">
        <v>8</v>
      </c>
      <c r="B17" s="11" t="s">
        <v>857</v>
      </c>
      <c r="C17" s="23">
        <v>1630</v>
      </c>
      <c r="D17" s="23">
        <v>784</v>
      </c>
      <c r="E17" s="23">
        <v>846</v>
      </c>
      <c r="H17" s="31"/>
      <c r="I17" s="31"/>
      <c r="J17" s="31"/>
    </row>
    <row r="18" spans="1:10" ht="24.75" customHeight="1" x14ac:dyDescent="0.25">
      <c r="A18" s="11">
        <v>9</v>
      </c>
      <c r="B18" s="11" t="s">
        <v>17</v>
      </c>
      <c r="C18" s="23">
        <v>5902</v>
      </c>
      <c r="D18" s="23">
        <v>2876</v>
      </c>
      <c r="E18" s="23">
        <v>3026</v>
      </c>
      <c r="H18" s="31"/>
      <c r="I18" s="31"/>
      <c r="J18" s="31"/>
    </row>
    <row r="19" spans="1:10" ht="24.75" customHeight="1" x14ac:dyDescent="0.25">
      <c r="A19" s="11">
        <v>10</v>
      </c>
      <c r="B19" s="11" t="s">
        <v>858</v>
      </c>
      <c r="C19" s="11">
        <v>2174</v>
      </c>
      <c r="D19" s="11">
        <v>1087</v>
      </c>
      <c r="E19" s="11">
        <v>1087</v>
      </c>
      <c r="H19" s="31"/>
      <c r="I19" s="31"/>
      <c r="J19" s="31"/>
    </row>
    <row r="20" spans="1:10" ht="24.75" customHeight="1" x14ac:dyDescent="0.25">
      <c r="A20" s="11"/>
      <c r="B20" s="10" t="s">
        <v>1773</v>
      </c>
      <c r="C20" s="24">
        <f>SUM(C21:C52)</f>
        <v>141002</v>
      </c>
      <c r="D20" s="24">
        <f t="shared" ref="D20:E20" si="2">SUM(D21:D52)</f>
        <v>69393</v>
      </c>
      <c r="E20" s="24">
        <f t="shared" si="2"/>
        <v>71609</v>
      </c>
      <c r="H20" s="31"/>
      <c r="I20" s="31"/>
      <c r="J20" s="31"/>
    </row>
    <row r="21" spans="1:10" ht="24.75" customHeight="1" x14ac:dyDescent="0.25">
      <c r="A21" s="11">
        <v>1</v>
      </c>
      <c r="B21" s="11" t="s">
        <v>859</v>
      </c>
      <c r="C21" s="11">
        <v>4738</v>
      </c>
      <c r="D21" s="11">
        <v>2341</v>
      </c>
      <c r="E21" s="11">
        <v>2397</v>
      </c>
      <c r="H21" s="31"/>
      <c r="I21" s="31"/>
      <c r="J21" s="31"/>
    </row>
    <row r="22" spans="1:10" ht="24.75" customHeight="1" x14ac:dyDescent="0.25">
      <c r="A22" s="11">
        <v>2</v>
      </c>
      <c r="B22" s="11" t="s">
        <v>860</v>
      </c>
      <c r="C22" s="11">
        <v>2148</v>
      </c>
      <c r="D22" s="11">
        <v>1125</v>
      </c>
      <c r="E22" s="11">
        <v>1023</v>
      </c>
      <c r="H22" s="31"/>
      <c r="I22" s="31"/>
      <c r="J22" s="31"/>
    </row>
    <row r="23" spans="1:10" ht="24.75" customHeight="1" x14ac:dyDescent="0.25">
      <c r="A23" s="11">
        <v>3</v>
      </c>
      <c r="B23" s="11" t="s">
        <v>861</v>
      </c>
      <c r="C23" s="11">
        <v>6397</v>
      </c>
      <c r="D23" s="11">
        <v>3173</v>
      </c>
      <c r="E23" s="11">
        <v>3224</v>
      </c>
      <c r="H23" s="31"/>
      <c r="I23" s="31"/>
      <c r="J23" s="31"/>
    </row>
    <row r="24" spans="1:10" ht="24.75" customHeight="1" x14ac:dyDescent="0.25">
      <c r="A24" s="11">
        <v>4</v>
      </c>
      <c r="B24" s="11" t="s">
        <v>862</v>
      </c>
      <c r="C24" s="11">
        <v>3547</v>
      </c>
      <c r="D24" s="11">
        <v>1716</v>
      </c>
      <c r="E24" s="11">
        <v>1831</v>
      </c>
      <c r="H24" s="31"/>
      <c r="I24" s="31"/>
      <c r="J24" s="31"/>
    </row>
    <row r="25" spans="1:10" ht="24.75" customHeight="1" x14ac:dyDescent="0.25">
      <c r="A25" s="11">
        <v>5</v>
      </c>
      <c r="B25" s="11" t="s">
        <v>863</v>
      </c>
      <c r="C25" s="11">
        <v>2310</v>
      </c>
      <c r="D25" s="11">
        <v>1121</v>
      </c>
      <c r="E25" s="11">
        <v>1189</v>
      </c>
      <c r="H25" s="31"/>
      <c r="I25" s="31"/>
      <c r="J25" s="31"/>
    </row>
    <row r="26" spans="1:10" ht="24.75" customHeight="1" x14ac:dyDescent="0.25">
      <c r="A26" s="11">
        <v>6</v>
      </c>
      <c r="B26" s="11" t="s">
        <v>864</v>
      </c>
      <c r="C26" s="11">
        <v>4193</v>
      </c>
      <c r="D26" s="11">
        <v>1994</v>
      </c>
      <c r="E26" s="11">
        <v>2199</v>
      </c>
      <c r="H26" s="31"/>
      <c r="I26" s="31"/>
      <c r="J26" s="31"/>
    </row>
    <row r="27" spans="1:10" ht="24.75" customHeight="1" x14ac:dyDescent="0.25">
      <c r="A27" s="11">
        <v>7</v>
      </c>
      <c r="B27" s="11" t="s">
        <v>865</v>
      </c>
      <c r="C27" s="11">
        <v>8410</v>
      </c>
      <c r="D27" s="11">
        <v>4264</v>
      </c>
      <c r="E27" s="11">
        <v>4146</v>
      </c>
      <c r="H27" s="31"/>
      <c r="I27" s="31"/>
      <c r="J27" s="31"/>
    </row>
    <row r="28" spans="1:10" ht="24.75" customHeight="1" x14ac:dyDescent="0.25">
      <c r="A28" s="11">
        <v>8</v>
      </c>
      <c r="B28" s="11" t="s">
        <v>866</v>
      </c>
      <c r="C28" s="11">
        <v>9510</v>
      </c>
      <c r="D28" s="11">
        <v>4669</v>
      </c>
      <c r="E28" s="11">
        <v>4841</v>
      </c>
      <c r="H28" s="31"/>
      <c r="I28" s="31"/>
      <c r="J28" s="31"/>
    </row>
    <row r="29" spans="1:10" ht="24.75" customHeight="1" x14ac:dyDescent="0.25">
      <c r="A29" s="11">
        <v>9</v>
      </c>
      <c r="B29" s="11" t="s">
        <v>867</v>
      </c>
      <c r="C29" s="11">
        <v>2099</v>
      </c>
      <c r="D29" s="11">
        <v>1039</v>
      </c>
      <c r="E29" s="11">
        <v>1060</v>
      </c>
      <c r="H29" s="31"/>
      <c r="I29" s="31"/>
      <c r="J29" s="31"/>
    </row>
    <row r="30" spans="1:10" ht="24.75" customHeight="1" x14ac:dyDescent="0.25">
      <c r="A30" s="11">
        <v>10</v>
      </c>
      <c r="B30" s="11" t="s">
        <v>533</v>
      </c>
      <c r="C30" s="11">
        <v>5474</v>
      </c>
      <c r="D30" s="11">
        <v>2696</v>
      </c>
      <c r="E30" s="11">
        <v>2778</v>
      </c>
      <c r="H30" s="31"/>
      <c r="I30" s="31"/>
      <c r="J30" s="31"/>
    </row>
    <row r="31" spans="1:10" ht="24.75" customHeight="1" x14ac:dyDescent="0.25">
      <c r="A31" s="11">
        <v>11</v>
      </c>
      <c r="B31" s="11" t="s">
        <v>868</v>
      </c>
      <c r="C31" s="11">
        <v>2237</v>
      </c>
      <c r="D31" s="11">
        <v>1129</v>
      </c>
      <c r="E31" s="11">
        <v>1108</v>
      </c>
      <c r="H31" s="31"/>
      <c r="I31" s="31"/>
      <c r="J31" s="31"/>
    </row>
    <row r="32" spans="1:10" ht="24.75" customHeight="1" x14ac:dyDescent="0.25">
      <c r="A32" s="11">
        <v>12</v>
      </c>
      <c r="B32" s="11" t="s">
        <v>869</v>
      </c>
      <c r="C32" s="11">
        <v>2717</v>
      </c>
      <c r="D32" s="11">
        <v>1338</v>
      </c>
      <c r="E32" s="11">
        <v>1379</v>
      </c>
      <c r="H32" s="31"/>
      <c r="I32" s="31"/>
      <c r="J32" s="31"/>
    </row>
    <row r="33" spans="1:10" ht="24.75" customHeight="1" x14ac:dyDescent="0.25">
      <c r="A33" s="11">
        <v>13</v>
      </c>
      <c r="B33" s="11" t="s">
        <v>870</v>
      </c>
      <c r="C33" s="11">
        <v>1369</v>
      </c>
      <c r="D33" s="11">
        <v>678</v>
      </c>
      <c r="E33" s="11">
        <v>691</v>
      </c>
      <c r="H33" s="31"/>
      <c r="I33" s="31"/>
      <c r="J33" s="31"/>
    </row>
    <row r="34" spans="1:10" ht="24.75" customHeight="1" x14ac:dyDescent="0.25">
      <c r="A34" s="11">
        <v>14</v>
      </c>
      <c r="B34" s="11" t="s">
        <v>871</v>
      </c>
      <c r="C34" s="11">
        <v>962</v>
      </c>
      <c r="D34" s="11">
        <v>473</v>
      </c>
      <c r="E34" s="11">
        <v>489</v>
      </c>
      <c r="H34" s="31"/>
      <c r="I34" s="31"/>
      <c r="J34" s="31"/>
    </row>
    <row r="35" spans="1:10" ht="24.75" customHeight="1" x14ac:dyDescent="0.25">
      <c r="A35" s="11">
        <v>15</v>
      </c>
      <c r="B35" s="11" t="s">
        <v>872</v>
      </c>
      <c r="C35" s="11">
        <v>1084</v>
      </c>
      <c r="D35" s="11">
        <v>532</v>
      </c>
      <c r="E35" s="11">
        <v>552</v>
      </c>
      <c r="H35" s="31"/>
      <c r="I35" s="31"/>
      <c r="J35" s="31"/>
    </row>
    <row r="36" spans="1:10" ht="24.75" customHeight="1" x14ac:dyDescent="0.25">
      <c r="A36" s="11">
        <v>16</v>
      </c>
      <c r="B36" s="11" t="s">
        <v>873</v>
      </c>
      <c r="C36" s="11">
        <v>2464</v>
      </c>
      <c r="D36" s="11">
        <v>1235</v>
      </c>
      <c r="E36" s="11">
        <v>1229</v>
      </c>
      <c r="H36" s="31"/>
      <c r="I36" s="31"/>
      <c r="J36" s="31"/>
    </row>
    <row r="37" spans="1:10" ht="24.75" customHeight="1" x14ac:dyDescent="0.25">
      <c r="A37" s="11">
        <v>17</v>
      </c>
      <c r="B37" s="11" t="s">
        <v>874</v>
      </c>
      <c r="C37" s="11">
        <v>1058</v>
      </c>
      <c r="D37" s="11">
        <v>523</v>
      </c>
      <c r="E37" s="11">
        <v>535</v>
      </c>
      <c r="H37" s="31"/>
      <c r="I37" s="31"/>
      <c r="J37" s="31"/>
    </row>
    <row r="38" spans="1:10" ht="24.75" customHeight="1" x14ac:dyDescent="0.25">
      <c r="A38" s="11">
        <v>18</v>
      </c>
      <c r="B38" s="11" t="s">
        <v>875</v>
      </c>
      <c r="C38" s="11">
        <v>671</v>
      </c>
      <c r="D38" s="11">
        <v>321</v>
      </c>
      <c r="E38" s="11">
        <v>350</v>
      </c>
      <c r="H38" s="31"/>
      <c r="I38" s="31"/>
      <c r="J38" s="31"/>
    </row>
    <row r="39" spans="1:10" ht="24.75" customHeight="1" x14ac:dyDescent="0.25">
      <c r="A39" s="11">
        <v>19</v>
      </c>
      <c r="B39" s="11" t="s">
        <v>876</v>
      </c>
      <c r="C39" s="11">
        <v>7611</v>
      </c>
      <c r="D39" s="11">
        <v>3655</v>
      </c>
      <c r="E39" s="11">
        <v>3956</v>
      </c>
      <c r="H39" s="31"/>
      <c r="I39" s="31"/>
      <c r="J39" s="31"/>
    </row>
    <row r="40" spans="1:10" ht="24.75" customHeight="1" x14ac:dyDescent="0.25">
      <c r="A40" s="11">
        <v>20</v>
      </c>
      <c r="B40" s="11" t="s">
        <v>877</v>
      </c>
      <c r="C40" s="11">
        <v>3407</v>
      </c>
      <c r="D40" s="11">
        <v>1648</v>
      </c>
      <c r="E40" s="11">
        <v>1759</v>
      </c>
      <c r="H40" s="31"/>
      <c r="I40" s="31"/>
      <c r="J40" s="31"/>
    </row>
    <row r="41" spans="1:10" ht="24.75" customHeight="1" x14ac:dyDescent="0.25">
      <c r="A41" s="11">
        <v>21</v>
      </c>
      <c r="B41" s="11" t="s">
        <v>878</v>
      </c>
      <c r="C41" s="11">
        <v>2224</v>
      </c>
      <c r="D41" s="11">
        <v>1101</v>
      </c>
      <c r="E41" s="11">
        <v>1123</v>
      </c>
      <c r="H41" s="31"/>
      <c r="I41" s="31"/>
      <c r="J41" s="31"/>
    </row>
    <row r="42" spans="1:10" ht="24.75" customHeight="1" x14ac:dyDescent="0.25">
      <c r="A42" s="11">
        <v>22</v>
      </c>
      <c r="B42" s="11" t="s">
        <v>879</v>
      </c>
      <c r="C42" s="11">
        <v>3432</v>
      </c>
      <c r="D42" s="11">
        <v>1663</v>
      </c>
      <c r="E42" s="11">
        <v>1769</v>
      </c>
      <c r="H42" s="31"/>
      <c r="I42" s="31"/>
      <c r="J42" s="31"/>
    </row>
    <row r="43" spans="1:10" ht="24.75" customHeight="1" x14ac:dyDescent="0.25">
      <c r="A43" s="11">
        <v>23</v>
      </c>
      <c r="B43" s="11" t="s">
        <v>529</v>
      </c>
      <c r="C43" s="11">
        <v>3583</v>
      </c>
      <c r="D43" s="11">
        <v>1894</v>
      </c>
      <c r="E43" s="11">
        <v>1689</v>
      </c>
      <c r="H43" s="31"/>
      <c r="I43" s="31"/>
      <c r="J43" s="31"/>
    </row>
    <row r="44" spans="1:10" ht="24.75" customHeight="1" x14ac:dyDescent="0.25">
      <c r="A44" s="11">
        <v>24</v>
      </c>
      <c r="B44" s="11" t="s">
        <v>880</v>
      </c>
      <c r="C44" s="11">
        <v>12109</v>
      </c>
      <c r="D44" s="11">
        <v>6028</v>
      </c>
      <c r="E44" s="11">
        <v>6081</v>
      </c>
      <c r="H44" s="31"/>
      <c r="I44" s="31"/>
      <c r="J44" s="31"/>
    </row>
    <row r="45" spans="1:10" ht="24.75" customHeight="1" x14ac:dyDescent="0.25">
      <c r="A45" s="11">
        <v>25</v>
      </c>
      <c r="B45" s="11" t="s">
        <v>881</v>
      </c>
      <c r="C45" s="11">
        <v>1622</v>
      </c>
      <c r="D45" s="11">
        <v>811</v>
      </c>
      <c r="E45" s="11">
        <v>811</v>
      </c>
      <c r="H45" s="31"/>
      <c r="I45" s="31"/>
      <c r="J45" s="31"/>
    </row>
    <row r="46" spans="1:10" ht="24.75" customHeight="1" x14ac:dyDescent="0.25">
      <c r="A46" s="11">
        <v>26</v>
      </c>
      <c r="B46" s="23" t="s">
        <v>882</v>
      </c>
      <c r="C46" s="23">
        <v>6891</v>
      </c>
      <c r="D46" s="23">
        <v>3335</v>
      </c>
      <c r="E46" s="23">
        <v>3556</v>
      </c>
      <c r="H46" s="31"/>
      <c r="I46" s="31"/>
      <c r="J46" s="31"/>
    </row>
    <row r="47" spans="1:10" ht="24.75" customHeight="1" x14ac:dyDescent="0.25">
      <c r="A47" s="11">
        <v>27</v>
      </c>
      <c r="B47" s="23" t="s">
        <v>883</v>
      </c>
      <c r="C47" s="23">
        <v>4677</v>
      </c>
      <c r="D47" s="23">
        <v>2251</v>
      </c>
      <c r="E47" s="23">
        <v>2426</v>
      </c>
      <c r="H47" s="31"/>
      <c r="I47" s="31"/>
      <c r="J47" s="31"/>
    </row>
    <row r="48" spans="1:10" ht="24.75" customHeight="1" x14ac:dyDescent="0.25">
      <c r="A48" s="11">
        <v>28</v>
      </c>
      <c r="B48" s="23" t="s">
        <v>884</v>
      </c>
      <c r="C48" s="23">
        <v>15756</v>
      </c>
      <c r="D48" s="23">
        <v>7673</v>
      </c>
      <c r="E48" s="23">
        <v>8083</v>
      </c>
      <c r="H48" s="31"/>
      <c r="I48" s="31"/>
      <c r="J48" s="31"/>
    </row>
    <row r="49" spans="1:10" ht="24.75" customHeight="1" x14ac:dyDescent="0.25">
      <c r="A49" s="11">
        <v>29</v>
      </c>
      <c r="B49" s="23" t="s">
        <v>885</v>
      </c>
      <c r="C49" s="23">
        <v>3585</v>
      </c>
      <c r="D49" s="23">
        <v>1794</v>
      </c>
      <c r="E49" s="23">
        <v>1791</v>
      </c>
      <c r="H49" s="31"/>
      <c r="I49" s="31"/>
      <c r="J49" s="31"/>
    </row>
    <row r="50" spans="1:10" ht="24.75" customHeight="1" x14ac:dyDescent="0.25">
      <c r="A50" s="11">
        <v>30</v>
      </c>
      <c r="B50" s="23" t="s">
        <v>886</v>
      </c>
      <c r="C50" s="23">
        <v>4574</v>
      </c>
      <c r="D50" s="23">
        <v>2320</v>
      </c>
      <c r="E50" s="23">
        <v>2254</v>
      </c>
      <c r="H50" s="31"/>
      <c r="I50" s="31"/>
      <c r="J50" s="31"/>
    </row>
    <row r="51" spans="1:10" ht="24.75" customHeight="1" x14ac:dyDescent="0.25">
      <c r="A51" s="11">
        <v>31</v>
      </c>
      <c r="B51" s="23" t="s">
        <v>887</v>
      </c>
      <c r="C51" s="23">
        <v>4488</v>
      </c>
      <c r="D51" s="23">
        <v>2102</v>
      </c>
      <c r="E51" s="23">
        <v>2386</v>
      </c>
      <c r="H51" s="31"/>
      <c r="I51" s="31"/>
      <c r="J51" s="31"/>
    </row>
    <row r="52" spans="1:10" ht="24.75" customHeight="1" x14ac:dyDescent="0.25">
      <c r="A52" s="12">
        <v>32</v>
      </c>
      <c r="B52" s="30" t="s">
        <v>888</v>
      </c>
      <c r="C52" s="30">
        <v>5655</v>
      </c>
      <c r="D52" s="30">
        <v>2751</v>
      </c>
      <c r="E52" s="30">
        <v>2904</v>
      </c>
      <c r="H52" s="31"/>
      <c r="I52" s="31"/>
      <c r="J52" s="31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tha District , Katha Township"/>
  </hyperlinks>
  <pageMargins left="0.75" right="0.5" top="0.5" bottom="0.2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selection sqref="A1:E1"/>
    </sheetView>
  </sheetViews>
  <sheetFormatPr defaultRowHeight="24.75" customHeight="1" x14ac:dyDescent="0.25"/>
  <cols>
    <col min="1" max="1" width="6.85546875" style="3" customWidth="1"/>
    <col min="2" max="2" width="35.140625" style="3" customWidth="1"/>
    <col min="3" max="5" width="15.7109375" style="3" customWidth="1"/>
    <col min="6" max="16384" width="9.140625" style="3"/>
  </cols>
  <sheetData>
    <row r="1" spans="1:10" ht="24.75" customHeight="1" x14ac:dyDescent="0.25">
      <c r="A1" s="67" t="s">
        <v>1742</v>
      </c>
      <c r="B1" s="67"/>
      <c r="C1" s="67"/>
      <c r="D1" s="67"/>
      <c r="E1" s="67"/>
    </row>
    <row r="2" spans="1:10" ht="24.75" customHeight="1" x14ac:dyDescent="0.4">
      <c r="A2" s="2"/>
      <c r="B2" s="7"/>
      <c r="C2" s="7"/>
      <c r="D2" s="7"/>
      <c r="E2" s="56" t="s">
        <v>1722</v>
      </c>
    </row>
    <row r="3" spans="1:10" ht="24.75" customHeight="1" x14ac:dyDescent="0.4">
      <c r="A3" s="2"/>
      <c r="B3" s="7"/>
      <c r="C3" s="7"/>
      <c r="D3" s="7"/>
      <c r="E3" s="56"/>
    </row>
    <row r="4" spans="1:10" ht="10.5" customHeight="1" x14ac:dyDescent="0.4">
      <c r="A4" s="2"/>
      <c r="B4" s="7"/>
      <c r="C4" s="7"/>
      <c r="D4" s="7"/>
      <c r="E4" s="7"/>
    </row>
    <row r="5" spans="1:10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10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10" ht="24.75" customHeight="1" x14ac:dyDescent="0.25">
      <c r="A7" s="9"/>
      <c r="B7" s="9" t="s">
        <v>1772</v>
      </c>
      <c r="C7" s="22">
        <f>C9+C14</f>
        <v>120266</v>
      </c>
      <c r="D7" s="22">
        <f t="shared" ref="D7:E7" si="0">D9+D14</f>
        <v>56814</v>
      </c>
      <c r="E7" s="22">
        <f t="shared" si="0"/>
        <v>63452</v>
      </c>
      <c r="G7"/>
      <c r="H7"/>
      <c r="I7"/>
      <c r="J7"/>
    </row>
    <row r="8" spans="1:10" ht="10.5" customHeight="1" x14ac:dyDescent="0.25">
      <c r="A8" s="10"/>
      <c r="B8" s="23"/>
      <c r="C8" s="23"/>
      <c r="D8" s="23"/>
      <c r="E8" s="23"/>
      <c r="H8"/>
      <c r="I8"/>
      <c r="J8"/>
    </row>
    <row r="9" spans="1:10" ht="24.75" customHeight="1" x14ac:dyDescent="0.25">
      <c r="A9" s="10"/>
      <c r="B9" s="10" t="s">
        <v>1725</v>
      </c>
      <c r="C9" s="24">
        <f>SUM(C10:C13)</f>
        <v>8529</v>
      </c>
      <c r="D9" s="24">
        <f t="shared" ref="D9:E9" si="1">SUM(D10:D13)</f>
        <v>3898</v>
      </c>
      <c r="E9" s="24">
        <f t="shared" si="1"/>
        <v>4631</v>
      </c>
      <c r="H9"/>
      <c r="I9"/>
      <c r="J9"/>
    </row>
    <row r="10" spans="1:10" ht="24.75" customHeight="1" x14ac:dyDescent="0.25">
      <c r="A10" s="11">
        <v>1</v>
      </c>
      <c r="B10" s="11" t="s">
        <v>509</v>
      </c>
      <c r="C10" s="11">
        <v>1668</v>
      </c>
      <c r="D10" s="11">
        <v>749</v>
      </c>
      <c r="E10" s="11">
        <v>919</v>
      </c>
      <c r="H10"/>
      <c r="I10"/>
      <c r="J10"/>
    </row>
    <row r="11" spans="1:10" ht="24.75" customHeight="1" x14ac:dyDescent="0.25">
      <c r="A11" s="11">
        <v>2</v>
      </c>
      <c r="B11" s="11" t="s">
        <v>275</v>
      </c>
      <c r="C11" s="11">
        <v>1383</v>
      </c>
      <c r="D11" s="11">
        <v>605</v>
      </c>
      <c r="E11" s="11">
        <v>778</v>
      </c>
      <c r="H11"/>
      <c r="I11"/>
      <c r="J11"/>
    </row>
    <row r="12" spans="1:10" ht="24.75" customHeight="1" x14ac:dyDescent="0.25">
      <c r="A12" s="11">
        <v>3</v>
      </c>
      <c r="B12" s="11" t="s">
        <v>889</v>
      </c>
      <c r="C12" s="11">
        <v>1835</v>
      </c>
      <c r="D12" s="11">
        <v>838</v>
      </c>
      <c r="E12" s="11">
        <v>997</v>
      </c>
      <c r="H12"/>
      <c r="I12"/>
      <c r="J12"/>
    </row>
    <row r="13" spans="1:10" ht="24.75" customHeight="1" x14ac:dyDescent="0.25">
      <c r="A13" s="11">
        <v>4</v>
      </c>
      <c r="B13" s="11" t="s">
        <v>890</v>
      </c>
      <c r="C13" s="11">
        <v>3643</v>
      </c>
      <c r="D13" s="11">
        <v>1706</v>
      </c>
      <c r="E13" s="11">
        <v>1937</v>
      </c>
      <c r="H13"/>
      <c r="I13"/>
      <c r="J13"/>
    </row>
    <row r="14" spans="1:10" ht="24.75" customHeight="1" x14ac:dyDescent="0.25">
      <c r="A14" s="11"/>
      <c r="B14" s="10" t="s">
        <v>1773</v>
      </c>
      <c r="C14" s="24">
        <f>SUM(C15:C53)</f>
        <v>111737</v>
      </c>
      <c r="D14" s="24">
        <f t="shared" ref="D14:E14" si="2">SUM(D15:D53)</f>
        <v>52916</v>
      </c>
      <c r="E14" s="24">
        <f t="shared" si="2"/>
        <v>58821</v>
      </c>
      <c r="H14"/>
      <c r="I14"/>
      <c r="J14"/>
    </row>
    <row r="15" spans="1:10" ht="24.75" customHeight="1" x14ac:dyDescent="0.25">
      <c r="A15" s="11">
        <v>1</v>
      </c>
      <c r="B15" s="11" t="s">
        <v>891</v>
      </c>
      <c r="C15" s="11">
        <v>2820</v>
      </c>
      <c r="D15" s="11">
        <v>1360</v>
      </c>
      <c r="E15" s="11">
        <v>1460</v>
      </c>
      <c r="H15"/>
      <c r="I15"/>
      <c r="J15"/>
    </row>
    <row r="16" spans="1:10" ht="24.75" customHeight="1" x14ac:dyDescent="0.25">
      <c r="A16" s="11">
        <v>2</v>
      </c>
      <c r="B16" s="11" t="s">
        <v>892</v>
      </c>
      <c r="C16" s="11">
        <v>2807</v>
      </c>
      <c r="D16" s="11">
        <v>1325</v>
      </c>
      <c r="E16" s="11">
        <v>1482</v>
      </c>
      <c r="H16"/>
      <c r="I16"/>
      <c r="J16"/>
    </row>
    <row r="17" spans="1:10" ht="24.75" customHeight="1" x14ac:dyDescent="0.25">
      <c r="A17" s="11">
        <v>3</v>
      </c>
      <c r="B17" s="11" t="s">
        <v>893</v>
      </c>
      <c r="C17" s="11">
        <v>1213</v>
      </c>
      <c r="D17" s="11">
        <v>522</v>
      </c>
      <c r="E17" s="11">
        <v>691</v>
      </c>
      <c r="H17"/>
      <c r="I17"/>
      <c r="J17"/>
    </row>
    <row r="18" spans="1:10" ht="24.75" customHeight="1" x14ac:dyDescent="0.25">
      <c r="A18" s="11">
        <v>4</v>
      </c>
      <c r="B18" s="11" t="s">
        <v>487</v>
      </c>
      <c r="C18" s="11">
        <v>2170</v>
      </c>
      <c r="D18" s="11">
        <v>1030</v>
      </c>
      <c r="E18" s="11">
        <v>1140</v>
      </c>
      <c r="H18"/>
      <c r="I18"/>
      <c r="J18"/>
    </row>
    <row r="19" spans="1:10" ht="24.75" customHeight="1" x14ac:dyDescent="0.25">
      <c r="A19" s="11">
        <v>5</v>
      </c>
      <c r="B19" s="11" t="s">
        <v>894</v>
      </c>
      <c r="C19" s="11">
        <v>3901</v>
      </c>
      <c r="D19" s="11">
        <v>1908</v>
      </c>
      <c r="E19" s="11">
        <v>1993</v>
      </c>
      <c r="H19"/>
      <c r="I19"/>
      <c r="J19"/>
    </row>
    <row r="20" spans="1:10" ht="24.75" customHeight="1" x14ac:dyDescent="0.25">
      <c r="A20" s="11">
        <v>6</v>
      </c>
      <c r="B20" s="11" t="s">
        <v>895</v>
      </c>
      <c r="C20" s="11">
        <v>5763</v>
      </c>
      <c r="D20" s="11">
        <v>2778</v>
      </c>
      <c r="E20" s="11">
        <v>2985</v>
      </c>
      <c r="H20"/>
      <c r="I20"/>
      <c r="J20"/>
    </row>
    <row r="21" spans="1:10" ht="24.75" customHeight="1" x14ac:dyDescent="0.25">
      <c r="A21" s="11">
        <v>7</v>
      </c>
      <c r="B21" s="11" t="s">
        <v>881</v>
      </c>
      <c r="C21" s="11">
        <v>2249</v>
      </c>
      <c r="D21" s="11">
        <v>981</v>
      </c>
      <c r="E21" s="11">
        <v>1268</v>
      </c>
      <c r="H21"/>
      <c r="I21"/>
      <c r="J21"/>
    </row>
    <row r="22" spans="1:10" ht="24.75" customHeight="1" x14ac:dyDescent="0.25">
      <c r="A22" s="11">
        <v>8</v>
      </c>
      <c r="B22" s="11" t="s">
        <v>862</v>
      </c>
      <c r="C22" s="11">
        <v>2025</v>
      </c>
      <c r="D22" s="11">
        <v>965</v>
      </c>
      <c r="E22" s="11">
        <v>1060</v>
      </c>
      <c r="H22"/>
      <c r="I22"/>
      <c r="J22"/>
    </row>
    <row r="23" spans="1:10" ht="24.75" customHeight="1" x14ac:dyDescent="0.25">
      <c r="A23" s="11">
        <v>9</v>
      </c>
      <c r="B23" s="11" t="s">
        <v>241</v>
      </c>
      <c r="C23" s="11">
        <v>1934</v>
      </c>
      <c r="D23" s="11">
        <v>896</v>
      </c>
      <c r="E23" s="11">
        <v>1038</v>
      </c>
      <c r="H23"/>
      <c r="I23"/>
      <c r="J23"/>
    </row>
    <row r="24" spans="1:10" ht="24.75" customHeight="1" x14ac:dyDescent="0.25">
      <c r="A24" s="11">
        <v>10</v>
      </c>
      <c r="B24" s="11" t="s">
        <v>896</v>
      </c>
      <c r="C24" s="11">
        <v>4465</v>
      </c>
      <c r="D24" s="11">
        <v>2020</v>
      </c>
      <c r="E24" s="11">
        <v>2445</v>
      </c>
      <c r="H24"/>
      <c r="I24"/>
      <c r="J24"/>
    </row>
    <row r="25" spans="1:10" ht="24.75" customHeight="1" x14ac:dyDescent="0.25">
      <c r="A25" s="11">
        <v>11</v>
      </c>
      <c r="B25" s="11" t="s">
        <v>897</v>
      </c>
      <c r="C25" s="11">
        <v>7354</v>
      </c>
      <c r="D25" s="11">
        <v>3441</v>
      </c>
      <c r="E25" s="11">
        <v>3913</v>
      </c>
      <c r="H25"/>
      <c r="I25"/>
      <c r="J25"/>
    </row>
    <row r="26" spans="1:10" ht="24.75" customHeight="1" x14ac:dyDescent="0.25">
      <c r="A26" s="11">
        <v>12</v>
      </c>
      <c r="B26" s="11" t="s">
        <v>898</v>
      </c>
      <c r="C26" s="11">
        <v>1694</v>
      </c>
      <c r="D26" s="11">
        <v>803</v>
      </c>
      <c r="E26" s="11">
        <v>891</v>
      </c>
      <c r="H26"/>
      <c r="I26"/>
      <c r="J26"/>
    </row>
    <row r="27" spans="1:10" ht="24.75" customHeight="1" x14ac:dyDescent="0.25">
      <c r="A27" s="11">
        <v>13</v>
      </c>
      <c r="B27" s="11" t="s">
        <v>899</v>
      </c>
      <c r="C27" s="11">
        <v>2129</v>
      </c>
      <c r="D27" s="11">
        <v>991</v>
      </c>
      <c r="E27" s="11">
        <v>1138</v>
      </c>
      <c r="H27"/>
      <c r="I27"/>
      <c r="J27"/>
    </row>
    <row r="28" spans="1:10" ht="24.75" customHeight="1" x14ac:dyDescent="0.25">
      <c r="A28" s="11">
        <v>14</v>
      </c>
      <c r="B28" s="11" t="s">
        <v>900</v>
      </c>
      <c r="C28" s="11">
        <v>1522</v>
      </c>
      <c r="D28" s="11">
        <v>792</v>
      </c>
      <c r="E28" s="11">
        <v>730</v>
      </c>
      <c r="H28"/>
      <c r="I28"/>
      <c r="J28"/>
    </row>
    <row r="29" spans="1:10" ht="24.75" customHeight="1" x14ac:dyDescent="0.25">
      <c r="A29" s="11">
        <v>15</v>
      </c>
      <c r="B29" s="11" t="s">
        <v>901</v>
      </c>
      <c r="C29" s="11">
        <v>1765</v>
      </c>
      <c r="D29" s="11">
        <v>797</v>
      </c>
      <c r="E29" s="11">
        <v>968</v>
      </c>
      <c r="H29"/>
      <c r="I29"/>
      <c r="J29"/>
    </row>
    <row r="30" spans="1:10" ht="24.75" customHeight="1" x14ac:dyDescent="0.25">
      <c r="A30" s="11">
        <v>16</v>
      </c>
      <c r="B30" s="11" t="s">
        <v>902</v>
      </c>
      <c r="C30" s="11">
        <v>1929</v>
      </c>
      <c r="D30" s="11">
        <v>886</v>
      </c>
      <c r="E30" s="11">
        <v>1043</v>
      </c>
      <c r="H30"/>
      <c r="I30"/>
      <c r="J30"/>
    </row>
    <row r="31" spans="1:10" ht="24.75" customHeight="1" x14ac:dyDescent="0.25">
      <c r="A31" s="11">
        <v>17</v>
      </c>
      <c r="B31" s="11" t="s">
        <v>903</v>
      </c>
      <c r="C31" s="11">
        <v>956</v>
      </c>
      <c r="D31" s="11">
        <v>459</v>
      </c>
      <c r="E31" s="11">
        <v>497</v>
      </c>
      <c r="H31"/>
      <c r="I31"/>
      <c r="J31"/>
    </row>
    <row r="32" spans="1:10" ht="24.75" customHeight="1" x14ac:dyDescent="0.25">
      <c r="A32" s="11">
        <v>18</v>
      </c>
      <c r="B32" s="11" t="s">
        <v>904</v>
      </c>
      <c r="C32" s="11">
        <v>953</v>
      </c>
      <c r="D32" s="11">
        <v>452</v>
      </c>
      <c r="E32" s="11">
        <v>501</v>
      </c>
      <c r="H32"/>
      <c r="I32"/>
      <c r="J32"/>
    </row>
    <row r="33" spans="1:10" ht="24.75" customHeight="1" x14ac:dyDescent="0.25">
      <c r="A33" s="11">
        <v>19</v>
      </c>
      <c r="B33" s="11" t="s">
        <v>417</v>
      </c>
      <c r="C33" s="11">
        <v>1581</v>
      </c>
      <c r="D33" s="11">
        <v>751</v>
      </c>
      <c r="E33" s="11">
        <v>830</v>
      </c>
      <c r="H33"/>
      <c r="I33"/>
      <c r="J33"/>
    </row>
    <row r="34" spans="1:10" ht="24.75" customHeight="1" x14ac:dyDescent="0.25">
      <c r="A34" s="11">
        <v>20</v>
      </c>
      <c r="B34" s="11" t="s">
        <v>721</v>
      </c>
      <c r="C34" s="11">
        <v>2591</v>
      </c>
      <c r="D34" s="11">
        <v>1259</v>
      </c>
      <c r="E34" s="11">
        <v>1332</v>
      </c>
      <c r="H34"/>
      <c r="I34"/>
      <c r="J34"/>
    </row>
    <row r="35" spans="1:10" ht="24.75" customHeight="1" x14ac:dyDescent="0.25">
      <c r="A35" s="11">
        <v>21</v>
      </c>
      <c r="B35" s="11" t="s">
        <v>905</v>
      </c>
      <c r="C35" s="11">
        <v>1458</v>
      </c>
      <c r="D35" s="11">
        <v>749</v>
      </c>
      <c r="E35" s="11">
        <v>709</v>
      </c>
      <c r="H35"/>
      <c r="I35"/>
      <c r="J35"/>
    </row>
    <row r="36" spans="1:10" ht="24.75" customHeight="1" x14ac:dyDescent="0.25">
      <c r="A36" s="11">
        <v>22</v>
      </c>
      <c r="B36" s="11" t="s">
        <v>906</v>
      </c>
      <c r="C36" s="11">
        <v>1948</v>
      </c>
      <c r="D36" s="11">
        <v>921</v>
      </c>
      <c r="E36" s="11">
        <v>1027</v>
      </c>
      <c r="H36"/>
      <c r="I36"/>
      <c r="J36"/>
    </row>
    <row r="37" spans="1:10" ht="24.75" customHeight="1" x14ac:dyDescent="0.25">
      <c r="A37" s="11">
        <v>23</v>
      </c>
      <c r="B37" s="11" t="s">
        <v>907</v>
      </c>
      <c r="C37" s="11">
        <v>2098</v>
      </c>
      <c r="D37" s="11">
        <v>1009</v>
      </c>
      <c r="E37" s="11">
        <v>1089</v>
      </c>
      <c r="H37"/>
      <c r="I37"/>
      <c r="J37"/>
    </row>
    <row r="38" spans="1:10" ht="24.75" customHeight="1" x14ac:dyDescent="0.25">
      <c r="A38" s="11">
        <v>24</v>
      </c>
      <c r="B38" s="11" t="s">
        <v>908</v>
      </c>
      <c r="C38" s="11">
        <v>2187</v>
      </c>
      <c r="D38" s="11">
        <v>1003</v>
      </c>
      <c r="E38" s="11">
        <v>1184</v>
      </c>
      <c r="H38"/>
      <c r="I38"/>
      <c r="J38"/>
    </row>
    <row r="39" spans="1:10" ht="24.75" customHeight="1" x14ac:dyDescent="0.25">
      <c r="A39" s="11">
        <v>25</v>
      </c>
      <c r="B39" s="11" t="s">
        <v>909</v>
      </c>
      <c r="C39" s="11">
        <v>4656</v>
      </c>
      <c r="D39" s="11">
        <v>2171</v>
      </c>
      <c r="E39" s="11">
        <v>2485</v>
      </c>
      <c r="H39"/>
      <c r="I39"/>
      <c r="J39"/>
    </row>
    <row r="40" spans="1:10" ht="24.75" customHeight="1" x14ac:dyDescent="0.25">
      <c r="A40" s="11">
        <v>26</v>
      </c>
      <c r="B40" s="11" t="s">
        <v>910</v>
      </c>
      <c r="C40" s="11">
        <v>1364</v>
      </c>
      <c r="D40" s="11">
        <v>623</v>
      </c>
      <c r="E40" s="11">
        <v>741</v>
      </c>
      <c r="H40"/>
      <c r="I40"/>
      <c r="J40"/>
    </row>
    <row r="41" spans="1:10" ht="24.75" customHeight="1" x14ac:dyDescent="0.25">
      <c r="A41" s="11">
        <v>27</v>
      </c>
      <c r="B41" s="11" t="s">
        <v>911</v>
      </c>
      <c r="C41" s="11">
        <v>2551</v>
      </c>
      <c r="D41" s="11">
        <v>1188</v>
      </c>
      <c r="E41" s="11">
        <v>1363</v>
      </c>
      <c r="H41"/>
      <c r="I41"/>
      <c r="J41"/>
    </row>
    <row r="42" spans="1:10" ht="24.75" customHeight="1" x14ac:dyDescent="0.25">
      <c r="A42" s="11">
        <v>28</v>
      </c>
      <c r="B42" s="11" t="s">
        <v>912</v>
      </c>
      <c r="C42" s="11">
        <v>1817</v>
      </c>
      <c r="D42" s="11">
        <v>819</v>
      </c>
      <c r="E42" s="11">
        <v>998</v>
      </c>
      <c r="H42"/>
      <c r="I42"/>
      <c r="J42"/>
    </row>
    <row r="43" spans="1:10" ht="24.75" customHeight="1" x14ac:dyDescent="0.25">
      <c r="A43" s="11">
        <v>29</v>
      </c>
      <c r="B43" s="11" t="s">
        <v>913</v>
      </c>
      <c r="C43" s="11">
        <v>3704</v>
      </c>
      <c r="D43" s="11">
        <v>1817</v>
      </c>
      <c r="E43" s="11">
        <v>1887</v>
      </c>
      <c r="H43"/>
      <c r="I43"/>
      <c r="J43"/>
    </row>
    <row r="44" spans="1:10" ht="24.75" customHeight="1" x14ac:dyDescent="0.25">
      <c r="A44" s="11">
        <v>30</v>
      </c>
      <c r="B44" s="11" t="s">
        <v>914</v>
      </c>
      <c r="C44" s="11">
        <v>11128</v>
      </c>
      <c r="D44" s="11">
        <v>5300</v>
      </c>
      <c r="E44" s="11">
        <v>5828</v>
      </c>
      <c r="H44"/>
      <c r="I44"/>
      <c r="J44"/>
    </row>
    <row r="45" spans="1:10" ht="24.75" customHeight="1" x14ac:dyDescent="0.25">
      <c r="A45" s="11">
        <v>31</v>
      </c>
      <c r="B45" s="11" t="s">
        <v>915</v>
      </c>
      <c r="C45" s="11">
        <v>4181</v>
      </c>
      <c r="D45" s="11">
        <v>1933</v>
      </c>
      <c r="E45" s="11">
        <v>2248</v>
      </c>
      <c r="H45"/>
      <c r="I45"/>
      <c r="J45"/>
    </row>
    <row r="46" spans="1:10" ht="24.75" customHeight="1" x14ac:dyDescent="0.25">
      <c r="A46" s="11">
        <v>32</v>
      </c>
      <c r="B46" s="11" t="s">
        <v>916</v>
      </c>
      <c r="C46" s="11">
        <v>4281</v>
      </c>
      <c r="D46" s="11">
        <v>2012</v>
      </c>
      <c r="E46" s="11">
        <v>2269</v>
      </c>
      <c r="H46"/>
      <c r="I46"/>
      <c r="J46"/>
    </row>
    <row r="47" spans="1:10" ht="24.75" customHeight="1" x14ac:dyDescent="0.25">
      <c r="A47" s="11">
        <v>33</v>
      </c>
      <c r="B47" s="11" t="s">
        <v>917</v>
      </c>
      <c r="C47" s="11">
        <v>1045</v>
      </c>
      <c r="D47" s="11">
        <v>536</v>
      </c>
      <c r="E47" s="11">
        <v>509</v>
      </c>
      <c r="H47"/>
      <c r="I47"/>
      <c r="J47"/>
    </row>
    <row r="48" spans="1:10" ht="24.75" customHeight="1" x14ac:dyDescent="0.25">
      <c r="A48" s="11">
        <v>34</v>
      </c>
      <c r="B48" s="11" t="s">
        <v>918</v>
      </c>
      <c r="C48" s="11">
        <v>2741</v>
      </c>
      <c r="D48" s="11">
        <v>1337</v>
      </c>
      <c r="E48" s="11">
        <v>1404</v>
      </c>
      <c r="H48"/>
      <c r="I48"/>
      <c r="J48"/>
    </row>
    <row r="49" spans="1:10" ht="24.75" customHeight="1" x14ac:dyDescent="0.25">
      <c r="A49" s="11">
        <v>35</v>
      </c>
      <c r="B49" s="11" t="s">
        <v>919</v>
      </c>
      <c r="C49" s="11">
        <v>1994</v>
      </c>
      <c r="D49" s="11">
        <v>982</v>
      </c>
      <c r="E49" s="11">
        <v>1012</v>
      </c>
      <c r="H49"/>
      <c r="I49"/>
      <c r="J49"/>
    </row>
    <row r="50" spans="1:10" ht="24.75" customHeight="1" x14ac:dyDescent="0.25">
      <c r="A50" s="11">
        <v>36</v>
      </c>
      <c r="B50" s="11" t="s">
        <v>920</v>
      </c>
      <c r="C50" s="11">
        <v>1884</v>
      </c>
      <c r="D50" s="11">
        <v>921</v>
      </c>
      <c r="E50" s="11">
        <v>963</v>
      </c>
      <c r="H50"/>
      <c r="I50"/>
      <c r="J50"/>
    </row>
    <row r="51" spans="1:10" ht="24.75" customHeight="1" x14ac:dyDescent="0.25">
      <c r="A51" s="11">
        <v>37</v>
      </c>
      <c r="B51" s="11" t="s">
        <v>921</v>
      </c>
      <c r="C51" s="11">
        <v>2100</v>
      </c>
      <c r="D51" s="11">
        <v>997</v>
      </c>
      <c r="E51" s="11">
        <v>1103</v>
      </c>
      <c r="H51"/>
      <c r="I51"/>
      <c r="J51"/>
    </row>
    <row r="52" spans="1:10" ht="24.75" customHeight="1" x14ac:dyDescent="0.25">
      <c r="A52" s="11">
        <v>38</v>
      </c>
      <c r="B52" s="11" t="s">
        <v>922</v>
      </c>
      <c r="C52" s="11">
        <v>5824</v>
      </c>
      <c r="D52" s="11">
        <v>2757</v>
      </c>
      <c r="E52" s="11">
        <v>3067</v>
      </c>
      <c r="H52"/>
      <c r="I52"/>
      <c r="J52"/>
    </row>
    <row r="53" spans="1:10" ht="24.75" customHeight="1" x14ac:dyDescent="0.25">
      <c r="A53" s="12">
        <v>39</v>
      </c>
      <c r="B53" s="12" t="s">
        <v>923</v>
      </c>
      <c r="C53" s="12">
        <v>2955</v>
      </c>
      <c r="D53" s="12">
        <v>1425</v>
      </c>
      <c r="E53" s="12">
        <v>1530</v>
      </c>
      <c r="H53"/>
      <c r="I53"/>
      <c r="J53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tha District ,Indaw Township"/>
  </hyperlinks>
  <pageMargins left="0.75" right="0.5" top="0.5" bottom="0.2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selection sqref="A1:E1"/>
    </sheetView>
  </sheetViews>
  <sheetFormatPr defaultRowHeight="24.75" customHeight="1" x14ac:dyDescent="0.25"/>
  <cols>
    <col min="1" max="1" width="4.28515625" style="3" customWidth="1"/>
    <col min="2" max="2" width="37.42578125" style="3" customWidth="1"/>
    <col min="3" max="5" width="15.7109375" style="3" customWidth="1"/>
    <col min="6" max="16384" width="9.140625" style="3"/>
  </cols>
  <sheetData>
    <row r="1" spans="1:7" ht="24.75" customHeight="1" x14ac:dyDescent="0.25">
      <c r="A1" s="67" t="s">
        <v>1743</v>
      </c>
      <c r="B1" s="67"/>
      <c r="C1" s="67"/>
      <c r="D1" s="67"/>
      <c r="E1" s="67"/>
    </row>
    <row r="2" spans="1:7" ht="24.75" customHeight="1" x14ac:dyDescent="0.4">
      <c r="A2" s="2"/>
      <c r="B2" s="7"/>
      <c r="C2" s="7"/>
      <c r="D2" s="7"/>
      <c r="E2" s="56" t="s">
        <v>1722</v>
      </c>
    </row>
    <row r="3" spans="1:7" ht="24.75" customHeight="1" x14ac:dyDescent="0.4">
      <c r="A3" s="2"/>
      <c r="B3" s="7"/>
      <c r="C3" s="7"/>
      <c r="D3" s="7"/>
      <c r="E3" s="56"/>
    </row>
    <row r="4" spans="1:7" ht="10.5" customHeight="1" x14ac:dyDescent="0.4">
      <c r="A4" s="2"/>
      <c r="B4" s="7"/>
      <c r="C4" s="7"/>
      <c r="D4" s="7"/>
      <c r="E4" s="7"/>
    </row>
    <row r="5" spans="1:7" ht="24.75" customHeight="1" x14ac:dyDescent="0.25">
      <c r="A5" s="62" t="s">
        <v>1723</v>
      </c>
      <c r="B5" s="62" t="s">
        <v>1775</v>
      </c>
      <c r="C5" s="64" t="s">
        <v>1724</v>
      </c>
      <c r="D5" s="64"/>
      <c r="E5" s="64"/>
    </row>
    <row r="6" spans="1:7" ht="24.75" customHeight="1" x14ac:dyDescent="0.25">
      <c r="A6" s="63"/>
      <c r="B6" s="63"/>
      <c r="C6" s="8" t="s">
        <v>0</v>
      </c>
      <c r="D6" s="8" t="s">
        <v>1</v>
      </c>
      <c r="E6" s="8" t="s">
        <v>2</v>
      </c>
    </row>
    <row r="7" spans="1:7" ht="24.75" customHeight="1" x14ac:dyDescent="0.25">
      <c r="A7" s="9"/>
      <c r="B7" s="9" t="s">
        <v>1772</v>
      </c>
      <c r="C7" s="22">
        <f>C9+C14</f>
        <v>129955</v>
      </c>
      <c r="D7" s="22">
        <f t="shared" ref="D7:E7" si="0">D9+D14</f>
        <v>63736</v>
      </c>
      <c r="E7" s="22">
        <f t="shared" si="0"/>
        <v>66219</v>
      </c>
      <c r="G7"/>
    </row>
    <row r="8" spans="1:7" ht="10.5" customHeight="1" x14ac:dyDescent="0.25">
      <c r="A8" s="10"/>
      <c r="B8" s="23"/>
      <c r="C8" s="23"/>
      <c r="D8" s="23"/>
      <c r="E8" s="23"/>
      <c r="G8"/>
    </row>
    <row r="9" spans="1:7" ht="24.75" customHeight="1" x14ac:dyDescent="0.25">
      <c r="A9" s="10"/>
      <c r="B9" s="10" t="s">
        <v>1725</v>
      </c>
      <c r="C9" s="24">
        <f>SUM(C10:C13)</f>
        <v>13535</v>
      </c>
      <c r="D9" s="24">
        <f t="shared" ref="D9:E9" si="1">SUM(D10:D13)</f>
        <v>6395</v>
      </c>
      <c r="E9" s="24">
        <f t="shared" si="1"/>
        <v>7140</v>
      </c>
      <c r="G9"/>
    </row>
    <row r="10" spans="1:7" ht="24.75" customHeight="1" x14ac:dyDescent="0.25">
      <c r="A10" s="11">
        <v>1</v>
      </c>
      <c r="B10" s="11" t="s">
        <v>924</v>
      </c>
      <c r="C10" s="11">
        <v>3677</v>
      </c>
      <c r="D10" s="11">
        <v>1722</v>
      </c>
      <c r="E10" s="11">
        <v>1955</v>
      </c>
      <c r="G10"/>
    </row>
    <row r="11" spans="1:7" ht="24.75" customHeight="1" x14ac:dyDescent="0.25">
      <c r="A11" s="11">
        <v>2</v>
      </c>
      <c r="B11" s="11" t="s">
        <v>889</v>
      </c>
      <c r="C11" s="11">
        <v>5215</v>
      </c>
      <c r="D11" s="11">
        <v>2446</v>
      </c>
      <c r="E11" s="11">
        <v>2769</v>
      </c>
      <c r="G11"/>
    </row>
    <row r="12" spans="1:7" ht="24.75" customHeight="1" x14ac:dyDescent="0.25">
      <c r="A12" s="11">
        <v>3</v>
      </c>
      <c r="B12" s="11" t="s">
        <v>925</v>
      </c>
      <c r="C12" s="11">
        <v>1926</v>
      </c>
      <c r="D12" s="11">
        <v>910</v>
      </c>
      <c r="E12" s="11">
        <v>1016</v>
      </c>
      <c r="G12"/>
    </row>
    <row r="13" spans="1:7" ht="24.75" customHeight="1" x14ac:dyDescent="0.25">
      <c r="A13" s="11">
        <v>4</v>
      </c>
      <c r="B13" s="11" t="s">
        <v>926</v>
      </c>
      <c r="C13" s="11">
        <v>2717</v>
      </c>
      <c r="D13" s="11">
        <v>1317</v>
      </c>
      <c r="E13" s="11">
        <v>1400</v>
      </c>
      <c r="G13"/>
    </row>
    <row r="14" spans="1:7" ht="24.75" customHeight="1" x14ac:dyDescent="0.25">
      <c r="A14" s="11"/>
      <c r="B14" s="10" t="s">
        <v>1773</v>
      </c>
      <c r="C14" s="24">
        <f>SUM(C15:C43)</f>
        <v>116420</v>
      </c>
      <c r="D14" s="24">
        <f t="shared" ref="D14:E14" si="2">SUM(D15:D43)</f>
        <v>57341</v>
      </c>
      <c r="E14" s="24">
        <f t="shared" si="2"/>
        <v>59079</v>
      </c>
      <c r="G14"/>
    </row>
    <row r="15" spans="1:7" ht="24.75" customHeight="1" x14ac:dyDescent="0.25">
      <c r="A15" s="11">
        <v>1</v>
      </c>
      <c r="B15" s="11" t="s">
        <v>927</v>
      </c>
      <c r="C15" s="11">
        <v>2592</v>
      </c>
      <c r="D15" s="11">
        <v>1250</v>
      </c>
      <c r="E15" s="11">
        <v>1342</v>
      </c>
      <c r="G15"/>
    </row>
    <row r="16" spans="1:7" ht="24.75" customHeight="1" x14ac:dyDescent="0.25">
      <c r="A16" s="11">
        <v>2</v>
      </c>
      <c r="B16" s="11" t="s">
        <v>928</v>
      </c>
      <c r="C16" s="11">
        <v>2411</v>
      </c>
      <c r="D16" s="11">
        <v>1197</v>
      </c>
      <c r="E16" s="11">
        <v>1214</v>
      </c>
      <c r="G16"/>
    </row>
    <row r="17" spans="1:7" ht="24.75" customHeight="1" x14ac:dyDescent="0.25">
      <c r="A17" s="11">
        <v>3</v>
      </c>
      <c r="B17" s="11" t="s">
        <v>929</v>
      </c>
      <c r="C17" s="11">
        <v>3846</v>
      </c>
      <c r="D17" s="11">
        <v>1865</v>
      </c>
      <c r="E17" s="11">
        <v>1981</v>
      </c>
      <c r="G17"/>
    </row>
    <row r="18" spans="1:7" ht="24.75" customHeight="1" x14ac:dyDescent="0.25">
      <c r="A18" s="11">
        <v>4</v>
      </c>
      <c r="B18" s="11" t="s">
        <v>930</v>
      </c>
      <c r="C18" s="11">
        <v>3303</v>
      </c>
      <c r="D18" s="11">
        <v>1603</v>
      </c>
      <c r="E18" s="11">
        <v>1700</v>
      </c>
      <c r="G18"/>
    </row>
    <row r="19" spans="1:7" ht="24.75" customHeight="1" x14ac:dyDescent="0.25">
      <c r="A19" s="11">
        <v>5</v>
      </c>
      <c r="B19" s="11" t="s">
        <v>396</v>
      </c>
      <c r="C19" s="11">
        <v>2517</v>
      </c>
      <c r="D19" s="11">
        <v>1220</v>
      </c>
      <c r="E19" s="11">
        <v>1297</v>
      </c>
      <c r="G19"/>
    </row>
    <row r="20" spans="1:7" ht="24.75" customHeight="1" x14ac:dyDescent="0.25">
      <c r="A20" s="11">
        <v>6</v>
      </c>
      <c r="B20" s="11" t="s">
        <v>931</v>
      </c>
      <c r="C20" s="11">
        <v>2149</v>
      </c>
      <c r="D20" s="11">
        <v>1070</v>
      </c>
      <c r="E20" s="11">
        <v>1079</v>
      </c>
      <c r="G20"/>
    </row>
    <row r="21" spans="1:7" ht="24.75" customHeight="1" x14ac:dyDescent="0.25">
      <c r="A21" s="11">
        <v>7</v>
      </c>
      <c r="B21" s="11" t="s">
        <v>932</v>
      </c>
      <c r="C21" s="11">
        <v>2973</v>
      </c>
      <c r="D21" s="11">
        <v>1411</v>
      </c>
      <c r="E21" s="11">
        <v>1562</v>
      </c>
      <c r="G21"/>
    </row>
    <row r="22" spans="1:7" ht="24.75" customHeight="1" x14ac:dyDescent="0.25">
      <c r="A22" s="11">
        <v>8</v>
      </c>
      <c r="B22" s="11" t="s">
        <v>933</v>
      </c>
      <c r="C22" s="11">
        <v>3256</v>
      </c>
      <c r="D22" s="11">
        <v>1521</v>
      </c>
      <c r="E22" s="11">
        <v>1735</v>
      </c>
      <c r="G22"/>
    </row>
    <row r="23" spans="1:7" ht="24.75" customHeight="1" x14ac:dyDescent="0.25">
      <c r="A23" s="11">
        <v>9</v>
      </c>
      <c r="B23" s="11" t="s">
        <v>591</v>
      </c>
      <c r="C23" s="11">
        <v>3395</v>
      </c>
      <c r="D23" s="11">
        <v>1631</v>
      </c>
      <c r="E23" s="11">
        <v>1764</v>
      </c>
      <c r="G23"/>
    </row>
    <row r="24" spans="1:7" ht="24.75" customHeight="1" x14ac:dyDescent="0.25">
      <c r="A24" s="11">
        <v>10</v>
      </c>
      <c r="B24" s="11" t="s">
        <v>934</v>
      </c>
      <c r="C24" s="11">
        <v>3451</v>
      </c>
      <c r="D24" s="11">
        <v>1731</v>
      </c>
      <c r="E24" s="11">
        <v>1720</v>
      </c>
      <c r="G24"/>
    </row>
    <row r="25" spans="1:7" ht="24.75" customHeight="1" x14ac:dyDescent="0.25">
      <c r="A25" s="11">
        <v>11</v>
      </c>
      <c r="B25" s="11" t="s">
        <v>935</v>
      </c>
      <c r="C25" s="11">
        <v>6918</v>
      </c>
      <c r="D25" s="11">
        <v>3367</v>
      </c>
      <c r="E25" s="11">
        <v>3551</v>
      </c>
      <c r="G25"/>
    </row>
    <row r="26" spans="1:7" ht="24.75" customHeight="1" x14ac:dyDescent="0.25">
      <c r="A26" s="11">
        <v>12</v>
      </c>
      <c r="B26" s="11" t="s">
        <v>381</v>
      </c>
      <c r="C26" s="11">
        <v>5661</v>
      </c>
      <c r="D26" s="11">
        <v>2818</v>
      </c>
      <c r="E26" s="11">
        <v>2843</v>
      </c>
      <c r="G26"/>
    </row>
    <row r="27" spans="1:7" ht="24.75" customHeight="1" x14ac:dyDescent="0.25">
      <c r="A27" s="11">
        <v>13</v>
      </c>
      <c r="B27" s="11" t="s">
        <v>936</v>
      </c>
      <c r="C27" s="11">
        <v>5497</v>
      </c>
      <c r="D27" s="11">
        <v>2662</v>
      </c>
      <c r="E27" s="11">
        <v>2835</v>
      </c>
      <c r="G27"/>
    </row>
    <row r="28" spans="1:7" ht="24.75" customHeight="1" x14ac:dyDescent="0.25">
      <c r="A28" s="11">
        <v>14</v>
      </c>
      <c r="B28" s="11" t="s">
        <v>937</v>
      </c>
      <c r="C28" s="11">
        <v>4800</v>
      </c>
      <c r="D28" s="11">
        <v>2364</v>
      </c>
      <c r="E28" s="11">
        <v>2436</v>
      </c>
      <c r="G28"/>
    </row>
    <row r="29" spans="1:7" ht="24.75" customHeight="1" x14ac:dyDescent="0.25">
      <c r="A29" s="11">
        <v>15</v>
      </c>
      <c r="B29" s="11" t="s">
        <v>938</v>
      </c>
      <c r="C29" s="11">
        <v>5244</v>
      </c>
      <c r="D29" s="11">
        <v>2597</v>
      </c>
      <c r="E29" s="11">
        <v>2647</v>
      </c>
      <c r="G29"/>
    </row>
    <row r="30" spans="1:7" ht="24.75" customHeight="1" x14ac:dyDescent="0.25">
      <c r="A30" s="11">
        <v>16</v>
      </c>
      <c r="B30" s="11" t="s">
        <v>939</v>
      </c>
      <c r="C30" s="11">
        <v>3111</v>
      </c>
      <c r="D30" s="11">
        <v>1458</v>
      </c>
      <c r="E30" s="11">
        <v>1653</v>
      </c>
      <c r="G30"/>
    </row>
    <row r="31" spans="1:7" ht="24.75" customHeight="1" x14ac:dyDescent="0.25">
      <c r="A31" s="11">
        <v>17</v>
      </c>
      <c r="B31" s="11" t="s">
        <v>940</v>
      </c>
      <c r="C31" s="11">
        <v>2467</v>
      </c>
      <c r="D31" s="11">
        <v>1137</v>
      </c>
      <c r="E31" s="11">
        <v>1330</v>
      </c>
      <c r="G31"/>
    </row>
    <row r="32" spans="1:7" ht="24.75" customHeight="1" x14ac:dyDescent="0.25">
      <c r="A32" s="11">
        <v>18</v>
      </c>
      <c r="B32" s="11" t="s">
        <v>941</v>
      </c>
      <c r="C32" s="11">
        <v>3531</v>
      </c>
      <c r="D32" s="11">
        <v>1743</v>
      </c>
      <c r="E32" s="11">
        <v>1788</v>
      </c>
      <c r="G32"/>
    </row>
    <row r="33" spans="1:7" ht="24.75" customHeight="1" x14ac:dyDescent="0.25">
      <c r="A33" s="11">
        <v>19</v>
      </c>
      <c r="B33" s="11" t="s">
        <v>883</v>
      </c>
      <c r="C33" s="11">
        <v>2699</v>
      </c>
      <c r="D33" s="11">
        <v>1299</v>
      </c>
      <c r="E33" s="11">
        <v>1400</v>
      </c>
      <c r="G33"/>
    </row>
    <row r="34" spans="1:7" ht="24.75" customHeight="1" x14ac:dyDescent="0.25">
      <c r="A34" s="11">
        <v>20</v>
      </c>
      <c r="B34" s="11" t="s">
        <v>942</v>
      </c>
      <c r="C34" s="11">
        <v>1926</v>
      </c>
      <c r="D34" s="11">
        <v>942</v>
      </c>
      <c r="E34" s="11">
        <v>984</v>
      </c>
      <c r="G34"/>
    </row>
    <row r="35" spans="1:7" ht="24.75" customHeight="1" x14ac:dyDescent="0.25">
      <c r="A35" s="11">
        <v>21</v>
      </c>
      <c r="B35" s="11" t="s">
        <v>943</v>
      </c>
      <c r="C35" s="11">
        <v>1972</v>
      </c>
      <c r="D35" s="11">
        <v>915</v>
      </c>
      <c r="E35" s="11">
        <v>1057</v>
      </c>
      <c r="G35"/>
    </row>
    <row r="36" spans="1:7" ht="24.75" customHeight="1" x14ac:dyDescent="0.25">
      <c r="A36" s="11">
        <v>22</v>
      </c>
      <c r="B36" s="11" t="s">
        <v>944</v>
      </c>
      <c r="C36" s="11">
        <v>617</v>
      </c>
      <c r="D36" s="11">
        <v>305</v>
      </c>
      <c r="E36" s="11">
        <v>312</v>
      </c>
      <c r="G36"/>
    </row>
    <row r="37" spans="1:7" ht="24.75" customHeight="1" x14ac:dyDescent="0.25">
      <c r="A37" s="11">
        <v>23</v>
      </c>
      <c r="B37" s="11" t="s">
        <v>945</v>
      </c>
      <c r="C37" s="11">
        <v>6193</v>
      </c>
      <c r="D37" s="11">
        <v>3128</v>
      </c>
      <c r="E37" s="11">
        <v>3065</v>
      </c>
      <c r="G37"/>
    </row>
    <row r="38" spans="1:7" ht="24.75" customHeight="1" x14ac:dyDescent="0.25">
      <c r="A38" s="11">
        <v>24</v>
      </c>
      <c r="B38" s="11" t="s">
        <v>64</v>
      </c>
      <c r="C38" s="11">
        <v>6350</v>
      </c>
      <c r="D38" s="11">
        <v>2965</v>
      </c>
      <c r="E38" s="11">
        <v>3385</v>
      </c>
      <c r="G38"/>
    </row>
    <row r="39" spans="1:7" ht="24.75" customHeight="1" x14ac:dyDescent="0.25">
      <c r="A39" s="11">
        <v>25</v>
      </c>
      <c r="B39" s="11" t="s">
        <v>946</v>
      </c>
      <c r="C39" s="11">
        <v>3073</v>
      </c>
      <c r="D39" s="11">
        <v>1473</v>
      </c>
      <c r="E39" s="11">
        <v>1600</v>
      </c>
      <c r="G39"/>
    </row>
    <row r="40" spans="1:7" ht="24.75" customHeight="1" x14ac:dyDescent="0.25">
      <c r="A40" s="11">
        <v>26</v>
      </c>
      <c r="B40" s="11" t="s">
        <v>947</v>
      </c>
      <c r="C40" s="11">
        <v>1909</v>
      </c>
      <c r="D40" s="11">
        <v>933</v>
      </c>
      <c r="E40" s="11">
        <v>976</v>
      </c>
      <c r="G40"/>
    </row>
    <row r="41" spans="1:7" ht="24.75" customHeight="1" x14ac:dyDescent="0.25">
      <c r="A41" s="11">
        <v>27</v>
      </c>
      <c r="B41" s="11" t="s">
        <v>948</v>
      </c>
      <c r="C41" s="11">
        <v>9929</v>
      </c>
      <c r="D41" s="11">
        <v>4887</v>
      </c>
      <c r="E41" s="11">
        <v>5042</v>
      </c>
      <c r="G41"/>
    </row>
    <row r="42" spans="1:7" ht="24.75" customHeight="1" x14ac:dyDescent="0.25">
      <c r="A42" s="11">
        <v>28</v>
      </c>
      <c r="B42" s="11" t="s">
        <v>949</v>
      </c>
      <c r="C42" s="11">
        <v>12908</v>
      </c>
      <c r="D42" s="11">
        <v>7031</v>
      </c>
      <c r="E42" s="11">
        <v>5877</v>
      </c>
      <c r="G42"/>
    </row>
    <row r="43" spans="1:7" ht="24.75" customHeight="1" x14ac:dyDescent="0.25">
      <c r="A43" s="17">
        <v>29</v>
      </c>
      <c r="B43" s="17" t="s">
        <v>950</v>
      </c>
      <c r="C43" s="17">
        <v>1722</v>
      </c>
      <c r="D43" s="17">
        <v>818</v>
      </c>
      <c r="E43" s="17">
        <v>904</v>
      </c>
      <c r="G43"/>
    </row>
    <row r="44" spans="1:7" ht="24.75" customHeight="1" x14ac:dyDescent="0.25">
      <c r="A44" s="18"/>
      <c r="B44" s="18"/>
      <c r="C44" s="18"/>
      <c r="D44" s="18"/>
      <c r="E44" s="18"/>
    </row>
    <row r="45" spans="1:7" ht="24.75" customHeight="1" x14ac:dyDescent="0.25">
      <c r="A45" s="20"/>
      <c r="B45" s="20"/>
      <c r="C45" s="20"/>
      <c r="D45" s="20"/>
      <c r="E45" s="20"/>
    </row>
    <row r="46" spans="1:7" ht="24.75" customHeight="1" x14ac:dyDescent="0.25">
      <c r="A46" s="20"/>
      <c r="B46" s="20"/>
      <c r="C46" s="20"/>
      <c r="D46" s="20"/>
      <c r="E46" s="20"/>
    </row>
    <row r="47" spans="1:7" ht="24.75" customHeight="1" x14ac:dyDescent="0.25">
      <c r="A47" s="20"/>
      <c r="B47" s="20"/>
      <c r="C47" s="20"/>
      <c r="D47" s="20"/>
      <c r="E47" s="20"/>
    </row>
    <row r="48" spans="1:7" ht="24.75" customHeight="1" x14ac:dyDescent="0.25">
      <c r="A48" s="20"/>
      <c r="B48" s="20"/>
      <c r="C48" s="20"/>
      <c r="D48" s="20"/>
      <c r="E48" s="20"/>
    </row>
    <row r="49" spans="1:5" ht="24.75" customHeight="1" x14ac:dyDescent="0.25">
      <c r="A49" s="20"/>
      <c r="B49" s="20"/>
      <c r="C49" s="20"/>
      <c r="D49" s="20"/>
      <c r="E49" s="20"/>
    </row>
    <row r="50" spans="1:5" ht="24.75" customHeight="1" x14ac:dyDescent="0.25">
      <c r="A50" s="20"/>
      <c r="B50" s="20"/>
      <c r="C50" s="20"/>
      <c r="D50" s="20"/>
      <c r="E50" s="20"/>
    </row>
    <row r="51" spans="1:5" ht="24.75" customHeight="1" x14ac:dyDescent="0.25">
      <c r="A51" s="20"/>
      <c r="B51" s="20"/>
      <c r="C51" s="20"/>
      <c r="D51" s="20"/>
      <c r="E51" s="20"/>
    </row>
    <row r="52" spans="1:5" ht="24.75" customHeight="1" x14ac:dyDescent="0.25">
      <c r="A52" s="20"/>
      <c r="B52" s="20"/>
      <c r="C52" s="20"/>
      <c r="D52" s="20"/>
      <c r="E52" s="20"/>
    </row>
    <row r="53" spans="1:5" ht="24.75" customHeight="1" x14ac:dyDescent="0.25">
      <c r="A53" s="20"/>
      <c r="B53" s="20"/>
      <c r="C53" s="20"/>
      <c r="D53" s="20"/>
      <c r="E53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tha District ,Tigyaing Township"/>
  </hyperlinks>
  <pageMargins left="0.75" right="0.5" top="0.5" bottom="0.2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sqref="A1:E1"/>
    </sheetView>
  </sheetViews>
  <sheetFormatPr defaultRowHeight="24.75" customHeight="1" x14ac:dyDescent="0.4"/>
  <cols>
    <col min="1" max="1" width="9.140625" style="4"/>
    <col min="2" max="2" width="31.85546875" style="4" customWidth="1"/>
    <col min="3" max="5" width="15.7109375" style="4" customWidth="1"/>
    <col min="6" max="16384" width="9.140625" style="4"/>
  </cols>
  <sheetData>
    <row r="1" spans="1:10" ht="24.75" customHeight="1" x14ac:dyDescent="0.4">
      <c r="A1" s="67" t="s">
        <v>1744</v>
      </c>
      <c r="B1" s="67"/>
      <c r="C1" s="67"/>
      <c r="D1" s="67"/>
      <c r="E1" s="67"/>
    </row>
    <row r="2" spans="1:10" ht="24.75" customHeight="1" x14ac:dyDescent="0.4">
      <c r="A2" s="2"/>
      <c r="B2" s="7"/>
      <c r="C2" s="7"/>
      <c r="D2" s="7"/>
      <c r="E2" s="56" t="s">
        <v>1722</v>
      </c>
    </row>
    <row r="3" spans="1:10" ht="22.5" customHeight="1" x14ac:dyDescent="0.4">
      <c r="A3" s="2"/>
      <c r="B3" s="7"/>
      <c r="C3" s="7"/>
      <c r="D3" s="7"/>
      <c r="E3" s="56"/>
    </row>
    <row r="4" spans="1:10" ht="10.5" customHeight="1" x14ac:dyDescent="0.4">
      <c r="A4" s="2"/>
      <c r="B4" s="7"/>
      <c r="C4" s="7"/>
      <c r="D4" s="7"/>
      <c r="E4" s="7"/>
    </row>
    <row r="5" spans="1:10" ht="21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10" ht="24.75" customHeight="1" x14ac:dyDescent="0.4">
      <c r="A6" s="65"/>
      <c r="B6" s="65"/>
      <c r="C6" s="34" t="s">
        <v>0</v>
      </c>
      <c r="D6" s="34" t="s">
        <v>1</v>
      </c>
      <c r="E6" s="34" t="s">
        <v>2</v>
      </c>
    </row>
    <row r="7" spans="1:10" ht="24.75" customHeight="1" x14ac:dyDescent="0.4">
      <c r="A7" s="25"/>
      <c r="B7" s="9" t="s">
        <v>1772</v>
      </c>
      <c r="C7" s="25">
        <f>C9+C13</f>
        <v>112668</v>
      </c>
      <c r="D7" s="25">
        <f t="shared" ref="D7:E7" si="0">D9+D13</f>
        <v>57195</v>
      </c>
      <c r="E7" s="25">
        <f t="shared" si="0"/>
        <v>55473</v>
      </c>
      <c r="F7" s="15"/>
      <c r="G7" s="15"/>
      <c r="H7" s="15"/>
      <c r="I7" s="15"/>
      <c r="J7" s="15"/>
    </row>
    <row r="8" spans="1:10" ht="12.75" customHeight="1" x14ac:dyDescent="0.4">
      <c r="A8" s="10"/>
      <c r="B8" s="35"/>
      <c r="C8" s="35"/>
      <c r="D8" s="35"/>
      <c r="E8" s="35"/>
      <c r="H8" s="15"/>
      <c r="I8" s="15"/>
      <c r="J8" s="15"/>
    </row>
    <row r="9" spans="1:10" ht="23.25" customHeight="1" x14ac:dyDescent="0.4">
      <c r="A9" s="10"/>
      <c r="B9" s="10" t="s">
        <v>1725</v>
      </c>
      <c r="C9" s="10">
        <f>SUM(C10:C12)</f>
        <v>6165</v>
      </c>
      <c r="D9" s="10">
        <f t="shared" ref="D9:E9" si="1">SUM(D10:D12)</f>
        <v>2883</v>
      </c>
      <c r="E9" s="10">
        <f t="shared" si="1"/>
        <v>3282</v>
      </c>
      <c r="H9" s="15"/>
      <c r="I9" s="15"/>
      <c r="J9" s="15"/>
    </row>
    <row r="10" spans="1:10" ht="24.75" customHeight="1" x14ac:dyDescent="0.4">
      <c r="A10" s="11">
        <v>1</v>
      </c>
      <c r="B10" s="11" t="s">
        <v>951</v>
      </c>
      <c r="C10" s="11">
        <v>2043</v>
      </c>
      <c r="D10" s="11">
        <v>931</v>
      </c>
      <c r="E10" s="11">
        <v>1112</v>
      </c>
      <c r="H10" s="15"/>
      <c r="I10" s="15"/>
      <c r="J10" s="15"/>
    </row>
    <row r="11" spans="1:10" ht="24.75" customHeight="1" x14ac:dyDescent="0.4">
      <c r="A11" s="11">
        <v>2</v>
      </c>
      <c r="B11" s="11" t="s">
        <v>952</v>
      </c>
      <c r="C11" s="11">
        <v>3129</v>
      </c>
      <c r="D11" s="11">
        <v>1466</v>
      </c>
      <c r="E11" s="11">
        <v>1663</v>
      </c>
      <c r="H11" s="15"/>
      <c r="I11" s="15"/>
      <c r="J11" s="15"/>
    </row>
    <row r="12" spans="1:10" ht="24.75" customHeight="1" x14ac:dyDescent="0.4">
      <c r="A12" s="11">
        <v>3</v>
      </c>
      <c r="B12" s="11" t="s">
        <v>953</v>
      </c>
      <c r="C12" s="11">
        <v>993</v>
      </c>
      <c r="D12" s="11">
        <v>486</v>
      </c>
      <c r="E12" s="11">
        <v>507</v>
      </c>
      <c r="H12" s="15"/>
      <c r="I12" s="15"/>
      <c r="J12" s="15"/>
    </row>
    <row r="13" spans="1:10" ht="21" customHeight="1" x14ac:dyDescent="0.4">
      <c r="A13" s="11"/>
      <c r="B13" s="10" t="s">
        <v>1773</v>
      </c>
      <c r="C13" s="10">
        <f>SUM(C14:C61)</f>
        <v>106503</v>
      </c>
      <c r="D13" s="10">
        <f t="shared" ref="D13:E13" si="2">SUM(D14:D61)</f>
        <v>54312</v>
      </c>
      <c r="E13" s="10">
        <f t="shared" si="2"/>
        <v>52191</v>
      </c>
      <c r="H13" s="15"/>
      <c r="I13" s="15"/>
      <c r="J13" s="15"/>
    </row>
    <row r="14" spans="1:10" ht="24.75" customHeight="1" x14ac:dyDescent="0.4">
      <c r="A14" s="11">
        <v>1</v>
      </c>
      <c r="B14" s="11" t="s">
        <v>955</v>
      </c>
      <c r="C14" s="11">
        <v>2387</v>
      </c>
      <c r="D14" s="11">
        <v>1113</v>
      </c>
      <c r="E14" s="11">
        <v>1274</v>
      </c>
      <c r="H14" s="15"/>
      <c r="I14" s="15"/>
      <c r="J14" s="15"/>
    </row>
    <row r="15" spans="1:10" ht="24.75" customHeight="1" x14ac:dyDescent="0.4">
      <c r="A15" s="11">
        <v>2</v>
      </c>
      <c r="B15" s="11" t="s">
        <v>956</v>
      </c>
      <c r="C15" s="11">
        <v>1782</v>
      </c>
      <c r="D15" s="11">
        <v>692</v>
      </c>
      <c r="E15" s="11">
        <v>1090</v>
      </c>
      <c r="H15" s="15"/>
      <c r="I15" s="15"/>
      <c r="J15" s="15"/>
    </row>
    <row r="16" spans="1:10" ht="24.75" customHeight="1" x14ac:dyDescent="0.4">
      <c r="A16" s="11">
        <v>3</v>
      </c>
      <c r="B16" s="11" t="s">
        <v>957</v>
      </c>
      <c r="C16" s="11">
        <v>1504</v>
      </c>
      <c r="D16" s="11">
        <v>655</v>
      </c>
      <c r="E16" s="11">
        <v>849</v>
      </c>
      <c r="H16" s="15"/>
      <c r="I16" s="15"/>
      <c r="J16" s="15"/>
    </row>
    <row r="17" spans="1:10" ht="24.75" customHeight="1" x14ac:dyDescent="0.4">
      <c r="A17" s="11">
        <v>4</v>
      </c>
      <c r="B17" s="11" t="s">
        <v>958</v>
      </c>
      <c r="C17" s="11">
        <v>830</v>
      </c>
      <c r="D17" s="11">
        <v>373</v>
      </c>
      <c r="E17" s="11">
        <v>457</v>
      </c>
      <c r="H17" s="15"/>
      <c r="I17" s="15"/>
      <c r="J17" s="15"/>
    </row>
    <row r="18" spans="1:10" ht="24.75" customHeight="1" x14ac:dyDescent="0.4">
      <c r="A18" s="11">
        <v>5</v>
      </c>
      <c r="B18" s="11" t="s">
        <v>959</v>
      </c>
      <c r="C18" s="11">
        <v>945</v>
      </c>
      <c r="D18" s="11">
        <v>436</v>
      </c>
      <c r="E18" s="11">
        <v>509</v>
      </c>
      <c r="H18" s="15"/>
      <c r="I18" s="15"/>
      <c r="J18" s="15"/>
    </row>
    <row r="19" spans="1:10" ht="24.75" customHeight="1" x14ac:dyDescent="0.4">
      <c r="A19" s="11">
        <v>6</v>
      </c>
      <c r="B19" s="11" t="s">
        <v>960</v>
      </c>
      <c r="C19" s="11">
        <v>2298</v>
      </c>
      <c r="D19" s="11">
        <v>1067</v>
      </c>
      <c r="E19" s="11">
        <v>1231</v>
      </c>
      <c r="H19" s="15"/>
      <c r="I19" s="15"/>
      <c r="J19" s="15"/>
    </row>
    <row r="20" spans="1:10" ht="24.75" customHeight="1" x14ac:dyDescent="0.4">
      <c r="A20" s="11">
        <v>7</v>
      </c>
      <c r="B20" s="11" t="s">
        <v>961</v>
      </c>
      <c r="C20" s="11">
        <v>1928</v>
      </c>
      <c r="D20" s="11">
        <v>920</v>
      </c>
      <c r="E20" s="11">
        <v>1008</v>
      </c>
      <c r="H20" s="15"/>
      <c r="I20" s="15"/>
      <c r="J20" s="15"/>
    </row>
    <row r="21" spans="1:10" ht="24.75" customHeight="1" x14ac:dyDescent="0.4">
      <c r="A21" s="11">
        <v>8</v>
      </c>
      <c r="B21" s="11" t="s">
        <v>962</v>
      </c>
      <c r="C21" s="11">
        <v>2542</v>
      </c>
      <c r="D21" s="11">
        <v>1311</v>
      </c>
      <c r="E21" s="11">
        <v>1231</v>
      </c>
      <c r="H21" s="15"/>
      <c r="I21" s="15"/>
      <c r="J21" s="15"/>
    </row>
    <row r="22" spans="1:10" ht="24.75" customHeight="1" x14ac:dyDescent="0.4">
      <c r="A22" s="11">
        <v>9</v>
      </c>
      <c r="B22" s="11" t="s">
        <v>963</v>
      </c>
      <c r="C22" s="11">
        <v>2837</v>
      </c>
      <c r="D22" s="11">
        <v>1354</v>
      </c>
      <c r="E22" s="11">
        <v>1483</v>
      </c>
      <c r="H22" s="15"/>
      <c r="I22" s="15"/>
      <c r="J22" s="15"/>
    </row>
    <row r="23" spans="1:10" ht="24.75" customHeight="1" x14ac:dyDescent="0.4">
      <c r="A23" s="11">
        <v>10</v>
      </c>
      <c r="B23" s="11" t="s">
        <v>964</v>
      </c>
      <c r="C23" s="11">
        <v>1554</v>
      </c>
      <c r="D23" s="11">
        <v>746</v>
      </c>
      <c r="E23" s="11">
        <v>808</v>
      </c>
      <c r="H23" s="15"/>
      <c r="I23" s="15"/>
      <c r="J23" s="15"/>
    </row>
    <row r="24" spans="1:10" ht="24.75" customHeight="1" x14ac:dyDescent="0.4">
      <c r="A24" s="11">
        <v>11</v>
      </c>
      <c r="B24" s="11" t="s">
        <v>965</v>
      </c>
      <c r="C24" s="11">
        <v>1791</v>
      </c>
      <c r="D24" s="11">
        <v>897</v>
      </c>
      <c r="E24" s="11">
        <v>894</v>
      </c>
      <c r="H24" s="15"/>
      <c r="I24" s="15"/>
      <c r="J24" s="15"/>
    </row>
    <row r="25" spans="1:10" ht="24.75" customHeight="1" x14ac:dyDescent="0.4">
      <c r="A25" s="11">
        <v>12</v>
      </c>
      <c r="B25" s="11" t="s">
        <v>966</v>
      </c>
      <c r="C25" s="11">
        <v>1311</v>
      </c>
      <c r="D25" s="11">
        <v>684</v>
      </c>
      <c r="E25" s="11">
        <v>627</v>
      </c>
      <c r="H25" s="15"/>
      <c r="I25" s="15"/>
      <c r="J25" s="15"/>
    </row>
    <row r="26" spans="1:10" ht="24.75" customHeight="1" x14ac:dyDescent="0.4">
      <c r="A26" s="11">
        <v>13</v>
      </c>
      <c r="B26" s="11" t="s">
        <v>967</v>
      </c>
      <c r="C26" s="11">
        <v>2190</v>
      </c>
      <c r="D26" s="11">
        <v>1345</v>
      </c>
      <c r="E26" s="11">
        <v>845</v>
      </c>
      <c r="H26" s="15"/>
      <c r="I26" s="15"/>
      <c r="J26" s="15"/>
    </row>
    <row r="27" spans="1:10" ht="24.75" customHeight="1" x14ac:dyDescent="0.4">
      <c r="A27" s="11">
        <v>14</v>
      </c>
      <c r="B27" s="11" t="s">
        <v>968</v>
      </c>
      <c r="C27" s="11">
        <v>2116</v>
      </c>
      <c r="D27" s="11">
        <v>1155</v>
      </c>
      <c r="E27" s="11">
        <v>961</v>
      </c>
      <c r="H27" s="15"/>
      <c r="I27" s="15"/>
      <c r="J27" s="15"/>
    </row>
    <row r="28" spans="1:10" ht="24.75" customHeight="1" x14ac:dyDescent="0.4">
      <c r="A28" s="11">
        <v>15</v>
      </c>
      <c r="B28" s="11" t="s">
        <v>912</v>
      </c>
      <c r="C28" s="11">
        <v>2834</v>
      </c>
      <c r="D28" s="11">
        <v>1702</v>
      </c>
      <c r="E28" s="11">
        <v>1132</v>
      </c>
      <c r="H28" s="15"/>
      <c r="I28" s="15"/>
      <c r="J28" s="15"/>
    </row>
    <row r="29" spans="1:10" ht="24.75" customHeight="1" x14ac:dyDescent="0.4">
      <c r="A29" s="11">
        <v>16</v>
      </c>
      <c r="B29" s="11" t="s">
        <v>969</v>
      </c>
      <c r="C29" s="11">
        <v>3593</v>
      </c>
      <c r="D29" s="11">
        <v>1891</v>
      </c>
      <c r="E29" s="11">
        <v>1702</v>
      </c>
      <c r="H29" s="15"/>
      <c r="I29" s="15"/>
      <c r="J29" s="15"/>
    </row>
    <row r="30" spans="1:10" ht="24.75" customHeight="1" x14ac:dyDescent="0.4">
      <c r="A30" s="11">
        <v>17</v>
      </c>
      <c r="B30" s="11" t="s">
        <v>970</v>
      </c>
      <c r="C30" s="11">
        <v>3589</v>
      </c>
      <c r="D30" s="11">
        <v>1701</v>
      </c>
      <c r="E30" s="11">
        <v>1888</v>
      </c>
      <c r="H30" s="15"/>
      <c r="I30" s="15"/>
      <c r="J30" s="15"/>
    </row>
    <row r="31" spans="1:10" ht="24.75" customHeight="1" x14ac:dyDescent="0.4">
      <c r="A31" s="11">
        <v>18</v>
      </c>
      <c r="B31" s="11" t="s">
        <v>971</v>
      </c>
      <c r="C31" s="11">
        <v>3263</v>
      </c>
      <c r="D31" s="11">
        <v>1740</v>
      </c>
      <c r="E31" s="11">
        <v>1523</v>
      </c>
      <c r="H31" s="15"/>
      <c r="I31" s="15"/>
      <c r="J31" s="15"/>
    </row>
    <row r="32" spans="1:10" ht="24.75" customHeight="1" x14ac:dyDescent="0.4">
      <c r="A32" s="11">
        <v>19</v>
      </c>
      <c r="B32" s="11" t="s">
        <v>972</v>
      </c>
      <c r="C32" s="11">
        <v>5009</v>
      </c>
      <c r="D32" s="11">
        <v>2394</v>
      </c>
      <c r="E32" s="11">
        <v>2615</v>
      </c>
      <c r="H32" s="15"/>
      <c r="I32" s="15"/>
      <c r="J32" s="15"/>
    </row>
    <row r="33" spans="1:10" ht="24.75" customHeight="1" x14ac:dyDescent="0.4">
      <c r="A33" s="11">
        <v>20</v>
      </c>
      <c r="B33" s="11" t="s">
        <v>973</v>
      </c>
      <c r="C33" s="11">
        <v>1745</v>
      </c>
      <c r="D33" s="11">
        <v>899</v>
      </c>
      <c r="E33" s="11">
        <v>846</v>
      </c>
      <c r="H33" s="15"/>
      <c r="I33" s="15"/>
      <c r="J33" s="15"/>
    </row>
    <row r="34" spans="1:10" ht="24.75" customHeight="1" x14ac:dyDescent="0.4">
      <c r="A34" s="11">
        <v>21</v>
      </c>
      <c r="B34" s="11" t="s">
        <v>974</v>
      </c>
      <c r="C34" s="11">
        <v>1370</v>
      </c>
      <c r="D34" s="11">
        <v>621</v>
      </c>
      <c r="E34" s="11">
        <v>749</v>
      </c>
      <c r="H34" s="15"/>
      <c r="I34" s="15"/>
      <c r="J34" s="15"/>
    </row>
    <row r="35" spans="1:10" ht="24.75" customHeight="1" x14ac:dyDescent="0.4">
      <c r="A35" s="11">
        <v>22</v>
      </c>
      <c r="B35" s="11" t="s">
        <v>975</v>
      </c>
      <c r="C35" s="11">
        <v>2337</v>
      </c>
      <c r="D35" s="11">
        <v>1179</v>
      </c>
      <c r="E35" s="11">
        <v>1158</v>
      </c>
      <c r="H35" s="15"/>
      <c r="I35" s="15"/>
      <c r="J35" s="15"/>
    </row>
    <row r="36" spans="1:10" ht="24.75" customHeight="1" x14ac:dyDescent="0.4">
      <c r="A36" s="11">
        <v>23</v>
      </c>
      <c r="B36" s="11" t="s">
        <v>166</v>
      </c>
      <c r="C36" s="11">
        <v>2272</v>
      </c>
      <c r="D36" s="11">
        <v>1086</v>
      </c>
      <c r="E36" s="11">
        <v>1186</v>
      </c>
      <c r="H36" s="15"/>
      <c r="I36" s="15"/>
      <c r="J36" s="15"/>
    </row>
    <row r="37" spans="1:10" ht="24.75" customHeight="1" x14ac:dyDescent="0.4">
      <c r="A37" s="11">
        <v>24</v>
      </c>
      <c r="B37" s="11" t="s">
        <v>915</v>
      </c>
      <c r="C37" s="11">
        <v>2549</v>
      </c>
      <c r="D37" s="11">
        <v>1260</v>
      </c>
      <c r="E37" s="11">
        <v>1289</v>
      </c>
      <c r="H37" s="15"/>
      <c r="I37" s="15"/>
      <c r="J37" s="15"/>
    </row>
    <row r="38" spans="1:10" ht="24.75" customHeight="1" x14ac:dyDescent="0.4">
      <c r="A38" s="11">
        <v>25</v>
      </c>
      <c r="B38" s="11" t="s">
        <v>976</v>
      </c>
      <c r="C38" s="11">
        <v>1024</v>
      </c>
      <c r="D38" s="11">
        <v>537</v>
      </c>
      <c r="E38" s="11">
        <v>487</v>
      </c>
      <c r="H38" s="15"/>
      <c r="I38" s="15"/>
      <c r="J38" s="15"/>
    </row>
    <row r="39" spans="1:10" ht="24.75" customHeight="1" x14ac:dyDescent="0.4">
      <c r="A39" s="11">
        <v>26</v>
      </c>
      <c r="B39" s="11" t="s">
        <v>977</v>
      </c>
      <c r="C39" s="11">
        <v>2049</v>
      </c>
      <c r="D39" s="11">
        <v>1347</v>
      </c>
      <c r="E39" s="11">
        <v>702</v>
      </c>
      <c r="H39" s="15"/>
      <c r="I39" s="15"/>
      <c r="J39" s="15"/>
    </row>
    <row r="40" spans="1:10" ht="24.75" customHeight="1" x14ac:dyDescent="0.4">
      <c r="A40" s="11">
        <v>27</v>
      </c>
      <c r="B40" s="11" t="s">
        <v>978</v>
      </c>
      <c r="C40" s="11">
        <v>985</v>
      </c>
      <c r="D40" s="11">
        <v>541</v>
      </c>
      <c r="E40" s="11">
        <v>444</v>
      </c>
      <c r="H40" s="15"/>
      <c r="I40" s="15"/>
      <c r="J40" s="15"/>
    </row>
    <row r="41" spans="1:10" ht="24.75" customHeight="1" x14ac:dyDescent="0.4">
      <c r="A41" s="11">
        <v>28</v>
      </c>
      <c r="B41" s="11" t="s">
        <v>133</v>
      </c>
      <c r="C41" s="11">
        <v>970</v>
      </c>
      <c r="D41" s="11">
        <v>525</v>
      </c>
      <c r="E41" s="11">
        <v>445</v>
      </c>
      <c r="H41" s="15"/>
      <c r="I41" s="15"/>
      <c r="J41" s="15"/>
    </row>
    <row r="42" spans="1:10" ht="24.75" customHeight="1" x14ac:dyDescent="0.4">
      <c r="A42" s="11">
        <v>29</v>
      </c>
      <c r="B42" s="11" t="s">
        <v>979</v>
      </c>
      <c r="C42" s="11">
        <v>1080</v>
      </c>
      <c r="D42" s="11">
        <v>531</v>
      </c>
      <c r="E42" s="11">
        <v>549</v>
      </c>
      <c r="H42" s="15"/>
      <c r="I42" s="15"/>
      <c r="J42" s="15"/>
    </row>
    <row r="43" spans="1:10" ht="24.75" customHeight="1" x14ac:dyDescent="0.4">
      <c r="A43" s="11">
        <v>30</v>
      </c>
      <c r="B43" s="11" t="s">
        <v>980</v>
      </c>
      <c r="C43" s="11">
        <v>1494</v>
      </c>
      <c r="D43" s="11">
        <v>768</v>
      </c>
      <c r="E43" s="11">
        <v>726</v>
      </c>
      <c r="H43" s="15"/>
      <c r="I43" s="15"/>
      <c r="J43" s="15"/>
    </row>
    <row r="44" spans="1:10" ht="24.75" customHeight="1" x14ac:dyDescent="0.4">
      <c r="A44" s="11">
        <v>31</v>
      </c>
      <c r="B44" s="11" t="s">
        <v>981</v>
      </c>
      <c r="C44" s="11">
        <v>2146</v>
      </c>
      <c r="D44" s="11">
        <v>1049</v>
      </c>
      <c r="E44" s="11">
        <v>1097</v>
      </c>
      <c r="H44" s="15"/>
      <c r="I44" s="15"/>
      <c r="J44" s="15"/>
    </row>
    <row r="45" spans="1:10" ht="24.75" customHeight="1" x14ac:dyDescent="0.4">
      <c r="A45" s="11">
        <v>32</v>
      </c>
      <c r="B45" s="11" t="s">
        <v>982</v>
      </c>
      <c r="C45" s="11">
        <v>2120</v>
      </c>
      <c r="D45" s="11">
        <v>1019</v>
      </c>
      <c r="E45" s="11">
        <v>1101</v>
      </c>
      <c r="H45" s="15"/>
      <c r="I45" s="15"/>
      <c r="J45" s="15"/>
    </row>
    <row r="46" spans="1:10" ht="24.75" customHeight="1" x14ac:dyDescent="0.4">
      <c r="A46" s="11">
        <v>33</v>
      </c>
      <c r="B46" s="11" t="s">
        <v>983</v>
      </c>
      <c r="C46" s="11">
        <v>577</v>
      </c>
      <c r="D46" s="11">
        <v>294</v>
      </c>
      <c r="E46" s="11">
        <v>283</v>
      </c>
      <c r="H46" s="15"/>
      <c r="I46" s="15"/>
      <c r="J46" s="15"/>
    </row>
    <row r="47" spans="1:10" ht="24.75" customHeight="1" x14ac:dyDescent="0.4">
      <c r="A47" s="11">
        <v>34</v>
      </c>
      <c r="B47" s="11" t="s">
        <v>984</v>
      </c>
      <c r="C47" s="11">
        <v>1468</v>
      </c>
      <c r="D47" s="11">
        <v>705</v>
      </c>
      <c r="E47" s="11">
        <v>763</v>
      </c>
      <c r="H47" s="15"/>
      <c r="I47" s="15"/>
      <c r="J47" s="15"/>
    </row>
    <row r="48" spans="1:10" ht="24.75" customHeight="1" x14ac:dyDescent="0.4">
      <c r="A48" s="11">
        <v>35</v>
      </c>
      <c r="B48" s="11" t="s">
        <v>985</v>
      </c>
      <c r="C48" s="11">
        <v>717</v>
      </c>
      <c r="D48" s="11">
        <v>348</v>
      </c>
      <c r="E48" s="11">
        <v>369</v>
      </c>
      <c r="H48" s="15"/>
      <c r="I48" s="15"/>
      <c r="J48" s="15"/>
    </row>
    <row r="49" spans="1:10" ht="24.75" customHeight="1" x14ac:dyDescent="0.4">
      <c r="A49" s="11">
        <v>36</v>
      </c>
      <c r="B49" s="11" t="s">
        <v>986</v>
      </c>
      <c r="C49" s="11">
        <v>5110</v>
      </c>
      <c r="D49" s="11">
        <v>2602</v>
      </c>
      <c r="E49" s="11">
        <v>2508</v>
      </c>
      <c r="H49" s="15"/>
      <c r="I49" s="15"/>
      <c r="J49" s="15"/>
    </row>
    <row r="50" spans="1:10" ht="24.75" customHeight="1" x14ac:dyDescent="0.4">
      <c r="A50" s="11">
        <v>37</v>
      </c>
      <c r="B50" s="11" t="s">
        <v>987</v>
      </c>
      <c r="C50" s="11">
        <v>3140</v>
      </c>
      <c r="D50" s="11">
        <v>1926</v>
      </c>
      <c r="E50" s="11">
        <v>1214</v>
      </c>
      <c r="H50" s="15"/>
      <c r="I50" s="15"/>
      <c r="J50" s="15"/>
    </row>
    <row r="51" spans="1:10" ht="24.75" customHeight="1" x14ac:dyDescent="0.4">
      <c r="A51" s="11">
        <v>38</v>
      </c>
      <c r="B51" s="11" t="s">
        <v>988</v>
      </c>
      <c r="C51" s="11">
        <v>3211</v>
      </c>
      <c r="D51" s="11">
        <v>1583</v>
      </c>
      <c r="E51" s="11">
        <v>1628</v>
      </c>
      <c r="H51" s="15"/>
      <c r="I51" s="15"/>
      <c r="J51" s="15"/>
    </row>
    <row r="52" spans="1:10" ht="24.75" customHeight="1" x14ac:dyDescent="0.4">
      <c r="A52" s="11">
        <v>39</v>
      </c>
      <c r="B52" s="11" t="s">
        <v>989</v>
      </c>
      <c r="C52" s="11">
        <v>10334</v>
      </c>
      <c r="D52" s="11">
        <v>5559</v>
      </c>
      <c r="E52" s="11">
        <v>4775</v>
      </c>
      <c r="H52" s="15"/>
      <c r="I52" s="15"/>
      <c r="J52" s="15"/>
    </row>
    <row r="53" spans="1:10" ht="24.75" customHeight="1" x14ac:dyDescent="0.4">
      <c r="A53" s="11">
        <v>40</v>
      </c>
      <c r="B53" s="11" t="s">
        <v>990</v>
      </c>
      <c r="C53" s="11">
        <v>3312</v>
      </c>
      <c r="D53" s="11">
        <v>1904</v>
      </c>
      <c r="E53" s="11">
        <v>1408</v>
      </c>
      <c r="H53" s="15"/>
      <c r="I53" s="15"/>
      <c r="J53" s="15"/>
    </row>
    <row r="54" spans="1:10" ht="24.75" customHeight="1" x14ac:dyDescent="0.4">
      <c r="A54" s="11">
        <v>41</v>
      </c>
      <c r="B54" s="11" t="s">
        <v>991</v>
      </c>
      <c r="C54" s="11">
        <v>2242</v>
      </c>
      <c r="D54" s="11">
        <v>1077</v>
      </c>
      <c r="E54" s="11">
        <v>1165</v>
      </c>
      <c r="H54" s="15"/>
      <c r="I54" s="15"/>
      <c r="J54" s="15"/>
    </row>
    <row r="55" spans="1:10" ht="24.75" customHeight="1" x14ac:dyDescent="0.4">
      <c r="A55" s="11">
        <v>42</v>
      </c>
      <c r="B55" s="11" t="s">
        <v>992</v>
      </c>
      <c r="C55" s="11">
        <v>1466</v>
      </c>
      <c r="D55" s="11">
        <v>699</v>
      </c>
      <c r="E55" s="11">
        <v>767</v>
      </c>
      <c r="H55" s="15"/>
      <c r="I55" s="15"/>
      <c r="J55" s="15"/>
    </row>
    <row r="56" spans="1:10" ht="24.75" customHeight="1" x14ac:dyDescent="0.4">
      <c r="A56" s="11">
        <v>43</v>
      </c>
      <c r="B56" s="11" t="s">
        <v>993</v>
      </c>
      <c r="C56" s="11">
        <v>1254</v>
      </c>
      <c r="D56" s="11">
        <v>614</v>
      </c>
      <c r="E56" s="11">
        <v>640</v>
      </c>
      <c r="H56" s="15"/>
      <c r="I56" s="15"/>
      <c r="J56" s="15"/>
    </row>
    <row r="57" spans="1:10" ht="24.75" customHeight="1" x14ac:dyDescent="0.4">
      <c r="A57" s="11">
        <v>44</v>
      </c>
      <c r="B57" s="11" t="s">
        <v>994</v>
      </c>
      <c r="C57" s="11">
        <v>1707</v>
      </c>
      <c r="D57" s="11">
        <v>816</v>
      </c>
      <c r="E57" s="11">
        <v>891</v>
      </c>
      <c r="H57" s="15"/>
      <c r="I57" s="15"/>
      <c r="J57" s="15"/>
    </row>
    <row r="58" spans="1:10" ht="24.75" customHeight="1" x14ac:dyDescent="0.4">
      <c r="A58" s="11">
        <v>45</v>
      </c>
      <c r="B58" s="11" t="s">
        <v>995</v>
      </c>
      <c r="C58" s="11">
        <v>1535</v>
      </c>
      <c r="D58" s="11">
        <v>689</v>
      </c>
      <c r="E58" s="11">
        <v>846</v>
      </c>
      <c r="H58" s="15"/>
      <c r="I58" s="15"/>
      <c r="J58" s="15"/>
    </row>
    <row r="59" spans="1:10" ht="24.75" customHeight="1" x14ac:dyDescent="0.4">
      <c r="A59" s="11">
        <v>46</v>
      </c>
      <c r="B59" s="11" t="s">
        <v>996</v>
      </c>
      <c r="C59" s="11">
        <v>1104</v>
      </c>
      <c r="D59" s="11">
        <v>505</v>
      </c>
      <c r="E59" s="11">
        <v>599</v>
      </c>
      <c r="H59" s="15"/>
      <c r="I59" s="15"/>
      <c r="J59" s="15"/>
    </row>
    <row r="60" spans="1:10" ht="24.75" customHeight="1" x14ac:dyDescent="0.4">
      <c r="A60" s="11">
        <v>47</v>
      </c>
      <c r="B60" s="11" t="s">
        <v>997</v>
      </c>
      <c r="C60" s="11">
        <v>2434</v>
      </c>
      <c r="D60" s="11">
        <v>1146</v>
      </c>
      <c r="E60" s="11">
        <v>1288</v>
      </c>
      <c r="H60" s="15"/>
      <c r="I60" s="15"/>
      <c r="J60" s="15"/>
    </row>
    <row r="61" spans="1:10" ht="24.75" customHeight="1" x14ac:dyDescent="0.4">
      <c r="A61" s="12">
        <v>48</v>
      </c>
      <c r="B61" s="12" t="s">
        <v>954</v>
      </c>
      <c r="C61" s="12">
        <v>448</v>
      </c>
      <c r="D61" s="12">
        <v>307</v>
      </c>
      <c r="E61" s="12">
        <v>141</v>
      </c>
      <c r="H61" s="15"/>
      <c r="I61" s="15"/>
      <c r="J61" s="15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tha District , Banmauk Township"/>
  </hyperlinks>
  <pageMargins left="0.75" right="0.5" top="0.5" bottom="0.2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workbookViewId="0">
      <selection sqref="A1:E1"/>
    </sheetView>
  </sheetViews>
  <sheetFormatPr defaultRowHeight="15" x14ac:dyDescent="0.25"/>
  <cols>
    <col min="1" max="1" width="8.5703125" style="3" customWidth="1"/>
    <col min="2" max="2" width="28.85546875" style="3" customWidth="1"/>
    <col min="3" max="5" width="15.7109375" style="3" customWidth="1"/>
    <col min="6" max="16384" width="9.140625" style="3"/>
  </cols>
  <sheetData>
    <row r="1" spans="1:5" ht="18.75" x14ac:dyDescent="0.25">
      <c r="A1" s="67" t="s">
        <v>1745</v>
      </c>
      <c r="B1" s="67"/>
      <c r="C1" s="67"/>
      <c r="D1" s="67"/>
      <c r="E1" s="67"/>
    </row>
    <row r="2" spans="1:5" ht="21.75" x14ac:dyDescent="0.4">
      <c r="A2" s="2"/>
      <c r="B2" s="7"/>
      <c r="C2" s="7"/>
      <c r="D2" s="7"/>
      <c r="E2" s="56" t="s">
        <v>1722</v>
      </c>
    </row>
    <row r="3" spans="1:5" ht="21.75" x14ac:dyDescent="0.4">
      <c r="A3" s="2"/>
      <c r="B3" s="7"/>
      <c r="C3" s="7"/>
      <c r="D3" s="7"/>
      <c r="E3" s="56"/>
    </row>
    <row r="4" spans="1:5" ht="10.5" customHeight="1" x14ac:dyDescent="0.4">
      <c r="A4" s="2"/>
      <c r="B4" s="7"/>
      <c r="C4" s="7"/>
      <c r="D4" s="7"/>
      <c r="E4" s="7"/>
    </row>
    <row r="5" spans="1:5" ht="15.75" x14ac:dyDescent="0.25">
      <c r="A5" s="65" t="s">
        <v>1723</v>
      </c>
      <c r="B5" s="65" t="s">
        <v>1775</v>
      </c>
      <c r="C5" s="64" t="s">
        <v>1724</v>
      </c>
      <c r="D5" s="64"/>
      <c r="E5" s="64"/>
    </row>
    <row r="6" spans="1:5" ht="15.75" x14ac:dyDescent="0.25">
      <c r="A6" s="65"/>
      <c r="B6" s="65"/>
      <c r="C6" s="34" t="s">
        <v>0</v>
      </c>
      <c r="D6" s="34" t="s">
        <v>1</v>
      </c>
      <c r="E6" s="34" t="s">
        <v>2</v>
      </c>
    </row>
    <row r="7" spans="1:5" ht="21.95" customHeight="1" x14ac:dyDescent="0.25">
      <c r="A7" s="25"/>
      <c r="B7" s="9" t="s">
        <v>1772</v>
      </c>
      <c r="C7" s="25">
        <f>C9+C16</f>
        <v>145297</v>
      </c>
      <c r="D7" s="25">
        <f t="shared" ref="D7:E7" si="0">D9+D16</f>
        <v>69782</v>
      </c>
      <c r="E7" s="25">
        <f t="shared" si="0"/>
        <v>75515</v>
      </c>
    </row>
    <row r="8" spans="1:5" ht="9" customHeight="1" x14ac:dyDescent="0.25">
      <c r="A8" s="10"/>
      <c r="B8" s="23"/>
      <c r="C8" s="23"/>
      <c r="D8" s="23"/>
      <c r="E8" s="23"/>
    </row>
    <row r="9" spans="1:5" ht="21.95" customHeight="1" x14ac:dyDescent="0.25">
      <c r="A9" s="10"/>
      <c r="B9" s="10" t="s">
        <v>1725</v>
      </c>
      <c r="C9" s="24">
        <f>SUM(C10:C15)</f>
        <v>21431</v>
      </c>
      <c r="D9" s="24">
        <f t="shared" ref="D9:E9" si="1">SUM(D10:D15)</f>
        <v>9957</v>
      </c>
      <c r="E9" s="24">
        <f t="shared" si="1"/>
        <v>11474</v>
      </c>
    </row>
    <row r="10" spans="1:5" ht="21.95" customHeight="1" x14ac:dyDescent="0.25">
      <c r="A10" s="11">
        <v>1</v>
      </c>
      <c r="B10" s="11" t="s">
        <v>998</v>
      </c>
      <c r="C10" s="11">
        <v>4838</v>
      </c>
      <c r="D10" s="11">
        <v>2299</v>
      </c>
      <c r="E10" s="11">
        <v>2539</v>
      </c>
    </row>
    <row r="11" spans="1:5" ht="21.95" customHeight="1" x14ac:dyDescent="0.25">
      <c r="A11" s="11">
        <v>2</v>
      </c>
      <c r="B11" s="11" t="s">
        <v>999</v>
      </c>
      <c r="C11" s="11">
        <v>7176</v>
      </c>
      <c r="D11" s="11">
        <v>3390</v>
      </c>
      <c r="E11" s="11">
        <v>3786</v>
      </c>
    </row>
    <row r="12" spans="1:5" ht="21.95" customHeight="1" x14ac:dyDescent="0.25">
      <c r="A12" s="11">
        <v>3</v>
      </c>
      <c r="B12" s="11" t="s">
        <v>1000</v>
      </c>
      <c r="C12" s="11">
        <v>2771</v>
      </c>
      <c r="D12" s="11">
        <v>1260</v>
      </c>
      <c r="E12" s="11">
        <v>1511</v>
      </c>
    </row>
    <row r="13" spans="1:5" ht="21.95" customHeight="1" x14ac:dyDescent="0.25">
      <c r="A13" s="11">
        <v>4</v>
      </c>
      <c r="B13" s="11" t="s">
        <v>1001</v>
      </c>
      <c r="C13" s="11">
        <v>2346</v>
      </c>
      <c r="D13" s="11">
        <v>1055</v>
      </c>
      <c r="E13" s="11">
        <v>1291</v>
      </c>
    </row>
    <row r="14" spans="1:5" ht="21.95" customHeight="1" x14ac:dyDescent="0.25">
      <c r="A14" s="11">
        <v>5</v>
      </c>
      <c r="B14" s="11" t="s">
        <v>1002</v>
      </c>
      <c r="C14" s="11">
        <v>2046</v>
      </c>
      <c r="D14" s="11">
        <v>901</v>
      </c>
      <c r="E14" s="11">
        <v>1145</v>
      </c>
    </row>
    <row r="15" spans="1:5" ht="21.95" customHeight="1" x14ac:dyDescent="0.25">
      <c r="A15" s="11">
        <v>6</v>
      </c>
      <c r="B15" s="11" t="s">
        <v>1003</v>
      </c>
      <c r="C15" s="11">
        <v>2254</v>
      </c>
      <c r="D15" s="11">
        <v>1052</v>
      </c>
      <c r="E15" s="11">
        <v>1202</v>
      </c>
    </row>
    <row r="16" spans="1:5" ht="21.95" customHeight="1" x14ac:dyDescent="0.25">
      <c r="A16" s="11"/>
      <c r="B16" s="10" t="s">
        <v>1773</v>
      </c>
      <c r="C16" s="24">
        <f>SUM(C17:C63)</f>
        <v>123866</v>
      </c>
      <c r="D16" s="24">
        <f t="shared" ref="D16:E16" si="2">SUM(D17:D63)</f>
        <v>59825</v>
      </c>
      <c r="E16" s="24">
        <f t="shared" si="2"/>
        <v>64041</v>
      </c>
    </row>
    <row r="17" spans="1:5" ht="21.95" customHeight="1" x14ac:dyDescent="0.25">
      <c r="A17" s="11">
        <v>1</v>
      </c>
      <c r="B17" s="11" t="s">
        <v>1004</v>
      </c>
      <c r="C17" s="11">
        <v>2067</v>
      </c>
      <c r="D17" s="11">
        <v>998</v>
      </c>
      <c r="E17" s="11">
        <v>1069</v>
      </c>
    </row>
    <row r="18" spans="1:5" ht="21.95" customHeight="1" x14ac:dyDescent="0.25">
      <c r="A18" s="11">
        <v>2</v>
      </c>
      <c r="B18" s="11" t="s">
        <v>1005</v>
      </c>
      <c r="C18" s="11">
        <v>4268</v>
      </c>
      <c r="D18" s="11">
        <v>2051</v>
      </c>
      <c r="E18" s="11">
        <v>2217</v>
      </c>
    </row>
    <row r="19" spans="1:5" ht="21.95" customHeight="1" x14ac:dyDescent="0.25">
      <c r="A19" s="11">
        <v>3</v>
      </c>
      <c r="B19" s="11" t="s">
        <v>1006</v>
      </c>
      <c r="C19" s="11">
        <v>3735</v>
      </c>
      <c r="D19" s="11">
        <v>1804</v>
      </c>
      <c r="E19" s="11">
        <v>1931</v>
      </c>
    </row>
    <row r="20" spans="1:5" ht="21.95" customHeight="1" x14ac:dyDescent="0.25">
      <c r="A20" s="11">
        <v>4</v>
      </c>
      <c r="B20" s="11" t="s">
        <v>1007</v>
      </c>
      <c r="C20" s="11">
        <v>1114</v>
      </c>
      <c r="D20" s="11">
        <v>508</v>
      </c>
      <c r="E20" s="11">
        <v>606</v>
      </c>
    </row>
    <row r="21" spans="1:5" ht="21.95" customHeight="1" x14ac:dyDescent="0.25">
      <c r="A21" s="11">
        <v>5</v>
      </c>
      <c r="B21" s="11" t="s">
        <v>1008</v>
      </c>
      <c r="C21" s="11">
        <v>3010</v>
      </c>
      <c r="D21" s="11">
        <v>1557</v>
      </c>
      <c r="E21" s="11">
        <v>1453</v>
      </c>
    </row>
    <row r="22" spans="1:5" ht="21.95" customHeight="1" x14ac:dyDescent="0.25">
      <c r="A22" s="11">
        <v>6</v>
      </c>
      <c r="B22" s="11" t="s">
        <v>1009</v>
      </c>
      <c r="C22" s="11">
        <v>3198</v>
      </c>
      <c r="D22" s="11">
        <v>1600</v>
      </c>
      <c r="E22" s="11">
        <v>1598</v>
      </c>
    </row>
    <row r="23" spans="1:5" ht="21.95" customHeight="1" x14ac:dyDescent="0.25">
      <c r="A23" s="11">
        <v>7</v>
      </c>
      <c r="B23" s="11" t="s">
        <v>1010</v>
      </c>
      <c r="C23" s="11">
        <v>2555</v>
      </c>
      <c r="D23" s="11">
        <v>1281</v>
      </c>
      <c r="E23" s="11">
        <v>1274</v>
      </c>
    </row>
    <row r="24" spans="1:5" ht="21.95" customHeight="1" x14ac:dyDescent="0.25">
      <c r="A24" s="11">
        <v>8</v>
      </c>
      <c r="B24" s="11" t="s">
        <v>1011</v>
      </c>
      <c r="C24" s="11">
        <v>3781</v>
      </c>
      <c r="D24" s="11">
        <v>1847</v>
      </c>
      <c r="E24" s="11">
        <v>1934</v>
      </c>
    </row>
    <row r="25" spans="1:5" ht="21.95" customHeight="1" x14ac:dyDescent="0.25">
      <c r="A25" s="11">
        <v>9</v>
      </c>
      <c r="B25" s="11" t="s">
        <v>47</v>
      </c>
      <c r="C25" s="11">
        <v>5667</v>
      </c>
      <c r="D25" s="11">
        <v>2839</v>
      </c>
      <c r="E25" s="11">
        <v>2828</v>
      </c>
    </row>
    <row r="26" spans="1:5" ht="21.95" customHeight="1" x14ac:dyDescent="0.25">
      <c r="A26" s="11">
        <v>10</v>
      </c>
      <c r="B26" s="11" t="s">
        <v>1012</v>
      </c>
      <c r="C26" s="11">
        <v>4233</v>
      </c>
      <c r="D26" s="11">
        <v>2038</v>
      </c>
      <c r="E26" s="11">
        <v>2195</v>
      </c>
    </row>
    <row r="27" spans="1:5" ht="21.95" customHeight="1" x14ac:dyDescent="0.25">
      <c r="A27" s="11">
        <v>11</v>
      </c>
      <c r="B27" s="11" t="s">
        <v>1013</v>
      </c>
      <c r="C27" s="11">
        <v>1196</v>
      </c>
      <c r="D27" s="11">
        <v>583</v>
      </c>
      <c r="E27" s="11">
        <v>613</v>
      </c>
    </row>
    <row r="28" spans="1:5" ht="21.95" customHeight="1" x14ac:dyDescent="0.25">
      <c r="A28" s="11">
        <v>12</v>
      </c>
      <c r="B28" s="11" t="s">
        <v>1014</v>
      </c>
      <c r="C28" s="11">
        <v>3834</v>
      </c>
      <c r="D28" s="11">
        <v>1978</v>
      </c>
      <c r="E28" s="11">
        <v>1856</v>
      </c>
    </row>
    <row r="29" spans="1:5" ht="21.95" customHeight="1" x14ac:dyDescent="0.25">
      <c r="A29" s="11">
        <v>13</v>
      </c>
      <c r="B29" s="11" t="s">
        <v>1015</v>
      </c>
      <c r="C29" s="11">
        <v>4207</v>
      </c>
      <c r="D29" s="11">
        <v>2014</v>
      </c>
      <c r="E29" s="11">
        <v>2193</v>
      </c>
    </row>
    <row r="30" spans="1:5" ht="21.95" customHeight="1" x14ac:dyDescent="0.25">
      <c r="A30" s="11">
        <v>14</v>
      </c>
      <c r="B30" s="11" t="s">
        <v>1016</v>
      </c>
      <c r="C30" s="11">
        <v>713</v>
      </c>
      <c r="D30" s="11">
        <v>357</v>
      </c>
      <c r="E30" s="11">
        <v>356</v>
      </c>
    </row>
    <row r="31" spans="1:5" ht="21.95" customHeight="1" x14ac:dyDescent="0.25">
      <c r="A31" s="11">
        <v>15</v>
      </c>
      <c r="B31" s="11" t="s">
        <v>1017</v>
      </c>
      <c r="C31" s="11">
        <v>1999</v>
      </c>
      <c r="D31" s="11">
        <v>971</v>
      </c>
      <c r="E31" s="11">
        <v>1028</v>
      </c>
    </row>
    <row r="32" spans="1:5" ht="21.95" customHeight="1" x14ac:dyDescent="0.25">
      <c r="A32" s="11">
        <v>16</v>
      </c>
      <c r="B32" s="11" t="s">
        <v>819</v>
      </c>
      <c r="C32" s="11">
        <v>2181</v>
      </c>
      <c r="D32" s="11">
        <v>1096</v>
      </c>
      <c r="E32" s="11">
        <v>1085</v>
      </c>
    </row>
    <row r="33" spans="1:5" ht="21.95" customHeight="1" x14ac:dyDescent="0.25">
      <c r="A33" s="11">
        <v>17</v>
      </c>
      <c r="B33" s="11" t="s">
        <v>1018</v>
      </c>
      <c r="C33" s="11">
        <v>3208</v>
      </c>
      <c r="D33" s="11">
        <v>1507</v>
      </c>
      <c r="E33" s="11">
        <v>1701</v>
      </c>
    </row>
    <row r="34" spans="1:5" ht="21.95" customHeight="1" x14ac:dyDescent="0.25">
      <c r="A34" s="11">
        <v>18</v>
      </c>
      <c r="B34" s="11" t="s">
        <v>1019</v>
      </c>
      <c r="C34" s="11">
        <v>2717</v>
      </c>
      <c r="D34" s="11">
        <v>1320</v>
      </c>
      <c r="E34" s="11">
        <v>1397</v>
      </c>
    </row>
    <row r="35" spans="1:5" ht="21.95" customHeight="1" x14ac:dyDescent="0.25">
      <c r="A35" s="11">
        <v>19</v>
      </c>
      <c r="B35" s="11" t="s">
        <v>1020</v>
      </c>
      <c r="C35" s="11">
        <v>1710</v>
      </c>
      <c r="D35" s="11">
        <v>756</v>
      </c>
      <c r="E35" s="11">
        <v>954</v>
      </c>
    </row>
    <row r="36" spans="1:5" ht="21.95" customHeight="1" x14ac:dyDescent="0.25">
      <c r="A36" s="11">
        <v>20</v>
      </c>
      <c r="B36" s="11" t="s">
        <v>642</v>
      </c>
      <c r="C36" s="11">
        <v>3860</v>
      </c>
      <c r="D36" s="11">
        <v>1784</v>
      </c>
      <c r="E36" s="11">
        <v>2076</v>
      </c>
    </row>
    <row r="37" spans="1:5" ht="21.95" customHeight="1" x14ac:dyDescent="0.25">
      <c r="A37" s="11">
        <v>21</v>
      </c>
      <c r="B37" s="11" t="s">
        <v>1021</v>
      </c>
      <c r="C37" s="11">
        <v>767</v>
      </c>
      <c r="D37" s="11">
        <v>326</v>
      </c>
      <c r="E37" s="11">
        <v>441</v>
      </c>
    </row>
    <row r="38" spans="1:5" ht="21.95" customHeight="1" x14ac:dyDescent="0.25">
      <c r="A38" s="11">
        <v>22</v>
      </c>
      <c r="B38" s="11" t="s">
        <v>1022</v>
      </c>
      <c r="C38" s="11">
        <v>871</v>
      </c>
      <c r="D38" s="11">
        <v>408</v>
      </c>
      <c r="E38" s="11">
        <v>463</v>
      </c>
    </row>
    <row r="39" spans="1:5" ht="21.95" customHeight="1" x14ac:dyDescent="0.25">
      <c r="A39" s="11">
        <v>23</v>
      </c>
      <c r="B39" s="11" t="s">
        <v>1023</v>
      </c>
      <c r="C39" s="11">
        <v>763</v>
      </c>
      <c r="D39" s="11">
        <v>360</v>
      </c>
      <c r="E39" s="11">
        <v>403</v>
      </c>
    </row>
    <row r="40" spans="1:5" ht="21.95" customHeight="1" x14ac:dyDescent="0.25">
      <c r="A40" s="11">
        <v>24</v>
      </c>
      <c r="B40" s="11" t="s">
        <v>1024</v>
      </c>
      <c r="C40" s="11">
        <v>2451</v>
      </c>
      <c r="D40" s="11">
        <v>1157</v>
      </c>
      <c r="E40" s="11">
        <v>1294</v>
      </c>
    </row>
    <row r="41" spans="1:5" ht="21.95" customHeight="1" x14ac:dyDescent="0.25">
      <c r="A41" s="11">
        <v>25</v>
      </c>
      <c r="B41" s="11" t="s">
        <v>1025</v>
      </c>
      <c r="C41" s="11">
        <v>1181</v>
      </c>
      <c r="D41" s="11">
        <v>562</v>
      </c>
      <c r="E41" s="11">
        <v>619</v>
      </c>
    </row>
    <row r="42" spans="1:5" ht="21.95" customHeight="1" x14ac:dyDescent="0.25">
      <c r="A42" s="11">
        <v>26</v>
      </c>
      <c r="B42" s="11" t="s">
        <v>1026</v>
      </c>
      <c r="C42" s="11">
        <v>2184</v>
      </c>
      <c r="D42" s="11">
        <v>1026</v>
      </c>
      <c r="E42" s="11">
        <v>1158</v>
      </c>
    </row>
    <row r="43" spans="1:5" ht="21.95" customHeight="1" x14ac:dyDescent="0.25">
      <c r="A43" s="11">
        <v>27</v>
      </c>
      <c r="B43" s="11" t="s">
        <v>1027</v>
      </c>
      <c r="C43" s="11">
        <v>1253</v>
      </c>
      <c r="D43" s="11">
        <v>578</v>
      </c>
      <c r="E43" s="11">
        <v>675</v>
      </c>
    </row>
    <row r="44" spans="1:5" ht="21.95" customHeight="1" x14ac:dyDescent="0.25">
      <c r="A44" s="11">
        <v>28</v>
      </c>
      <c r="B44" s="11" t="s">
        <v>1028</v>
      </c>
      <c r="C44" s="11">
        <v>2404</v>
      </c>
      <c r="D44" s="11">
        <v>1134</v>
      </c>
      <c r="E44" s="11">
        <v>1270</v>
      </c>
    </row>
    <row r="45" spans="1:5" ht="21.95" customHeight="1" x14ac:dyDescent="0.25">
      <c r="A45" s="11">
        <v>29</v>
      </c>
      <c r="B45" s="11" t="s">
        <v>1029</v>
      </c>
      <c r="C45" s="11">
        <v>2166</v>
      </c>
      <c r="D45" s="11">
        <v>1010</v>
      </c>
      <c r="E45" s="11">
        <v>1156</v>
      </c>
    </row>
    <row r="46" spans="1:5" ht="21.95" customHeight="1" x14ac:dyDescent="0.25">
      <c r="A46" s="11">
        <v>30</v>
      </c>
      <c r="B46" s="11" t="s">
        <v>1030</v>
      </c>
      <c r="C46" s="11">
        <v>1830</v>
      </c>
      <c r="D46" s="11">
        <v>876</v>
      </c>
      <c r="E46" s="11">
        <v>954</v>
      </c>
    </row>
    <row r="47" spans="1:5" ht="21.95" customHeight="1" x14ac:dyDescent="0.25">
      <c r="A47" s="11">
        <v>31</v>
      </c>
      <c r="B47" s="11" t="s">
        <v>1031</v>
      </c>
      <c r="C47" s="11">
        <v>2874</v>
      </c>
      <c r="D47" s="11">
        <v>1372</v>
      </c>
      <c r="E47" s="11">
        <v>1502</v>
      </c>
    </row>
    <row r="48" spans="1:5" ht="21.95" customHeight="1" x14ac:dyDescent="0.25">
      <c r="A48" s="11">
        <v>32</v>
      </c>
      <c r="B48" s="11" t="s">
        <v>1032</v>
      </c>
      <c r="C48" s="11">
        <v>2961</v>
      </c>
      <c r="D48" s="11">
        <v>1454</v>
      </c>
      <c r="E48" s="11">
        <v>1507</v>
      </c>
    </row>
    <row r="49" spans="1:5" ht="21.95" customHeight="1" x14ac:dyDescent="0.25">
      <c r="A49" s="11">
        <v>33</v>
      </c>
      <c r="B49" s="11" t="s">
        <v>1033</v>
      </c>
      <c r="C49" s="11">
        <v>2451</v>
      </c>
      <c r="D49" s="11">
        <v>1136</v>
      </c>
      <c r="E49" s="11">
        <v>1315</v>
      </c>
    </row>
    <row r="50" spans="1:5" ht="21.95" customHeight="1" x14ac:dyDescent="0.25">
      <c r="A50" s="11">
        <v>34</v>
      </c>
      <c r="B50" s="11" t="s">
        <v>1034</v>
      </c>
      <c r="C50" s="11">
        <v>2989</v>
      </c>
      <c r="D50" s="11">
        <v>1463</v>
      </c>
      <c r="E50" s="11">
        <v>1526</v>
      </c>
    </row>
    <row r="51" spans="1:5" ht="21.95" customHeight="1" x14ac:dyDescent="0.25">
      <c r="A51" s="11">
        <v>35</v>
      </c>
      <c r="B51" s="11" t="s">
        <v>1035</v>
      </c>
      <c r="C51" s="11">
        <v>2094</v>
      </c>
      <c r="D51" s="11">
        <v>1016</v>
      </c>
      <c r="E51" s="11">
        <v>1078</v>
      </c>
    </row>
    <row r="52" spans="1:5" ht="21.95" customHeight="1" x14ac:dyDescent="0.25">
      <c r="A52" s="11">
        <v>36</v>
      </c>
      <c r="B52" s="11" t="s">
        <v>166</v>
      </c>
      <c r="C52" s="11">
        <v>2843</v>
      </c>
      <c r="D52" s="11">
        <v>1375</v>
      </c>
      <c r="E52" s="11">
        <v>1468</v>
      </c>
    </row>
    <row r="53" spans="1:5" ht="21.95" customHeight="1" x14ac:dyDescent="0.25">
      <c r="A53" s="11">
        <v>37</v>
      </c>
      <c r="B53" s="11" t="s">
        <v>64</v>
      </c>
      <c r="C53" s="11">
        <v>2275</v>
      </c>
      <c r="D53" s="11">
        <v>1046</v>
      </c>
      <c r="E53" s="11">
        <v>1229</v>
      </c>
    </row>
    <row r="54" spans="1:5" ht="21.95" customHeight="1" x14ac:dyDescent="0.25">
      <c r="A54" s="11">
        <v>38</v>
      </c>
      <c r="B54" s="11" t="s">
        <v>1036</v>
      </c>
      <c r="C54" s="11">
        <v>2387</v>
      </c>
      <c r="D54" s="11">
        <v>1273</v>
      </c>
      <c r="E54" s="11">
        <v>1114</v>
      </c>
    </row>
    <row r="55" spans="1:5" ht="21.95" customHeight="1" x14ac:dyDescent="0.25">
      <c r="A55" s="11">
        <v>39</v>
      </c>
      <c r="B55" s="11" t="s">
        <v>1037</v>
      </c>
      <c r="C55" s="11">
        <v>2480</v>
      </c>
      <c r="D55" s="11">
        <v>1181</v>
      </c>
      <c r="E55" s="11">
        <v>1299</v>
      </c>
    </row>
    <row r="56" spans="1:5" ht="21.95" customHeight="1" x14ac:dyDescent="0.25">
      <c r="A56" s="11">
        <v>40</v>
      </c>
      <c r="B56" s="11" t="s">
        <v>1038</v>
      </c>
      <c r="C56" s="11">
        <v>2139</v>
      </c>
      <c r="D56" s="11">
        <v>979</v>
      </c>
      <c r="E56" s="11">
        <v>1160</v>
      </c>
    </row>
    <row r="57" spans="1:5" ht="21.95" customHeight="1" x14ac:dyDescent="0.25">
      <c r="A57" s="11">
        <v>41</v>
      </c>
      <c r="B57" s="11" t="s">
        <v>1039</v>
      </c>
      <c r="C57" s="11">
        <v>2956</v>
      </c>
      <c r="D57" s="11">
        <v>1387</v>
      </c>
      <c r="E57" s="11">
        <v>1569</v>
      </c>
    </row>
    <row r="58" spans="1:5" ht="21.95" customHeight="1" x14ac:dyDescent="0.25">
      <c r="A58" s="11">
        <v>42</v>
      </c>
      <c r="B58" s="11" t="s">
        <v>1040</v>
      </c>
      <c r="C58" s="11">
        <v>4721</v>
      </c>
      <c r="D58" s="11">
        <v>2304</v>
      </c>
      <c r="E58" s="11">
        <v>2417</v>
      </c>
    </row>
    <row r="59" spans="1:5" ht="21.95" customHeight="1" x14ac:dyDescent="0.25">
      <c r="A59" s="11">
        <v>43</v>
      </c>
      <c r="B59" s="11" t="s">
        <v>1041</v>
      </c>
      <c r="C59" s="11">
        <v>2774</v>
      </c>
      <c r="D59" s="11">
        <v>1339</v>
      </c>
      <c r="E59" s="11">
        <v>1435</v>
      </c>
    </row>
    <row r="60" spans="1:5" ht="21.95" customHeight="1" x14ac:dyDescent="0.25">
      <c r="A60" s="11">
        <v>44</v>
      </c>
      <c r="B60" s="11" t="s">
        <v>1042</v>
      </c>
      <c r="C60" s="11">
        <v>2303</v>
      </c>
      <c r="D60" s="11">
        <v>1082</v>
      </c>
      <c r="E60" s="11">
        <v>1221</v>
      </c>
    </row>
    <row r="61" spans="1:5" ht="21.95" customHeight="1" x14ac:dyDescent="0.25">
      <c r="A61" s="11">
        <v>45</v>
      </c>
      <c r="B61" s="11" t="s">
        <v>485</v>
      </c>
      <c r="C61" s="11">
        <v>3161</v>
      </c>
      <c r="D61" s="11">
        <v>1516</v>
      </c>
      <c r="E61" s="11">
        <v>1645</v>
      </c>
    </row>
    <row r="62" spans="1:5" ht="21.95" customHeight="1" x14ac:dyDescent="0.25">
      <c r="A62" s="11">
        <v>46</v>
      </c>
      <c r="B62" s="11" t="s">
        <v>1043</v>
      </c>
      <c r="C62" s="11">
        <v>3885</v>
      </c>
      <c r="D62" s="11">
        <v>1904</v>
      </c>
      <c r="E62" s="11">
        <v>1981</v>
      </c>
    </row>
    <row r="63" spans="1:5" ht="21.95" customHeight="1" x14ac:dyDescent="0.25">
      <c r="A63" s="12">
        <v>47</v>
      </c>
      <c r="B63" s="12" t="s">
        <v>1044</v>
      </c>
      <c r="C63" s="12">
        <v>3450</v>
      </c>
      <c r="D63" s="12">
        <v>1672</v>
      </c>
      <c r="E63" s="12">
        <v>1778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tha District , Kawlin Township"/>
  </hyperlinks>
  <pageMargins left="0.75" right="0.5" top="0.5" bottom="0.2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zoomScale="110" zoomScaleNormal="110" workbookViewId="0">
      <selection sqref="A1:E1"/>
    </sheetView>
  </sheetViews>
  <sheetFormatPr defaultRowHeight="24.75" customHeight="1" x14ac:dyDescent="0.4"/>
  <cols>
    <col min="1" max="1" width="5.42578125" style="4" customWidth="1"/>
    <col min="2" max="2" width="30.140625" style="4" customWidth="1"/>
    <col min="3" max="5" width="15.7109375" style="4" customWidth="1"/>
    <col min="6" max="16384" width="9.140625" style="4"/>
  </cols>
  <sheetData>
    <row r="1" spans="1:7" ht="24.75" customHeight="1" x14ac:dyDescent="0.4">
      <c r="A1" s="67" t="s">
        <v>1746</v>
      </c>
      <c r="B1" s="67"/>
      <c r="C1" s="67"/>
      <c r="D1" s="67"/>
      <c r="E1" s="67"/>
    </row>
    <row r="2" spans="1:7" ht="24.75" customHeight="1" x14ac:dyDescent="0.4">
      <c r="A2" s="2"/>
      <c r="B2" s="7"/>
      <c r="C2" s="7"/>
      <c r="D2" s="7"/>
      <c r="E2" s="56" t="s">
        <v>1722</v>
      </c>
    </row>
    <row r="3" spans="1:7" ht="24.75" customHeight="1" x14ac:dyDescent="0.4">
      <c r="A3" s="2"/>
      <c r="B3" s="7"/>
      <c r="C3" s="7"/>
      <c r="D3" s="7"/>
      <c r="E3" s="56"/>
    </row>
    <row r="4" spans="1:7" ht="10.5" customHeight="1" x14ac:dyDescent="0.4">
      <c r="A4" s="2"/>
      <c r="B4" s="7"/>
      <c r="C4" s="7"/>
      <c r="D4" s="7"/>
      <c r="E4" s="7"/>
    </row>
    <row r="5" spans="1:7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7" ht="24.75" customHeight="1" x14ac:dyDescent="0.4">
      <c r="A6" s="65"/>
      <c r="B6" s="65"/>
      <c r="C6" s="34" t="s">
        <v>0</v>
      </c>
      <c r="D6" s="34" t="s">
        <v>1</v>
      </c>
      <c r="E6" s="34" t="s">
        <v>2</v>
      </c>
    </row>
    <row r="7" spans="1:7" ht="24.75" customHeight="1" x14ac:dyDescent="0.4">
      <c r="A7" s="25"/>
      <c r="B7" s="9" t="s">
        <v>1772</v>
      </c>
      <c r="C7" s="25">
        <f>C9+C14</f>
        <v>73395</v>
      </c>
      <c r="D7" s="25">
        <f t="shared" ref="D7:E7" si="0">D9+D14</f>
        <v>35465</v>
      </c>
      <c r="E7" s="25">
        <f t="shared" si="0"/>
        <v>37930</v>
      </c>
      <c r="G7" s="14"/>
    </row>
    <row r="8" spans="1:7" ht="10.5" customHeight="1" x14ac:dyDescent="0.4">
      <c r="A8" s="10"/>
      <c r="B8" s="5"/>
      <c r="C8" s="5"/>
      <c r="D8" s="5"/>
      <c r="E8" s="5"/>
    </row>
    <row r="9" spans="1:7" ht="24.75" customHeight="1" x14ac:dyDescent="0.4">
      <c r="A9" s="10"/>
      <c r="B9" s="10" t="s">
        <v>1725</v>
      </c>
      <c r="C9" s="24">
        <f>SUM(C10:C13)</f>
        <v>11972</v>
      </c>
      <c r="D9" s="24">
        <f t="shared" ref="D9:E9" si="1">SUM(D10:D13)</f>
        <v>5598</v>
      </c>
      <c r="E9" s="24">
        <f t="shared" si="1"/>
        <v>6374</v>
      </c>
    </row>
    <row r="10" spans="1:7" ht="24.75" customHeight="1" x14ac:dyDescent="0.4">
      <c r="A10" s="11">
        <v>1</v>
      </c>
      <c r="B10" s="23" t="s">
        <v>1045</v>
      </c>
      <c r="C10" s="23">
        <v>3927</v>
      </c>
      <c r="D10" s="23">
        <v>1885</v>
      </c>
      <c r="E10" s="23">
        <v>2042</v>
      </c>
    </row>
    <row r="11" spans="1:7" ht="24.75" customHeight="1" x14ac:dyDescent="0.4">
      <c r="A11" s="11">
        <v>2</v>
      </c>
      <c r="B11" s="11" t="s">
        <v>1046</v>
      </c>
      <c r="C11" s="23">
        <v>2607</v>
      </c>
      <c r="D11" s="23">
        <v>1188</v>
      </c>
      <c r="E11" s="23">
        <v>1419</v>
      </c>
    </row>
    <row r="12" spans="1:7" ht="24.75" customHeight="1" x14ac:dyDescent="0.4">
      <c r="A12" s="11">
        <v>3</v>
      </c>
      <c r="B12" s="11" t="s">
        <v>1047</v>
      </c>
      <c r="C12" s="11">
        <v>1313</v>
      </c>
      <c r="D12" s="11">
        <v>600</v>
      </c>
      <c r="E12" s="11">
        <v>713</v>
      </c>
    </row>
    <row r="13" spans="1:7" ht="24.75" customHeight="1" x14ac:dyDescent="0.4">
      <c r="A13" s="11">
        <v>4</v>
      </c>
      <c r="B13" s="11" t="s">
        <v>1048</v>
      </c>
      <c r="C13" s="11">
        <v>4125</v>
      </c>
      <c r="D13" s="11">
        <v>1925</v>
      </c>
      <c r="E13" s="11">
        <v>2200</v>
      </c>
    </row>
    <row r="14" spans="1:7" ht="24.75" customHeight="1" x14ac:dyDescent="0.4">
      <c r="A14" s="11"/>
      <c r="B14" s="10" t="s">
        <v>1773</v>
      </c>
      <c r="C14" s="10">
        <f>SUM(C15:C52)</f>
        <v>61423</v>
      </c>
      <c r="D14" s="10">
        <f t="shared" ref="D14:E14" si="2">SUM(D15:D52)</f>
        <v>29867</v>
      </c>
      <c r="E14" s="10">
        <f t="shared" si="2"/>
        <v>31556</v>
      </c>
    </row>
    <row r="15" spans="1:7" ht="24.75" customHeight="1" x14ac:dyDescent="0.4">
      <c r="A15" s="11">
        <v>1</v>
      </c>
      <c r="B15" s="11" t="s">
        <v>1049</v>
      </c>
      <c r="C15" s="11">
        <v>535</v>
      </c>
      <c r="D15" s="11">
        <v>258</v>
      </c>
      <c r="E15" s="11">
        <v>277</v>
      </c>
    </row>
    <row r="16" spans="1:7" ht="24.75" customHeight="1" x14ac:dyDescent="0.4">
      <c r="A16" s="11">
        <v>2</v>
      </c>
      <c r="B16" s="11" t="s">
        <v>1050</v>
      </c>
      <c r="C16" s="11">
        <v>778</v>
      </c>
      <c r="D16" s="11">
        <v>349</v>
      </c>
      <c r="E16" s="11">
        <v>429</v>
      </c>
    </row>
    <row r="17" spans="1:5" ht="24.75" customHeight="1" x14ac:dyDescent="0.4">
      <c r="A17" s="11">
        <v>3</v>
      </c>
      <c r="B17" s="11" t="s">
        <v>1051</v>
      </c>
      <c r="C17" s="11">
        <v>1184</v>
      </c>
      <c r="D17" s="11">
        <v>589</v>
      </c>
      <c r="E17" s="11">
        <v>595</v>
      </c>
    </row>
    <row r="18" spans="1:5" ht="24.75" customHeight="1" x14ac:dyDescent="0.4">
      <c r="A18" s="11">
        <v>4</v>
      </c>
      <c r="B18" s="11" t="s">
        <v>1052</v>
      </c>
      <c r="C18" s="11">
        <v>1112</v>
      </c>
      <c r="D18" s="11">
        <v>500</v>
      </c>
      <c r="E18" s="11">
        <v>612</v>
      </c>
    </row>
    <row r="19" spans="1:5" ht="24.75" customHeight="1" x14ac:dyDescent="0.4">
      <c r="A19" s="11">
        <v>5</v>
      </c>
      <c r="B19" s="11" t="s">
        <v>1053</v>
      </c>
      <c r="C19" s="23">
        <v>1119</v>
      </c>
      <c r="D19" s="23">
        <v>499</v>
      </c>
      <c r="E19" s="23">
        <v>620</v>
      </c>
    </row>
    <row r="20" spans="1:5" ht="24.75" customHeight="1" x14ac:dyDescent="0.4">
      <c r="A20" s="11">
        <v>6</v>
      </c>
      <c r="B20" s="11" t="s">
        <v>1054</v>
      </c>
      <c r="C20" s="11">
        <v>1712</v>
      </c>
      <c r="D20" s="11">
        <v>813</v>
      </c>
      <c r="E20" s="11">
        <v>899</v>
      </c>
    </row>
    <row r="21" spans="1:5" ht="24.75" customHeight="1" x14ac:dyDescent="0.4">
      <c r="A21" s="11">
        <v>7</v>
      </c>
      <c r="B21" s="11" t="s">
        <v>1055</v>
      </c>
      <c r="C21" s="11">
        <v>1199</v>
      </c>
      <c r="D21" s="11">
        <v>627</v>
      </c>
      <c r="E21" s="11">
        <v>572</v>
      </c>
    </row>
    <row r="22" spans="1:5" ht="24.75" customHeight="1" x14ac:dyDescent="0.4">
      <c r="A22" s="11">
        <v>8</v>
      </c>
      <c r="B22" s="11" t="s">
        <v>1056</v>
      </c>
      <c r="C22" s="11">
        <v>533</v>
      </c>
      <c r="D22" s="11">
        <v>237</v>
      </c>
      <c r="E22" s="11">
        <v>296</v>
      </c>
    </row>
    <row r="23" spans="1:5" ht="24.75" customHeight="1" x14ac:dyDescent="0.4">
      <c r="A23" s="11">
        <v>9</v>
      </c>
      <c r="B23" s="11" t="s">
        <v>1057</v>
      </c>
      <c r="C23" s="11">
        <v>2086</v>
      </c>
      <c r="D23" s="11">
        <v>1019</v>
      </c>
      <c r="E23" s="11">
        <v>1067</v>
      </c>
    </row>
    <row r="24" spans="1:5" ht="24.75" customHeight="1" x14ac:dyDescent="0.4">
      <c r="A24" s="11">
        <v>10</v>
      </c>
      <c r="B24" s="11" t="s">
        <v>318</v>
      </c>
      <c r="C24" s="11">
        <v>1666</v>
      </c>
      <c r="D24" s="11">
        <v>850</v>
      </c>
      <c r="E24" s="11">
        <v>816</v>
      </c>
    </row>
    <row r="25" spans="1:5" ht="24.75" customHeight="1" x14ac:dyDescent="0.4">
      <c r="A25" s="11">
        <v>11</v>
      </c>
      <c r="B25" s="11" t="s">
        <v>1058</v>
      </c>
      <c r="C25" s="11">
        <v>1213</v>
      </c>
      <c r="D25" s="11">
        <v>567</v>
      </c>
      <c r="E25" s="11">
        <v>646</v>
      </c>
    </row>
    <row r="26" spans="1:5" ht="24.75" customHeight="1" x14ac:dyDescent="0.4">
      <c r="A26" s="11">
        <v>12</v>
      </c>
      <c r="B26" s="11" t="s">
        <v>1059</v>
      </c>
      <c r="C26" s="11">
        <v>552</v>
      </c>
      <c r="D26" s="11">
        <v>254</v>
      </c>
      <c r="E26" s="11">
        <v>298</v>
      </c>
    </row>
    <row r="27" spans="1:5" ht="24.75" customHeight="1" x14ac:dyDescent="0.4">
      <c r="A27" s="11">
        <v>13</v>
      </c>
      <c r="B27" s="11" t="s">
        <v>1060</v>
      </c>
      <c r="C27" s="11">
        <v>1376</v>
      </c>
      <c r="D27" s="11">
        <v>657</v>
      </c>
      <c r="E27" s="11">
        <v>719</v>
      </c>
    </row>
    <row r="28" spans="1:5" ht="24.75" customHeight="1" x14ac:dyDescent="0.4">
      <c r="A28" s="11">
        <v>14</v>
      </c>
      <c r="B28" s="11" t="s">
        <v>1061</v>
      </c>
      <c r="C28" s="11">
        <v>1364</v>
      </c>
      <c r="D28" s="11">
        <v>627</v>
      </c>
      <c r="E28" s="11">
        <v>737</v>
      </c>
    </row>
    <row r="29" spans="1:5" ht="24.75" customHeight="1" x14ac:dyDescent="0.4">
      <c r="A29" s="11">
        <v>15</v>
      </c>
      <c r="B29" s="11" t="s">
        <v>1062</v>
      </c>
      <c r="C29" s="11">
        <v>891</v>
      </c>
      <c r="D29" s="11">
        <v>388</v>
      </c>
      <c r="E29" s="11">
        <v>503</v>
      </c>
    </row>
    <row r="30" spans="1:5" ht="24.75" customHeight="1" x14ac:dyDescent="0.4">
      <c r="A30" s="11">
        <v>16</v>
      </c>
      <c r="B30" s="11" t="s">
        <v>1063</v>
      </c>
      <c r="C30" s="11">
        <v>1302</v>
      </c>
      <c r="D30" s="11">
        <v>582</v>
      </c>
      <c r="E30" s="11">
        <v>720</v>
      </c>
    </row>
    <row r="31" spans="1:5" ht="24.75" customHeight="1" x14ac:dyDescent="0.4">
      <c r="A31" s="11">
        <v>17</v>
      </c>
      <c r="B31" s="11" t="s">
        <v>1064</v>
      </c>
      <c r="C31" s="11">
        <v>1303</v>
      </c>
      <c r="D31" s="11">
        <v>603</v>
      </c>
      <c r="E31" s="11">
        <v>700</v>
      </c>
    </row>
    <row r="32" spans="1:5" ht="24.75" customHeight="1" x14ac:dyDescent="0.4">
      <c r="A32" s="11">
        <v>18</v>
      </c>
      <c r="B32" s="11" t="s">
        <v>1065</v>
      </c>
      <c r="C32" s="11">
        <v>2235</v>
      </c>
      <c r="D32" s="11">
        <v>1150</v>
      </c>
      <c r="E32" s="11">
        <v>1085</v>
      </c>
    </row>
    <row r="33" spans="1:5" ht="24.75" customHeight="1" x14ac:dyDescent="0.4">
      <c r="A33" s="11">
        <v>19</v>
      </c>
      <c r="B33" s="11" t="s">
        <v>64</v>
      </c>
      <c r="C33" s="11">
        <v>1952</v>
      </c>
      <c r="D33" s="11">
        <v>893</v>
      </c>
      <c r="E33" s="11">
        <v>1059</v>
      </c>
    </row>
    <row r="34" spans="1:5" ht="24.75" customHeight="1" x14ac:dyDescent="0.4">
      <c r="A34" s="11">
        <v>20</v>
      </c>
      <c r="B34" s="11" t="s">
        <v>1066</v>
      </c>
      <c r="C34" s="11">
        <v>1846</v>
      </c>
      <c r="D34" s="11">
        <v>867</v>
      </c>
      <c r="E34" s="11">
        <v>979</v>
      </c>
    </row>
    <row r="35" spans="1:5" ht="24.75" customHeight="1" x14ac:dyDescent="0.4">
      <c r="A35" s="11">
        <v>21</v>
      </c>
      <c r="B35" s="11" t="s">
        <v>1067</v>
      </c>
      <c r="C35" s="11">
        <v>1437</v>
      </c>
      <c r="D35" s="11">
        <v>678</v>
      </c>
      <c r="E35" s="11">
        <v>759</v>
      </c>
    </row>
    <row r="36" spans="1:5" ht="24.75" customHeight="1" x14ac:dyDescent="0.4">
      <c r="A36" s="11">
        <v>22</v>
      </c>
      <c r="B36" s="11" t="s">
        <v>1068</v>
      </c>
      <c r="C36" s="11">
        <v>1009</v>
      </c>
      <c r="D36" s="11">
        <v>470</v>
      </c>
      <c r="E36" s="11">
        <v>539</v>
      </c>
    </row>
    <row r="37" spans="1:5" ht="24.75" customHeight="1" x14ac:dyDescent="0.4">
      <c r="A37" s="11">
        <v>23</v>
      </c>
      <c r="B37" s="11" t="s">
        <v>1044</v>
      </c>
      <c r="C37" s="11">
        <v>2029</v>
      </c>
      <c r="D37" s="11">
        <v>937</v>
      </c>
      <c r="E37" s="11">
        <v>1092</v>
      </c>
    </row>
    <row r="38" spans="1:5" ht="24.75" customHeight="1" x14ac:dyDescent="0.4">
      <c r="A38" s="11">
        <v>24</v>
      </c>
      <c r="B38" s="11" t="s">
        <v>1069</v>
      </c>
      <c r="C38" s="11">
        <v>1877</v>
      </c>
      <c r="D38" s="11">
        <v>922</v>
      </c>
      <c r="E38" s="11">
        <v>955</v>
      </c>
    </row>
    <row r="39" spans="1:5" ht="24.75" customHeight="1" x14ac:dyDescent="0.4">
      <c r="A39" s="11">
        <v>25</v>
      </c>
      <c r="B39" s="11" t="s">
        <v>1070</v>
      </c>
      <c r="C39" s="11">
        <v>3185</v>
      </c>
      <c r="D39" s="11">
        <v>1509</v>
      </c>
      <c r="E39" s="11">
        <v>1676</v>
      </c>
    </row>
    <row r="40" spans="1:5" ht="24.75" customHeight="1" x14ac:dyDescent="0.4">
      <c r="A40" s="11">
        <v>26</v>
      </c>
      <c r="B40" s="11" t="s">
        <v>1071</v>
      </c>
      <c r="C40" s="11">
        <v>7057</v>
      </c>
      <c r="D40" s="11">
        <v>3499</v>
      </c>
      <c r="E40" s="11">
        <v>3558</v>
      </c>
    </row>
    <row r="41" spans="1:5" ht="24.75" customHeight="1" x14ac:dyDescent="0.4">
      <c r="A41" s="11">
        <v>27</v>
      </c>
      <c r="B41" s="11" t="s">
        <v>1072</v>
      </c>
      <c r="C41" s="11">
        <v>737</v>
      </c>
      <c r="D41" s="11">
        <v>376</v>
      </c>
      <c r="E41" s="11">
        <v>361</v>
      </c>
    </row>
    <row r="42" spans="1:5" ht="24.75" customHeight="1" x14ac:dyDescent="0.4">
      <c r="A42" s="11">
        <v>28</v>
      </c>
      <c r="B42" s="11" t="s">
        <v>1073</v>
      </c>
      <c r="C42" s="11">
        <v>650</v>
      </c>
      <c r="D42" s="11">
        <v>345</v>
      </c>
      <c r="E42" s="11">
        <v>305</v>
      </c>
    </row>
    <row r="43" spans="1:5" ht="24.75" customHeight="1" x14ac:dyDescent="0.4">
      <c r="A43" s="11">
        <v>29</v>
      </c>
      <c r="B43" s="11" t="s">
        <v>766</v>
      </c>
      <c r="C43" s="11">
        <v>3462</v>
      </c>
      <c r="D43" s="11">
        <v>1842</v>
      </c>
      <c r="E43" s="11">
        <v>1620</v>
      </c>
    </row>
    <row r="44" spans="1:5" ht="24.75" customHeight="1" x14ac:dyDescent="0.4">
      <c r="A44" s="11">
        <v>30</v>
      </c>
      <c r="B44" s="11" t="s">
        <v>903</v>
      </c>
      <c r="C44" s="11">
        <v>1962</v>
      </c>
      <c r="D44" s="11">
        <v>1039</v>
      </c>
      <c r="E44" s="11">
        <v>923</v>
      </c>
    </row>
    <row r="45" spans="1:5" ht="24.75" customHeight="1" x14ac:dyDescent="0.4">
      <c r="A45" s="11">
        <v>31</v>
      </c>
      <c r="B45" s="11" t="s">
        <v>1074</v>
      </c>
      <c r="C45" s="11">
        <v>1594</v>
      </c>
      <c r="D45" s="11">
        <v>830</v>
      </c>
      <c r="E45" s="11">
        <v>764</v>
      </c>
    </row>
    <row r="46" spans="1:5" ht="24.75" customHeight="1" x14ac:dyDescent="0.4">
      <c r="A46" s="11">
        <v>32</v>
      </c>
      <c r="B46" s="11" t="s">
        <v>1075</v>
      </c>
      <c r="C46" s="11">
        <v>992</v>
      </c>
      <c r="D46" s="11">
        <v>480</v>
      </c>
      <c r="E46" s="11">
        <v>512</v>
      </c>
    </row>
    <row r="47" spans="1:5" ht="24.75" customHeight="1" x14ac:dyDescent="0.4">
      <c r="A47" s="11">
        <v>33</v>
      </c>
      <c r="B47" s="11" t="s">
        <v>1076</v>
      </c>
      <c r="C47" s="11">
        <v>482</v>
      </c>
      <c r="D47" s="11">
        <v>237</v>
      </c>
      <c r="E47" s="11">
        <v>245</v>
      </c>
    </row>
    <row r="48" spans="1:5" ht="24.75" customHeight="1" x14ac:dyDescent="0.4">
      <c r="A48" s="11">
        <v>34</v>
      </c>
      <c r="B48" s="11" t="s">
        <v>1077</v>
      </c>
      <c r="C48" s="11">
        <v>1359</v>
      </c>
      <c r="D48" s="11">
        <v>641</v>
      </c>
      <c r="E48" s="11">
        <v>718</v>
      </c>
    </row>
    <row r="49" spans="1:5" ht="24.75" customHeight="1" x14ac:dyDescent="0.4">
      <c r="A49" s="11">
        <v>35</v>
      </c>
      <c r="B49" s="11" t="s">
        <v>1078</v>
      </c>
      <c r="C49" s="11">
        <v>154</v>
      </c>
      <c r="D49" s="11">
        <v>81</v>
      </c>
      <c r="E49" s="11">
        <v>73</v>
      </c>
    </row>
    <row r="50" spans="1:5" ht="24.75" customHeight="1" x14ac:dyDescent="0.4">
      <c r="A50" s="11">
        <v>36</v>
      </c>
      <c r="B50" s="11" t="s">
        <v>487</v>
      </c>
      <c r="C50" s="11">
        <v>1609</v>
      </c>
      <c r="D50" s="11">
        <v>824</v>
      </c>
      <c r="E50" s="11">
        <v>785</v>
      </c>
    </row>
    <row r="51" spans="1:5" ht="24.75" customHeight="1" x14ac:dyDescent="0.4">
      <c r="A51" s="11">
        <v>37</v>
      </c>
      <c r="B51" s="11" t="s">
        <v>1079</v>
      </c>
      <c r="C51" s="11">
        <v>2408</v>
      </c>
      <c r="D51" s="11">
        <v>1205</v>
      </c>
      <c r="E51" s="11">
        <v>1203</v>
      </c>
    </row>
    <row r="52" spans="1:5" ht="24.75" customHeight="1" x14ac:dyDescent="0.4">
      <c r="A52" s="12">
        <v>38</v>
      </c>
      <c r="B52" s="12" t="s">
        <v>1080</v>
      </c>
      <c r="C52" s="12">
        <v>3462</v>
      </c>
      <c r="D52" s="12">
        <v>1623</v>
      </c>
      <c r="E52" s="12">
        <v>1839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tha District ,Wuntho Township"/>
  </hyperlinks>
  <pageMargins left="0.75" right="0.5" top="0.5" bottom="0.2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sqref="A1:E1"/>
    </sheetView>
  </sheetViews>
  <sheetFormatPr defaultRowHeight="24.75" customHeight="1" x14ac:dyDescent="0.4"/>
  <cols>
    <col min="1" max="1" width="4.85546875" style="4" customWidth="1"/>
    <col min="2" max="2" width="34" style="4" customWidth="1"/>
    <col min="3" max="5" width="15.7109375" style="4" customWidth="1"/>
    <col min="6" max="6" width="10" style="4" customWidth="1"/>
    <col min="7" max="16384" width="9.140625" style="4"/>
  </cols>
  <sheetData>
    <row r="1" spans="1:9" ht="24.75" customHeight="1" x14ac:dyDescent="0.4">
      <c r="A1" s="67" t="s">
        <v>1747</v>
      </c>
      <c r="B1" s="67"/>
      <c r="C1" s="67"/>
      <c r="D1" s="67"/>
      <c r="E1" s="67"/>
    </row>
    <row r="2" spans="1:9" ht="24.75" customHeight="1" x14ac:dyDescent="0.4">
      <c r="A2" s="2"/>
      <c r="B2" s="7"/>
      <c r="C2" s="7"/>
      <c r="D2" s="7"/>
      <c r="E2" s="56" t="s">
        <v>1722</v>
      </c>
    </row>
    <row r="3" spans="1:9" ht="24.75" customHeight="1" x14ac:dyDescent="0.4">
      <c r="A3" s="2"/>
      <c r="B3" s="7"/>
      <c r="C3" s="7"/>
      <c r="D3" s="7"/>
      <c r="E3" s="56"/>
    </row>
    <row r="4" spans="1:9" ht="10.5" customHeight="1" x14ac:dyDescent="0.4">
      <c r="A4" s="2"/>
      <c r="B4" s="7"/>
      <c r="C4" s="7"/>
      <c r="D4" s="7"/>
      <c r="E4" s="7"/>
    </row>
    <row r="5" spans="1:9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9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9" ht="24.75" customHeight="1" x14ac:dyDescent="0.4">
      <c r="A7" s="9"/>
      <c r="B7" s="9" t="s">
        <v>1772</v>
      </c>
      <c r="C7" s="9">
        <f>C9+C12</f>
        <v>111968</v>
      </c>
      <c r="D7" s="9">
        <f t="shared" ref="D7:E7" si="0">D9+D12</f>
        <v>52393</v>
      </c>
      <c r="E7" s="9">
        <f t="shared" si="0"/>
        <v>59575</v>
      </c>
      <c r="G7" s="14"/>
      <c r="H7" s="14"/>
      <c r="I7" s="14"/>
    </row>
    <row r="8" spans="1:9" ht="10.5" customHeight="1" x14ac:dyDescent="0.4">
      <c r="A8" s="10"/>
      <c r="B8" s="35"/>
      <c r="C8" s="35"/>
      <c r="D8" s="35"/>
      <c r="E8" s="35"/>
      <c r="G8" s="14"/>
      <c r="H8" s="14"/>
      <c r="I8" s="14"/>
    </row>
    <row r="9" spans="1:9" ht="21.75" x14ac:dyDescent="0.4">
      <c r="A9" s="10"/>
      <c r="B9" s="10" t="s">
        <v>1725</v>
      </c>
      <c r="C9" s="10">
        <f>SUM(C10:C11)</f>
        <v>6963</v>
      </c>
      <c r="D9" s="10">
        <f t="shared" ref="D9:E9" si="1">SUM(D10:D11)</f>
        <v>3259</v>
      </c>
      <c r="E9" s="10">
        <f t="shared" si="1"/>
        <v>3704</v>
      </c>
      <c r="G9" s="14"/>
      <c r="H9" s="14"/>
      <c r="I9" s="14"/>
    </row>
    <row r="10" spans="1:9" ht="21.75" x14ac:dyDescent="0.4">
      <c r="A10" s="11">
        <v>1</v>
      </c>
      <c r="B10" s="11" t="s">
        <v>1081</v>
      </c>
      <c r="C10" s="11">
        <v>3648</v>
      </c>
      <c r="D10" s="11">
        <v>1699</v>
      </c>
      <c r="E10" s="11">
        <v>1949</v>
      </c>
      <c r="G10" s="14"/>
      <c r="H10" s="14"/>
      <c r="I10" s="14"/>
    </row>
    <row r="11" spans="1:9" ht="21.75" x14ac:dyDescent="0.4">
      <c r="A11" s="11">
        <v>2</v>
      </c>
      <c r="B11" s="11" t="s">
        <v>825</v>
      </c>
      <c r="C11" s="11">
        <v>3315</v>
      </c>
      <c r="D11" s="11">
        <v>1560</v>
      </c>
      <c r="E11" s="11">
        <v>1755</v>
      </c>
      <c r="G11" s="14"/>
      <c r="H11" s="14"/>
      <c r="I11" s="14"/>
    </row>
    <row r="12" spans="1:9" ht="24.75" customHeight="1" x14ac:dyDescent="0.4">
      <c r="A12" s="11"/>
      <c r="B12" s="10" t="s">
        <v>1773</v>
      </c>
      <c r="C12" s="10">
        <f>SUM(C13:C64)</f>
        <v>105005</v>
      </c>
      <c r="D12" s="10">
        <f t="shared" ref="D12:E12" si="2">SUM(D13:D64)</f>
        <v>49134</v>
      </c>
      <c r="E12" s="10">
        <f t="shared" si="2"/>
        <v>55871</v>
      </c>
      <c r="G12" s="14"/>
      <c r="H12" s="14"/>
      <c r="I12" s="14"/>
    </row>
    <row r="13" spans="1:9" ht="21.75" x14ac:dyDescent="0.4">
      <c r="A13" s="11">
        <v>1</v>
      </c>
      <c r="B13" s="11" t="s">
        <v>1082</v>
      </c>
      <c r="C13" s="11">
        <v>2820</v>
      </c>
      <c r="D13" s="11">
        <v>1296</v>
      </c>
      <c r="E13" s="11">
        <v>1524</v>
      </c>
      <c r="G13" s="14"/>
      <c r="H13" s="14"/>
      <c r="I13" s="14"/>
    </row>
    <row r="14" spans="1:9" ht="21.75" x14ac:dyDescent="0.4">
      <c r="A14" s="11">
        <v>2</v>
      </c>
      <c r="B14" s="11" t="s">
        <v>1083</v>
      </c>
      <c r="C14" s="11">
        <v>4764</v>
      </c>
      <c r="D14" s="11">
        <v>2065</v>
      </c>
      <c r="E14" s="11">
        <v>2699</v>
      </c>
      <c r="G14" s="14"/>
      <c r="H14" s="14"/>
      <c r="I14" s="14"/>
    </row>
    <row r="15" spans="1:9" ht="21.75" x14ac:dyDescent="0.4">
      <c r="A15" s="11">
        <v>3</v>
      </c>
      <c r="B15" s="11" t="s">
        <v>1084</v>
      </c>
      <c r="C15" s="11">
        <v>1618</v>
      </c>
      <c r="D15" s="11">
        <v>782</v>
      </c>
      <c r="E15" s="11">
        <v>836</v>
      </c>
      <c r="G15" s="14"/>
      <c r="H15" s="14"/>
      <c r="I15" s="14"/>
    </row>
    <row r="16" spans="1:9" ht="21.75" x14ac:dyDescent="0.4">
      <c r="A16" s="11">
        <v>4</v>
      </c>
      <c r="B16" s="11" t="s">
        <v>1085</v>
      </c>
      <c r="C16" s="11">
        <v>1179</v>
      </c>
      <c r="D16" s="11">
        <v>521</v>
      </c>
      <c r="E16" s="11">
        <v>658</v>
      </c>
      <c r="G16" s="14"/>
      <c r="H16" s="14"/>
      <c r="I16" s="14"/>
    </row>
    <row r="17" spans="1:9" ht="21.75" x14ac:dyDescent="0.4">
      <c r="A17" s="11">
        <v>5</v>
      </c>
      <c r="B17" s="11" t="s">
        <v>1086</v>
      </c>
      <c r="C17" s="11">
        <v>1730</v>
      </c>
      <c r="D17" s="11">
        <v>776</v>
      </c>
      <c r="E17" s="11">
        <v>954</v>
      </c>
      <c r="G17" s="14"/>
      <c r="H17" s="14"/>
      <c r="I17" s="14"/>
    </row>
    <row r="18" spans="1:9" ht="21.75" x14ac:dyDescent="0.4">
      <c r="A18" s="11">
        <v>6</v>
      </c>
      <c r="B18" s="11" t="s">
        <v>1087</v>
      </c>
      <c r="C18" s="11">
        <v>573</v>
      </c>
      <c r="D18" s="11">
        <v>270</v>
      </c>
      <c r="E18" s="11">
        <v>303</v>
      </c>
      <c r="G18" s="14"/>
      <c r="H18" s="14"/>
      <c r="I18" s="14"/>
    </row>
    <row r="19" spans="1:9" ht="21.75" x14ac:dyDescent="0.4">
      <c r="A19" s="11">
        <v>7</v>
      </c>
      <c r="B19" s="11" t="s">
        <v>1079</v>
      </c>
      <c r="C19" s="11">
        <v>984</v>
      </c>
      <c r="D19" s="11">
        <v>509</v>
      </c>
      <c r="E19" s="11">
        <v>475</v>
      </c>
      <c r="G19" s="14"/>
      <c r="H19" s="14"/>
      <c r="I19" s="14"/>
    </row>
    <row r="20" spans="1:9" ht="21.75" x14ac:dyDescent="0.4">
      <c r="A20" s="11">
        <v>8</v>
      </c>
      <c r="B20" s="11" t="s">
        <v>819</v>
      </c>
      <c r="C20" s="11">
        <v>875</v>
      </c>
      <c r="D20" s="11">
        <v>429</v>
      </c>
      <c r="E20" s="11">
        <v>446</v>
      </c>
      <c r="G20" s="14"/>
      <c r="H20" s="14"/>
      <c r="I20" s="14"/>
    </row>
    <row r="21" spans="1:9" ht="21.75" x14ac:dyDescent="0.4">
      <c r="A21" s="11">
        <v>9</v>
      </c>
      <c r="B21" s="11" t="s">
        <v>982</v>
      </c>
      <c r="C21" s="11">
        <v>5206</v>
      </c>
      <c r="D21" s="11">
        <v>2487</v>
      </c>
      <c r="E21" s="11">
        <v>2719</v>
      </c>
      <c r="G21" s="14"/>
      <c r="H21" s="14"/>
      <c r="I21" s="14"/>
    </row>
    <row r="22" spans="1:9" ht="21.75" x14ac:dyDescent="0.4">
      <c r="A22" s="11">
        <v>10</v>
      </c>
      <c r="B22" s="11" t="s">
        <v>1088</v>
      </c>
      <c r="C22" s="11">
        <v>2367</v>
      </c>
      <c r="D22" s="11">
        <v>1117</v>
      </c>
      <c r="E22" s="11">
        <v>1250</v>
      </c>
      <c r="G22" s="14"/>
      <c r="H22" s="14"/>
      <c r="I22" s="14"/>
    </row>
    <row r="23" spans="1:9" ht="21.75" x14ac:dyDescent="0.4">
      <c r="A23" s="11">
        <v>11</v>
      </c>
      <c r="B23" s="11" t="s">
        <v>1089</v>
      </c>
      <c r="C23" s="11">
        <v>2379</v>
      </c>
      <c r="D23" s="11">
        <v>1091</v>
      </c>
      <c r="E23" s="11">
        <v>1288</v>
      </c>
      <c r="G23" s="14"/>
      <c r="H23" s="14"/>
      <c r="I23" s="14"/>
    </row>
    <row r="24" spans="1:9" ht="21.75" x14ac:dyDescent="0.4">
      <c r="A24" s="11">
        <v>12</v>
      </c>
      <c r="B24" s="11" t="s">
        <v>1090</v>
      </c>
      <c r="C24" s="11">
        <v>2288</v>
      </c>
      <c r="D24" s="11">
        <v>1067</v>
      </c>
      <c r="E24" s="11">
        <v>1221</v>
      </c>
      <c r="G24" s="14"/>
      <c r="H24" s="14"/>
      <c r="I24" s="14"/>
    </row>
    <row r="25" spans="1:9" ht="21.75" x14ac:dyDescent="0.4">
      <c r="A25" s="11">
        <v>13</v>
      </c>
      <c r="B25" s="11" t="s">
        <v>1091</v>
      </c>
      <c r="C25" s="11">
        <v>2450</v>
      </c>
      <c r="D25" s="11">
        <v>1186</v>
      </c>
      <c r="E25" s="11">
        <v>1264</v>
      </c>
      <c r="G25" s="14"/>
      <c r="H25" s="14"/>
      <c r="I25" s="14"/>
    </row>
    <row r="26" spans="1:9" ht="21.75" x14ac:dyDescent="0.4">
      <c r="A26" s="11">
        <v>14</v>
      </c>
      <c r="B26" s="11" t="s">
        <v>1092</v>
      </c>
      <c r="C26" s="11">
        <v>741</v>
      </c>
      <c r="D26" s="11">
        <v>308</v>
      </c>
      <c r="E26" s="11">
        <v>433</v>
      </c>
      <c r="G26" s="14"/>
      <c r="H26" s="14"/>
      <c r="I26" s="14"/>
    </row>
    <row r="27" spans="1:9" ht="21.75" x14ac:dyDescent="0.4">
      <c r="A27" s="11">
        <v>15</v>
      </c>
      <c r="B27" s="11" t="s">
        <v>1093</v>
      </c>
      <c r="C27" s="11">
        <v>3519</v>
      </c>
      <c r="D27" s="11">
        <v>1562</v>
      </c>
      <c r="E27" s="11">
        <v>1957</v>
      </c>
      <c r="G27" s="14"/>
      <c r="H27" s="14"/>
      <c r="I27" s="14"/>
    </row>
    <row r="28" spans="1:9" ht="21.75" x14ac:dyDescent="0.4">
      <c r="A28" s="11">
        <v>16</v>
      </c>
      <c r="B28" s="11" t="s">
        <v>903</v>
      </c>
      <c r="C28" s="11">
        <v>1306</v>
      </c>
      <c r="D28" s="11">
        <v>671</v>
      </c>
      <c r="E28" s="11">
        <v>635</v>
      </c>
      <c r="G28" s="14"/>
      <c r="H28" s="14"/>
      <c r="I28" s="14"/>
    </row>
    <row r="29" spans="1:9" ht="21.75" x14ac:dyDescent="0.4">
      <c r="A29" s="11">
        <v>17</v>
      </c>
      <c r="B29" s="11" t="s">
        <v>1094</v>
      </c>
      <c r="C29" s="11">
        <v>1540</v>
      </c>
      <c r="D29" s="11">
        <v>719</v>
      </c>
      <c r="E29" s="11">
        <v>821</v>
      </c>
      <c r="G29" s="14"/>
      <c r="H29" s="14"/>
      <c r="I29" s="14"/>
    </row>
    <row r="30" spans="1:9" ht="21.75" x14ac:dyDescent="0.4">
      <c r="A30" s="11">
        <v>18</v>
      </c>
      <c r="B30" s="11" t="s">
        <v>1095</v>
      </c>
      <c r="C30" s="11">
        <v>958</v>
      </c>
      <c r="D30" s="11">
        <v>462</v>
      </c>
      <c r="E30" s="11">
        <v>496</v>
      </c>
      <c r="G30" s="14"/>
      <c r="H30" s="14"/>
      <c r="I30" s="14"/>
    </row>
    <row r="31" spans="1:9" ht="21.75" x14ac:dyDescent="0.4">
      <c r="A31" s="11">
        <v>19</v>
      </c>
      <c r="B31" s="11" t="s">
        <v>1096</v>
      </c>
      <c r="C31" s="11">
        <v>2415</v>
      </c>
      <c r="D31" s="11">
        <v>1181</v>
      </c>
      <c r="E31" s="11">
        <v>1234</v>
      </c>
      <c r="G31" s="14"/>
      <c r="H31" s="14"/>
      <c r="I31" s="14"/>
    </row>
    <row r="32" spans="1:9" ht="21.75" x14ac:dyDescent="0.4">
      <c r="A32" s="11">
        <v>20</v>
      </c>
      <c r="B32" s="11" t="s">
        <v>1097</v>
      </c>
      <c r="C32" s="11">
        <v>1400</v>
      </c>
      <c r="D32" s="11">
        <v>641</v>
      </c>
      <c r="E32" s="11">
        <v>759</v>
      </c>
      <c r="G32" s="14"/>
      <c r="H32" s="14"/>
      <c r="I32" s="14"/>
    </row>
    <row r="33" spans="1:9" ht="21.75" x14ac:dyDescent="0.4">
      <c r="A33" s="11">
        <v>21</v>
      </c>
      <c r="B33" s="11" t="s">
        <v>1098</v>
      </c>
      <c r="C33" s="11">
        <v>2984</v>
      </c>
      <c r="D33" s="11">
        <v>1323</v>
      </c>
      <c r="E33" s="11">
        <v>1661</v>
      </c>
      <c r="G33" s="14"/>
      <c r="H33" s="14"/>
      <c r="I33" s="14"/>
    </row>
    <row r="34" spans="1:9" ht="21.75" x14ac:dyDescent="0.4">
      <c r="A34" s="11">
        <v>22</v>
      </c>
      <c r="B34" s="11" t="s">
        <v>1099</v>
      </c>
      <c r="C34" s="11">
        <v>2125</v>
      </c>
      <c r="D34" s="11">
        <v>913</v>
      </c>
      <c r="E34" s="11">
        <v>1212</v>
      </c>
      <c r="G34" s="14"/>
      <c r="H34" s="14"/>
      <c r="I34" s="14"/>
    </row>
    <row r="35" spans="1:9" ht="21.75" x14ac:dyDescent="0.4">
      <c r="A35" s="11">
        <v>23</v>
      </c>
      <c r="B35" s="11" t="s">
        <v>1100</v>
      </c>
      <c r="C35" s="11">
        <v>888</v>
      </c>
      <c r="D35" s="11">
        <v>386</v>
      </c>
      <c r="E35" s="11">
        <v>502</v>
      </c>
      <c r="G35" s="14"/>
      <c r="H35" s="14"/>
      <c r="I35" s="14"/>
    </row>
    <row r="36" spans="1:9" ht="21.75" x14ac:dyDescent="0.4">
      <c r="A36" s="11">
        <v>24</v>
      </c>
      <c r="B36" s="11" t="s">
        <v>1101</v>
      </c>
      <c r="C36" s="11">
        <v>3882</v>
      </c>
      <c r="D36" s="11">
        <v>1704</v>
      </c>
      <c r="E36" s="11">
        <v>2178</v>
      </c>
      <c r="G36" s="14"/>
      <c r="H36" s="14"/>
      <c r="I36" s="14"/>
    </row>
    <row r="37" spans="1:9" ht="21.75" x14ac:dyDescent="0.4">
      <c r="A37" s="11">
        <v>25</v>
      </c>
      <c r="B37" s="11" t="s">
        <v>1102</v>
      </c>
      <c r="C37" s="11">
        <v>2349</v>
      </c>
      <c r="D37" s="11">
        <v>1024</v>
      </c>
      <c r="E37" s="11">
        <v>1325</v>
      </c>
      <c r="G37" s="14"/>
      <c r="H37" s="14"/>
      <c r="I37" s="14"/>
    </row>
    <row r="38" spans="1:9" ht="21.75" x14ac:dyDescent="0.4">
      <c r="A38" s="11">
        <v>26</v>
      </c>
      <c r="B38" s="11" t="s">
        <v>1103</v>
      </c>
      <c r="C38" s="11">
        <v>1038</v>
      </c>
      <c r="D38" s="11">
        <v>457</v>
      </c>
      <c r="E38" s="11">
        <v>581</v>
      </c>
      <c r="G38" s="14"/>
      <c r="H38" s="14"/>
      <c r="I38" s="14"/>
    </row>
    <row r="39" spans="1:9" ht="21.75" x14ac:dyDescent="0.4">
      <c r="A39" s="11">
        <v>27</v>
      </c>
      <c r="B39" s="11" t="s">
        <v>1104</v>
      </c>
      <c r="C39" s="11">
        <v>4754</v>
      </c>
      <c r="D39" s="11">
        <v>2314</v>
      </c>
      <c r="E39" s="11">
        <v>2440</v>
      </c>
      <c r="G39" s="14"/>
      <c r="H39" s="14"/>
      <c r="I39" s="14"/>
    </row>
    <row r="40" spans="1:9" ht="21.75" x14ac:dyDescent="0.4">
      <c r="A40" s="11">
        <v>28</v>
      </c>
      <c r="B40" s="11" t="s">
        <v>1105</v>
      </c>
      <c r="C40" s="11">
        <v>1678</v>
      </c>
      <c r="D40" s="11">
        <v>784</v>
      </c>
      <c r="E40" s="11">
        <v>894</v>
      </c>
      <c r="G40" s="14"/>
      <c r="H40" s="14"/>
      <c r="I40" s="14"/>
    </row>
    <row r="41" spans="1:9" ht="21.75" x14ac:dyDescent="0.4">
      <c r="A41" s="11">
        <v>29</v>
      </c>
      <c r="B41" s="11" t="s">
        <v>1106</v>
      </c>
      <c r="C41" s="11">
        <v>5383</v>
      </c>
      <c r="D41" s="11">
        <v>2526</v>
      </c>
      <c r="E41" s="11">
        <v>2857</v>
      </c>
      <c r="G41" s="14"/>
      <c r="H41" s="14"/>
      <c r="I41" s="14"/>
    </row>
    <row r="42" spans="1:9" ht="21.75" x14ac:dyDescent="0.4">
      <c r="A42" s="11">
        <v>30</v>
      </c>
      <c r="B42" s="11" t="s">
        <v>1107</v>
      </c>
      <c r="C42" s="11">
        <v>6532</v>
      </c>
      <c r="D42" s="11">
        <v>3199</v>
      </c>
      <c r="E42" s="11">
        <v>3333</v>
      </c>
      <c r="G42" s="14"/>
      <c r="H42" s="14"/>
      <c r="I42" s="14"/>
    </row>
    <row r="43" spans="1:9" ht="21.75" x14ac:dyDescent="0.4">
      <c r="A43" s="11">
        <v>31</v>
      </c>
      <c r="B43" s="11" t="s">
        <v>1108</v>
      </c>
      <c r="C43" s="11">
        <v>2678</v>
      </c>
      <c r="D43" s="11">
        <v>1259</v>
      </c>
      <c r="E43" s="11">
        <v>1419</v>
      </c>
      <c r="G43" s="14"/>
      <c r="H43" s="14"/>
      <c r="I43" s="14"/>
    </row>
    <row r="44" spans="1:9" ht="21.75" x14ac:dyDescent="0.4">
      <c r="A44" s="11">
        <v>32</v>
      </c>
      <c r="B44" s="11" t="s">
        <v>1109</v>
      </c>
      <c r="C44" s="11">
        <v>1945</v>
      </c>
      <c r="D44" s="11">
        <v>929</v>
      </c>
      <c r="E44" s="11">
        <v>1016</v>
      </c>
      <c r="G44" s="14"/>
      <c r="H44" s="14"/>
      <c r="I44" s="14"/>
    </row>
    <row r="45" spans="1:9" ht="21.75" x14ac:dyDescent="0.4">
      <c r="A45" s="11">
        <v>33</v>
      </c>
      <c r="B45" s="11" t="s">
        <v>1110</v>
      </c>
      <c r="C45" s="11">
        <v>1156</v>
      </c>
      <c r="D45" s="11">
        <v>526</v>
      </c>
      <c r="E45" s="11">
        <v>630</v>
      </c>
      <c r="G45" s="14"/>
      <c r="H45" s="14"/>
      <c r="I45" s="14"/>
    </row>
    <row r="46" spans="1:9" ht="21.75" x14ac:dyDescent="0.4">
      <c r="A46" s="11">
        <v>34</v>
      </c>
      <c r="B46" s="11" t="s">
        <v>1111</v>
      </c>
      <c r="C46" s="11">
        <v>1594</v>
      </c>
      <c r="D46" s="11">
        <v>770</v>
      </c>
      <c r="E46" s="11">
        <v>824</v>
      </c>
      <c r="G46" s="14"/>
      <c r="H46" s="14"/>
      <c r="I46" s="14"/>
    </row>
    <row r="47" spans="1:9" ht="21.75" x14ac:dyDescent="0.4">
      <c r="A47" s="11">
        <v>35</v>
      </c>
      <c r="B47" s="11" t="s">
        <v>1112</v>
      </c>
      <c r="C47" s="11">
        <v>1693</v>
      </c>
      <c r="D47" s="11">
        <v>766</v>
      </c>
      <c r="E47" s="11">
        <v>927</v>
      </c>
      <c r="G47" s="14"/>
      <c r="H47" s="14"/>
      <c r="I47" s="14"/>
    </row>
    <row r="48" spans="1:9" ht="21.75" x14ac:dyDescent="0.4">
      <c r="A48" s="11">
        <v>36</v>
      </c>
      <c r="B48" s="11" t="s">
        <v>663</v>
      </c>
      <c r="C48" s="11">
        <v>4475</v>
      </c>
      <c r="D48" s="11">
        <v>2246</v>
      </c>
      <c r="E48" s="11">
        <v>2229</v>
      </c>
      <c r="G48" s="14"/>
      <c r="H48" s="14"/>
      <c r="I48" s="14"/>
    </row>
    <row r="49" spans="1:9" ht="21.75" x14ac:dyDescent="0.4">
      <c r="A49" s="11">
        <v>37</v>
      </c>
      <c r="B49" s="11" t="s">
        <v>1113</v>
      </c>
      <c r="C49" s="11">
        <v>2419</v>
      </c>
      <c r="D49" s="11">
        <v>1119</v>
      </c>
      <c r="E49" s="11">
        <v>1300</v>
      </c>
      <c r="G49" s="14"/>
      <c r="H49" s="14"/>
      <c r="I49" s="14"/>
    </row>
    <row r="50" spans="1:9" ht="21.75" x14ac:dyDescent="0.4">
      <c r="A50" s="11">
        <v>38</v>
      </c>
      <c r="B50" s="11" t="s">
        <v>1114</v>
      </c>
      <c r="C50" s="11">
        <v>1159</v>
      </c>
      <c r="D50" s="11">
        <v>584</v>
      </c>
      <c r="E50" s="11">
        <v>575</v>
      </c>
      <c r="G50" s="14"/>
      <c r="H50" s="14"/>
      <c r="I50" s="14"/>
    </row>
    <row r="51" spans="1:9" ht="21.75" x14ac:dyDescent="0.4">
      <c r="A51" s="11">
        <v>39</v>
      </c>
      <c r="B51" s="11" t="s">
        <v>1115</v>
      </c>
      <c r="C51" s="11">
        <v>1608</v>
      </c>
      <c r="D51" s="11">
        <v>719</v>
      </c>
      <c r="E51" s="11">
        <v>889</v>
      </c>
      <c r="G51" s="14"/>
      <c r="H51" s="14"/>
      <c r="I51" s="14"/>
    </row>
    <row r="52" spans="1:9" ht="21.75" x14ac:dyDescent="0.4">
      <c r="A52" s="11">
        <v>40</v>
      </c>
      <c r="B52" s="11" t="s">
        <v>1116</v>
      </c>
      <c r="C52" s="11">
        <v>491</v>
      </c>
      <c r="D52" s="11">
        <v>229</v>
      </c>
      <c r="E52" s="11">
        <v>262</v>
      </c>
      <c r="G52" s="14"/>
      <c r="H52" s="14"/>
      <c r="I52" s="14"/>
    </row>
    <row r="53" spans="1:9" ht="21.75" x14ac:dyDescent="0.4">
      <c r="A53" s="11">
        <v>41</v>
      </c>
      <c r="B53" s="11" t="s">
        <v>1117</v>
      </c>
      <c r="C53" s="11">
        <v>1044</v>
      </c>
      <c r="D53" s="11">
        <v>543</v>
      </c>
      <c r="E53" s="11">
        <v>501</v>
      </c>
      <c r="G53" s="14"/>
      <c r="H53" s="14"/>
      <c r="I53" s="14"/>
    </row>
    <row r="54" spans="1:9" ht="21.75" x14ac:dyDescent="0.4">
      <c r="A54" s="11">
        <v>42</v>
      </c>
      <c r="B54" s="11" t="s">
        <v>1118</v>
      </c>
      <c r="C54" s="11">
        <v>1279</v>
      </c>
      <c r="D54" s="11">
        <v>663</v>
      </c>
      <c r="E54" s="11">
        <v>616</v>
      </c>
      <c r="G54" s="14"/>
      <c r="H54" s="14"/>
      <c r="I54" s="14"/>
    </row>
    <row r="55" spans="1:9" ht="21.75" x14ac:dyDescent="0.4">
      <c r="A55" s="11">
        <v>43</v>
      </c>
      <c r="B55" s="11" t="s">
        <v>1119</v>
      </c>
      <c r="C55" s="11">
        <v>496</v>
      </c>
      <c r="D55" s="11">
        <v>226</v>
      </c>
      <c r="E55" s="11">
        <v>270</v>
      </c>
      <c r="G55" s="14"/>
      <c r="H55" s="14"/>
      <c r="I55" s="14"/>
    </row>
    <row r="56" spans="1:9" ht="21.75" x14ac:dyDescent="0.4">
      <c r="A56" s="11">
        <v>44</v>
      </c>
      <c r="B56" s="11" t="s">
        <v>1120</v>
      </c>
      <c r="C56" s="11">
        <v>496</v>
      </c>
      <c r="D56" s="11">
        <v>266</v>
      </c>
      <c r="E56" s="11">
        <v>230</v>
      </c>
      <c r="G56" s="14"/>
      <c r="H56" s="14"/>
      <c r="I56" s="14"/>
    </row>
    <row r="57" spans="1:9" ht="21.75" x14ac:dyDescent="0.4">
      <c r="A57" s="11">
        <v>45</v>
      </c>
      <c r="B57" s="11" t="s">
        <v>766</v>
      </c>
      <c r="C57" s="11">
        <v>1254</v>
      </c>
      <c r="D57" s="11">
        <v>576</v>
      </c>
      <c r="E57" s="11">
        <v>678</v>
      </c>
      <c r="G57" s="14"/>
      <c r="H57" s="14"/>
      <c r="I57" s="14"/>
    </row>
    <row r="58" spans="1:9" ht="21.75" x14ac:dyDescent="0.4">
      <c r="A58" s="11">
        <v>46</v>
      </c>
      <c r="B58" s="11" t="s">
        <v>1121</v>
      </c>
      <c r="C58" s="11">
        <v>1563</v>
      </c>
      <c r="D58" s="11">
        <v>713</v>
      </c>
      <c r="E58" s="11">
        <v>850</v>
      </c>
      <c r="G58" s="14"/>
      <c r="H58" s="14"/>
      <c r="I58" s="14"/>
    </row>
    <row r="59" spans="1:9" ht="21.75" x14ac:dyDescent="0.4">
      <c r="A59" s="11">
        <v>47</v>
      </c>
      <c r="B59" s="11" t="s">
        <v>1122</v>
      </c>
      <c r="C59" s="11">
        <v>814</v>
      </c>
      <c r="D59" s="11">
        <v>411</v>
      </c>
      <c r="E59" s="11">
        <v>403</v>
      </c>
      <c r="G59" s="14"/>
      <c r="H59" s="14"/>
      <c r="I59" s="14"/>
    </row>
    <row r="60" spans="1:9" ht="21.75" x14ac:dyDescent="0.4">
      <c r="A60" s="11">
        <v>48</v>
      </c>
      <c r="B60" s="11" t="s">
        <v>1123</v>
      </c>
      <c r="C60" s="11">
        <v>1629</v>
      </c>
      <c r="D60" s="11">
        <v>774</v>
      </c>
      <c r="E60" s="11">
        <v>855</v>
      </c>
      <c r="G60" s="14"/>
      <c r="H60" s="14"/>
      <c r="I60" s="14"/>
    </row>
    <row r="61" spans="1:9" ht="21.75" x14ac:dyDescent="0.4">
      <c r="A61" s="11">
        <v>49</v>
      </c>
      <c r="B61" s="11" t="s">
        <v>1124</v>
      </c>
      <c r="C61" s="11">
        <v>1841</v>
      </c>
      <c r="D61" s="11">
        <v>839</v>
      </c>
      <c r="E61" s="11">
        <v>1002</v>
      </c>
      <c r="G61" s="14"/>
      <c r="H61" s="14"/>
      <c r="I61" s="14"/>
    </row>
    <row r="62" spans="1:9" ht="21.75" x14ac:dyDescent="0.4">
      <c r="A62" s="11">
        <v>50</v>
      </c>
      <c r="B62" s="11" t="s">
        <v>1125</v>
      </c>
      <c r="C62" s="11">
        <v>440</v>
      </c>
      <c r="D62" s="11">
        <v>207</v>
      </c>
      <c r="E62" s="11">
        <v>233</v>
      </c>
      <c r="G62" s="14"/>
      <c r="H62" s="14"/>
      <c r="I62" s="14"/>
    </row>
    <row r="63" spans="1:9" ht="21.75" x14ac:dyDescent="0.4">
      <c r="A63" s="11">
        <v>51</v>
      </c>
      <c r="B63" s="11" t="s">
        <v>417</v>
      </c>
      <c r="C63" s="11">
        <v>731</v>
      </c>
      <c r="D63" s="11">
        <v>345</v>
      </c>
      <c r="E63" s="11">
        <v>386</v>
      </c>
      <c r="G63" s="14"/>
      <c r="H63" s="14"/>
      <c r="I63" s="14"/>
    </row>
    <row r="64" spans="1:9" ht="21.75" x14ac:dyDescent="0.4">
      <c r="A64" s="12">
        <v>52</v>
      </c>
      <c r="B64" s="12" t="s">
        <v>1126</v>
      </c>
      <c r="C64" s="12">
        <v>1475</v>
      </c>
      <c r="D64" s="12">
        <v>654</v>
      </c>
      <c r="E64" s="12">
        <v>821</v>
      </c>
      <c r="G64" s="14"/>
      <c r="H64" s="14"/>
      <c r="I64" s="14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tha District , Pinlebu Township"/>
  </hyperlinks>
  <pageMargins left="0.75" right="0.5" top="0.5" bottom="0.2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70"/>
  <sheetViews>
    <sheetView workbookViewId="0">
      <selection sqref="A1:E1"/>
    </sheetView>
  </sheetViews>
  <sheetFormatPr defaultRowHeight="24.75" customHeight="1" x14ac:dyDescent="0.4"/>
  <cols>
    <col min="1" max="1" width="7.7109375" style="4" customWidth="1"/>
    <col min="2" max="2" width="38.42578125" style="4" customWidth="1"/>
    <col min="3" max="5" width="15.7109375" style="4" customWidth="1"/>
    <col min="6" max="16384" width="9.140625" style="4"/>
  </cols>
  <sheetData>
    <row r="1" spans="1:7" ht="24.75" customHeight="1" x14ac:dyDescent="0.4">
      <c r="A1" s="67" t="s">
        <v>1748</v>
      </c>
      <c r="B1" s="67"/>
      <c r="C1" s="67"/>
      <c r="D1" s="67"/>
      <c r="E1" s="67"/>
    </row>
    <row r="2" spans="1:7" ht="24.75" customHeight="1" x14ac:dyDescent="0.4">
      <c r="A2" s="2"/>
      <c r="B2" s="7"/>
      <c r="C2" s="7"/>
      <c r="D2" s="7"/>
      <c r="E2" s="56" t="s">
        <v>1722</v>
      </c>
    </row>
    <row r="3" spans="1:7" ht="24.75" customHeight="1" x14ac:dyDescent="0.4">
      <c r="A3" s="2"/>
      <c r="B3" s="7"/>
      <c r="C3" s="7"/>
      <c r="D3" s="7"/>
      <c r="E3" s="56"/>
    </row>
    <row r="4" spans="1:7" ht="10.5" customHeight="1" x14ac:dyDescent="0.4">
      <c r="A4" s="2"/>
      <c r="B4" s="7"/>
      <c r="C4" s="7"/>
      <c r="D4" s="7"/>
      <c r="E4" s="7"/>
    </row>
    <row r="5" spans="1:7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7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7" ht="24.75" customHeight="1" x14ac:dyDescent="0.4">
      <c r="A7" s="9"/>
      <c r="B7" s="9" t="s">
        <v>1772</v>
      </c>
      <c r="C7" s="9">
        <f>C9+C29</f>
        <v>348573</v>
      </c>
      <c r="D7" s="9">
        <f t="shared" ref="D7:E7" si="0">D9+D29</f>
        <v>167558</v>
      </c>
      <c r="E7" s="9">
        <f t="shared" si="0"/>
        <v>181015</v>
      </c>
      <c r="G7"/>
    </row>
    <row r="8" spans="1:7" ht="10.5" customHeight="1" x14ac:dyDescent="0.4">
      <c r="A8" s="10"/>
      <c r="B8" s="35"/>
      <c r="C8" s="35"/>
      <c r="D8" s="35"/>
      <c r="E8" s="35"/>
      <c r="G8"/>
    </row>
    <row r="9" spans="1:7" ht="24.75" customHeight="1" x14ac:dyDescent="0.4">
      <c r="A9" s="10"/>
      <c r="B9" s="10" t="s">
        <v>1725</v>
      </c>
      <c r="C9" s="10">
        <f>SUM(C10:C28)</f>
        <v>130506</v>
      </c>
      <c r="D9" s="10">
        <f t="shared" ref="D9:E9" si="1">SUM(D10:D28)</f>
        <v>60657</v>
      </c>
      <c r="E9" s="10">
        <f t="shared" si="1"/>
        <v>69849</v>
      </c>
      <c r="G9"/>
    </row>
    <row r="10" spans="1:7" ht="24.75" customHeight="1" x14ac:dyDescent="0.4">
      <c r="A10" s="11">
        <v>1</v>
      </c>
      <c r="B10" s="11" t="s">
        <v>1127</v>
      </c>
      <c r="C10" s="11">
        <v>4845</v>
      </c>
      <c r="D10" s="11">
        <v>2196</v>
      </c>
      <c r="E10" s="11">
        <v>2649</v>
      </c>
      <c r="G10"/>
    </row>
    <row r="11" spans="1:7" ht="24.75" customHeight="1" x14ac:dyDescent="0.4">
      <c r="A11" s="11">
        <v>2</v>
      </c>
      <c r="B11" s="11" t="s">
        <v>1128</v>
      </c>
      <c r="C11" s="11">
        <v>5141</v>
      </c>
      <c r="D11" s="11">
        <v>2434</v>
      </c>
      <c r="E11" s="11">
        <v>2707</v>
      </c>
      <c r="G11"/>
    </row>
    <row r="12" spans="1:7" ht="24.75" customHeight="1" x14ac:dyDescent="0.4">
      <c r="A12" s="11">
        <v>3</v>
      </c>
      <c r="B12" s="11" t="s">
        <v>509</v>
      </c>
      <c r="C12" s="11">
        <v>5040</v>
      </c>
      <c r="D12" s="11">
        <v>2370</v>
      </c>
      <c r="E12" s="11">
        <v>2670</v>
      </c>
      <c r="G12"/>
    </row>
    <row r="13" spans="1:7" ht="24.75" customHeight="1" x14ac:dyDescent="0.4">
      <c r="A13" s="11">
        <v>4</v>
      </c>
      <c r="B13" s="11" t="s">
        <v>1129</v>
      </c>
      <c r="C13" s="11">
        <v>5116</v>
      </c>
      <c r="D13" s="11">
        <v>2388</v>
      </c>
      <c r="E13" s="11">
        <v>2728</v>
      </c>
      <c r="G13"/>
    </row>
    <row r="14" spans="1:7" ht="24.75" customHeight="1" x14ac:dyDescent="0.4">
      <c r="A14" s="11">
        <v>5</v>
      </c>
      <c r="B14" s="11" t="s">
        <v>1130</v>
      </c>
      <c r="C14" s="11">
        <v>7278</v>
      </c>
      <c r="D14" s="11">
        <v>3516</v>
      </c>
      <c r="E14" s="11">
        <v>3762</v>
      </c>
      <c r="G14"/>
    </row>
    <row r="15" spans="1:7" ht="24.75" customHeight="1" x14ac:dyDescent="0.4">
      <c r="A15" s="11">
        <v>6</v>
      </c>
      <c r="B15" s="11" t="s">
        <v>1131</v>
      </c>
      <c r="C15" s="11">
        <v>3660</v>
      </c>
      <c r="D15" s="11">
        <v>1678</v>
      </c>
      <c r="E15" s="11">
        <v>1982</v>
      </c>
      <c r="G15"/>
    </row>
    <row r="16" spans="1:7" ht="24.75" customHeight="1" x14ac:dyDescent="0.4">
      <c r="A16" s="11">
        <v>7</v>
      </c>
      <c r="B16" s="11" t="s">
        <v>1132</v>
      </c>
      <c r="C16" s="11">
        <v>6075</v>
      </c>
      <c r="D16" s="11">
        <v>2864</v>
      </c>
      <c r="E16" s="11">
        <v>3211</v>
      </c>
      <c r="G16"/>
    </row>
    <row r="17" spans="1:7" ht="24.75" customHeight="1" x14ac:dyDescent="0.4">
      <c r="A17" s="11">
        <v>8</v>
      </c>
      <c r="B17" s="11" t="s">
        <v>1133</v>
      </c>
      <c r="C17" s="11">
        <v>12538</v>
      </c>
      <c r="D17" s="11">
        <v>6031</v>
      </c>
      <c r="E17" s="11">
        <v>6507</v>
      </c>
      <c r="G17"/>
    </row>
    <row r="18" spans="1:7" ht="24.75" customHeight="1" x14ac:dyDescent="0.4">
      <c r="A18" s="11">
        <v>9</v>
      </c>
      <c r="B18" s="11" t="s">
        <v>1134</v>
      </c>
      <c r="C18" s="11">
        <v>8984</v>
      </c>
      <c r="D18" s="11">
        <v>4246</v>
      </c>
      <c r="E18" s="11">
        <v>4738</v>
      </c>
      <c r="G18"/>
    </row>
    <row r="19" spans="1:7" ht="24.75" customHeight="1" x14ac:dyDescent="0.4">
      <c r="A19" s="11">
        <v>10</v>
      </c>
      <c r="B19" s="11" t="s">
        <v>1135</v>
      </c>
      <c r="C19" s="11">
        <v>6598</v>
      </c>
      <c r="D19" s="11">
        <v>3006</v>
      </c>
      <c r="E19" s="11">
        <v>3592</v>
      </c>
      <c r="G19"/>
    </row>
    <row r="20" spans="1:7" ht="24.75" customHeight="1" x14ac:dyDescent="0.4">
      <c r="A20" s="11">
        <v>11</v>
      </c>
      <c r="B20" s="11" t="s">
        <v>1136</v>
      </c>
      <c r="C20" s="11">
        <v>14876</v>
      </c>
      <c r="D20" s="11">
        <v>6841</v>
      </c>
      <c r="E20" s="11">
        <v>8035</v>
      </c>
      <c r="G20"/>
    </row>
    <row r="21" spans="1:7" ht="24.75" customHeight="1" x14ac:dyDescent="0.4">
      <c r="A21" s="11">
        <v>12</v>
      </c>
      <c r="B21" s="11" t="s">
        <v>1137</v>
      </c>
      <c r="C21" s="11">
        <v>8121</v>
      </c>
      <c r="D21" s="11">
        <v>3681</v>
      </c>
      <c r="E21" s="11">
        <v>4440</v>
      </c>
      <c r="G21"/>
    </row>
    <row r="22" spans="1:7" ht="24.75" customHeight="1" x14ac:dyDescent="0.4">
      <c r="A22" s="11">
        <v>13</v>
      </c>
      <c r="B22" s="11" t="s">
        <v>1138</v>
      </c>
      <c r="C22" s="11">
        <v>6878</v>
      </c>
      <c r="D22" s="11">
        <v>3096</v>
      </c>
      <c r="E22" s="11">
        <v>3782</v>
      </c>
      <c r="G22"/>
    </row>
    <row r="23" spans="1:7" ht="24.75" customHeight="1" x14ac:dyDescent="0.4">
      <c r="A23" s="11">
        <v>14</v>
      </c>
      <c r="B23" s="11" t="s">
        <v>1139</v>
      </c>
      <c r="C23" s="11">
        <v>10949</v>
      </c>
      <c r="D23" s="11">
        <v>4859</v>
      </c>
      <c r="E23" s="11">
        <v>6090</v>
      </c>
      <c r="G23"/>
    </row>
    <row r="24" spans="1:7" ht="24.75" customHeight="1" x14ac:dyDescent="0.4">
      <c r="A24" s="11">
        <v>15</v>
      </c>
      <c r="B24" s="11" t="s">
        <v>1140</v>
      </c>
      <c r="C24" s="11">
        <v>7540</v>
      </c>
      <c r="D24" s="11">
        <v>3470</v>
      </c>
      <c r="E24" s="11">
        <v>4070</v>
      </c>
      <c r="G24"/>
    </row>
    <row r="25" spans="1:7" ht="24.75" customHeight="1" x14ac:dyDescent="0.4">
      <c r="A25" s="11">
        <v>16</v>
      </c>
      <c r="B25" s="11" t="s">
        <v>1141</v>
      </c>
      <c r="C25" s="11">
        <v>5523</v>
      </c>
      <c r="D25" s="11">
        <v>2733</v>
      </c>
      <c r="E25" s="11">
        <v>2790</v>
      </c>
      <c r="G25"/>
    </row>
    <row r="26" spans="1:7" ht="24.75" customHeight="1" x14ac:dyDescent="0.4">
      <c r="A26" s="11">
        <v>17</v>
      </c>
      <c r="B26" s="11" t="s">
        <v>1142</v>
      </c>
      <c r="C26" s="11">
        <v>4703</v>
      </c>
      <c r="D26" s="11">
        <v>2161</v>
      </c>
      <c r="E26" s="11">
        <v>2542</v>
      </c>
      <c r="G26"/>
    </row>
    <row r="27" spans="1:7" ht="24.75" customHeight="1" x14ac:dyDescent="0.4">
      <c r="A27" s="11">
        <v>18</v>
      </c>
      <c r="B27" s="11" t="s">
        <v>1143</v>
      </c>
      <c r="C27" s="11">
        <v>4130</v>
      </c>
      <c r="D27" s="11">
        <v>1868</v>
      </c>
      <c r="E27" s="11">
        <v>2262</v>
      </c>
      <c r="G27"/>
    </row>
    <row r="28" spans="1:7" ht="24.75" customHeight="1" x14ac:dyDescent="0.4">
      <c r="A28" s="11">
        <v>19</v>
      </c>
      <c r="B28" s="11" t="s">
        <v>1144</v>
      </c>
      <c r="C28" s="11">
        <v>2511</v>
      </c>
      <c r="D28" s="11">
        <v>1219</v>
      </c>
      <c r="E28" s="11">
        <v>1292</v>
      </c>
      <c r="G28"/>
    </row>
    <row r="29" spans="1:7" ht="24.75" customHeight="1" x14ac:dyDescent="0.4">
      <c r="A29" s="11"/>
      <c r="B29" s="10" t="s">
        <v>1773</v>
      </c>
      <c r="C29" s="10">
        <f>SUM(C30:C70)</f>
        <v>218067</v>
      </c>
      <c r="D29" s="10">
        <f t="shared" ref="D29:E29" si="2">SUM(D30:D70)</f>
        <v>106901</v>
      </c>
      <c r="E29" s="10">
        <f t="shared" si="2"/>
        <v>111166</v>
      </c>
      <c r="G29"/>
    </row>
    <row r="30" spans="1:7" ht="24.75" customHeight="1" x14ac:dyDescent="0.4">
      <c r="A30" s="11">
        <v>1</v>
      </c>
      <c r="B30" s="11" t="s">
        <v>720</v>
      </c>
      <c r="C30" s="11">
        <v>11247</v>
      </c>
      <c r="D30" s="11">
        <v>5339</v>
      </c>
      <c r="E30" s="11">
        <v>5908</v>
      </c>
      <c r="G30"/>
    </row>
    <row r="31" spans="1:7" ht="24.75" customHeight="1" x14ac:dyDescent="0.4">
      <c r="A31" s="11">
        <v>2</v>
      </c>
      <c r="B31" s="11" t="s">
        <v>1145</v>
      </c>
      <c r="C31" s="11">
        <v>3743</v>
      </c>
      <c r="D31" s="11">
        <v>1843</v>
      </c>
      <c r="E31" s="11">
        <v>1900</v>
      </c>
      <c r="G31"/>
    </row>
    <row r="32" spans="1:7" ht="24.75" customHeight="1" x14ac:dyDescent="0.4">
      <c r="A32" s="11">
        <v>3</v>
      </c>
      <c r="B32" s="11" t="s">
        <v>404</v>
      </c>
      <c r="C32" s="11">
        <v>3979</v>
      </c>
      <c r="D32" s="11">
        <v>2012</v>
      </c>
      <c r="E32" s="11">
        <v>1967</v>
      </c>
      <c r="G32"/>
    </row>
    <row r="33" spans="1:7" ht="24.75" customHeight="1" x14ac:dyDescent="0.4">
      <c r="A33" s="11">
        <v>4</v>
      </c>
      <c r="B33" s="11" t="s">
        <v>1146</v>
      </c>
      <c r="C33" s="11">
        <v>2872</v>
      </c>
      <c r="D33" s="11">
        <v>1400</v>
      </c>
      <c r="E33" s="11">
        <v>1472</v>
      </c>
      <c r="G33"/>
    </row>
    <row r="34" spans="1:7" ht="24.75" customHeight="1" x14ac:dyDescent="0.4">
      <c r="A34" s="11">
        <v>5</v>
      </c>
      <c r="B34" s="11" t="s">
        <v>1147</v>
      </c>
      <c r="C34" s="11">
        <v>8148</v>
      </c>
      <c r="D34" s="11">
        <v>3958</v>
      </c>
      <c r="E34" s="11">
        <v>4190</v>
      </c>
      <c r="G34"/>
    </row>
    <row r="35" spans="1:7" ht="24.75" customHeight="1" x14ac:dyDescent="0.4">
      <c r="A35" s="11">
        <v>6</v>
      </c>
      <c r="B35" s="11" t="s">
        <v>1148</v>
      </c>
      <c r="C35" s="11">
        <v>15147</v>
      </c>
      <c r="D35" s="11">
        <v>7372</v>
      </c>
      <c r="E35" s="11">
        <v>7775</v>
      </c>
      <c r="G35"/>
    </row>
    <row r="36" spans="1:7" ht="24.75" customHeight="1" x14ac:dyDescent="0.4">
      <c r="A36" s="11">
        <v>7</v>
      </c>
      <c r="B36" s="11" t="s">
        <v>1149</v>
      </c>
      <c r="C36" s="11">
        <v>3606</v>
      </c>
      <c r="D36" s="11">
        <v>2300</v>
      </c>
      <c r="E36" s="11">
        <v>1306</v>
      </c>
      <c r="G36"/>
    </row>
    <row r="37" spans="1:7" ht="24.75" customHeight="1" x14ac:dyDescent="0.4">
      <c r="A37" s="11">
        <v>8</v>
      </c>
      <c r="B37" s="11" t="s">
        <v>1150</v>
      </c>
      <c r="C37" s="11">
        <v>5832</v>
      </c>
      <c r="D37" s="11">
        <v>2722</v>
      </c>
      <c r="E37" s="11">
        <v>3110</v>
      </c>
      <c r="G37"/>
    </row>
    <row r="38" spans="1:7" ht="24.75" customHeight="1" x14ac:dyDescent="0.4">
      <c r="A38" s="11">
        <v>9</v>
      </c>
      <c r="B38" s="11" t="s">
        <v>1151</v>
      </c>
      <c r="C38" s="11">
        <v>6823</v>
      </c>
      <c r="D38" s="11">
        <v>3545</v>
      </c>
      <c r="E38" s="11">
        <v>3278</v>
      </c>
      <c r="G38"/>
    </row>
    <row r="39" spans="1:7" ht="24.75" customHeight="1" x14ac:dyDescent="0.4">
      <c r="A39" s="11">
        <v>10</v>
      </c>
      <c r="B39" s="11" t="s">
        <v>1152</v>
      </c>
      <c r="C39" s="11">
        <v>5996</v>
      </c>
      <c r="D39" s="11">
        <v>2976</v>
      </c>
      <c r="E39" s="11">
        <v>3020</v>
      </c>
      <c r="G39"/>
    </row>
    <row r="40" spans="1:7" ht="24.75" customHeight="1" x14ac:dyDescent="0.4">
      <c r="A40" s="11">
        <v>11</v>
      </c>
      <c r="B40" s="11" t="s">
        <v>1153</v>
      </c>
      <c r="C40" s="11">
        <v>19442</v>
      </c>
      <c r="D40" s="11">
        <v>9156</v>
      </c>
      <c r="E40" s="11">
        <v>10286</v>
      </c>
      <c r="G40"/>
    </row>
    <row r="41" spans="1:7" ht="24.75" customHeight="1" x14ac:dyDescent="0.4">
      <c r="A41" s="11">
        <v>12</v>
      </c>
      <c r="B41" s="11" t="s">
        <v>1154</v>
      </c>
      <c r="C41" s="11">
        <v>3841</v>
      </c>
      <c r="D41" s="11">
        <v>1993</v>
      </c>
      <c r="E41" s="11">
        <v>1848</v>
      </c>
      <c r="G41"/>
    </row>
    <row r="42" spans="1:7" ht="24.75" customHeight="1" x14ac:dyDescent="0.4">
      <c r="A42" s="11">
        <v>13</v>
      </c>
      <c r="B42" s="11" t="s">
        <v>1155</v>
      </c>
      <c r="C42" s="11">
        <v>7434</v>
      </c>
      <c r="D42" s="11">
        <v>3532</v>
      </c>
      <c r="E42" s="11">
        <v>3902</v>
      </c>
      <c r="G42"/>
    </row>
    <row r="43" spans="1:7" ht="24.75" customHeight="1" x14ac:dyDescent="0.4">
      <c r="A43" s="11">
        <v>14</v>
      </c>
      <c r="B43" s="11" t="s">
        <v>1156</v>
      </c>
      <c r="C43" s="11">
        <v>8934</v>
      </c>
      <c r="D43" s="11">
        <v>4428</v>
      </c>
      <c r="E43" s="11">
        <v>4506</v>
      </c>
      <c r="G43"/>
    </row>
    <row r="44" spans="1:7" ht="24.75" customHeight="1" x14ac:dyDescent="0.4">
      <c r="A44" s="11">
        <v>15</v>
      </c>
      <c r="B44" s="11" t="s">
        <v>1157</v>
      </c>
      <c r="C44" s="11">
        <v>2730</v>
      </c>
      <c r="D44" s="11">
        <v>1345</v>
      </c>
      <c r="E44" s="11">
        <v>1385</v>
      </c>
      <c r="G44"/>
    </row>
    <row r="45" spans="1:7" ht="24.75" customHeight="1" x14ac:dyDescent="0.4">
      <c r="A45" s="11">
        <v>16</v>
      </c>
      <c r="B45" s="11" t="s">
        <v>472</v>
      </c>
      <c r="C45" s="11">
        <v>2824</v>
      </c>
      <c r="D45" s="11">
        <v>1409</v>
      </c>
      <c r="E45" s="11">
        <v>1415</v>
      </c>
      <c r="G45"/>
    </row>
    <row r="46" spans="1:7" ht="24.75" customHeight="1" x14ac:dyDescent="0.4">
      <c r="A46" s="11">
        <v>17</v>
      </c>
      <c r="B46" s="11" t="s">
        <v>1158</v>
      </c>
      <c r="C46" s="11">
        <v>1429</v>
      </c>
      <c r="D46" s="11">
        <v>705</v>
      </c>
      <c r="E46" s="11">
        <v>724</v>
      </c>
      <c r="G46"/>
    </row>
    <row r="47" spans="1:7" ht="24.75" customHeight="1" x14ac:dyDescent="0.4">
      <c r="A47" s="11">
        <v>18</v>
      </c>
      <c r="B47" s="11" t="s">
        <v>1159</v>
      </c>
      <c r="C47" s="11">
        <v>995</v>
      </c>
      <c r="D47" s="11">
        <v>484</v>
      </c>
      <c r="E47" s="11">
        <v>511</v>
      </c>
      <c r="G47"/>
    </row>
    <row r="48" spans="1:7" ht="24.75" customHeight="1" x14ac:dyDescent="0.4">
      <c r="A48" s="11">
        <v>19</v>
      </c>
      <c r="B48" s="11" t="s">
        <v>1160</v>
      </c>
      <c r="C48" s="11">
        <v>3024</v>
      </c>
      <c r="D48" s="11">
        <v>1455</v>
      </c>
      <c r="E48" s="11">
        <v>1569</v>
      </c>
      <c r="G48"/>
    </row>
    <row r="49" spans="1:7" ht="24.75" customHeight="1" x14ac:dyDescent="0.4">
      <c r="A49" s="11">
        <v>20</v>
      </c>
      <c r="B49" s="11" t="s">
        <v>1161</v>
      </c>
      <c r="C49" s="11">
        <v>3214</v>
      </c>
      <c r="D49" s="11">
        <v>1565</v>
      </c>
      <c r="E49" s="11">
        <v>1649</v>
      </c>
      <c r="G49"/>
    </row>
    <row r="50" spans="1:7" ht="24.75" customHeight="1" x14ac:dyDescent="0.4">
      <c r="A50" s="11">
        <v>21</v>
      </c>
      <c r="B50" s="11" t="s">
        <v>1162</v>
      </c>
      <c r="C50" s="11">
        <v>4984</v>
      </c>
      <c r="D50" s="11">
        <v>2534</v>
      </c>
      <c r="E50" s="11">
        <v>2450</v>
      </c>
      <c r="G50"/>
    </row>
    <row r="51" spans="1:7" ht="24.75" customHeight="1" x14ac:dyDescent="0.4">
      <c r="A51" s="11">
        <v>22</v>
      </c>
      <c r="B51" s="11" t="s">
        <v>1163</v>
      </c>
      <c r="C51" s="11">
        <v>4325</v>
      </c>
      <c r="D51" s="11">
        <v>2154</v>
      </c>
      <c r="E51" s="11">
        <v>2171</v>
      </c>
      <c r="G51"/>
    </row>
    <row r="52" spans="1:7" ht="24.75" customHeight="1" x14ac:dyDescent="0.4">
      <c r="A52" s="11">
        <v>23</v>
      </c>
      <c r="B52" s="11" t="s">
        <v>1164</v>
      </c>
      <c r="C52" s="11">
        <v>1872</v>
      </c>
      <c r="D52" s="11">
        <v>912</v>
      </c>
      <c r="E52" s="11">
        <v>960</v>
      </c>
      <c r="G52"/>
    </row>
    <row r="53" spans="1:7" ht="24.75" customHeight="1" x14ac:dyDescent="0.4">
      <c r="A53" s="11">
        <v>24</v>
      </c>
      <c r="B53" s="11" t="s">
        <v>284</v>
      </c>
      <c r="C53" s="11">
        <v>4556</v>
      </c>
      <c r="D53" s="11">
        <v>2426</v>
      </c>
      <c r="E53" s="11">
        <v>2130</v>
      </c>
      <c r="G53"/>
    </row>
    <row r="54" spans="1:7" ht="24.75" customHeight="1" x14ac:dyDescent="0.4">
      <c r="A54" s="11">
        <v>25</v>
      </c>
      <c r="B54" s="11" t="s">
        <v>1165</v>
      </c>
      <c r="C54" s="11">
        <v>1525</v>
      </c>
      <c r="D54" s="11">
        <v>731</v>
      </c>
      <c r="E54" s="11">
        <v>794</v>
      </c>
      <c r="G54"/>
    </row>
    <row r="55" spans="1:7" ht="24.75" customHeight="1" x14ac:dyDescent="0.4">
      <c r="A55" s="11">
        <v>26</v>
      </c>
      <c r="B55" s="11" t="s">
        <v>450</v>
      </c>
      <c r="C55" s="11">
        <v>2914</v>
      </c>
      <c r="D55" s="11">
        <v>1544</v>
      </c>
      <c r="E55" s="11">
        <v>1370</v>
      </c>
      <c r="G55"/>
    </row>
    <row r="56" spans="1:7" ht="24.75" customHeight="1" x14ac:dyDescent="0.4">
      <c r="A56" s="11">
        <v>27</v>
      </c>
      <c r="B56" s="11" t="s">
        <v>1166</v>
      </c>
      <c r="C56" s="11">
        <v>8185</v>
      </c>
      <c r="D56" s="11">
        <v>4034</v>
      </c>
      <c r="E56" s="11">
        <v>4151</v>
      </c>
      <c r="G56"/>
    </row>
    <row r="57" spans="1:7" ht="24.75" customHeight="1" x14ac:dyDescent="0.4">
      <c r="A57" s="11">
        <v>28</v>
      </c>
      <c r="B57" s="11" t="s">
        <v>1167</v>
      </c>
      <c r="C57" s="11">
        <v>9152</v>
      </c>
      <c r="D57" s="11">
        <v>4321</v>
      </c>
      <c r="E57" s="11">
        <v>4831</v>
      </c>
      <c r="G57"/>
    </row>
    <row r="58" spans="1:7" ht="24.75" customHeight="1" x14ac:dyDescent="0.4">
      <c r="A58" s="11">
        <v>29</v>
      </c>
      <c r="B58" s="11" t="s">
        <v>1168</v>
      </c>
      <c r="C58" s="11">
        <v>1035</v>
      </c>
      <c r="D58" s="11">
        <v>528</v>
      </c>
      <c r="E58" s="11">
        <v>507</v>
      </c>
      <c r="G58"/>
    </row>
    <row r="59" spans="1:7" ht="24.75" customHeight="1" x14ac:dyDescent="0.4">
      <c r="A59" s="11">
        <v>30</v>
      </c>
      <c r="B59" s="11" t="s">
        <v>187</v>
      </c>
      <c r="C59" s="11">
        <v>1918</v>
      </c>
      <c r="D59" s="11">
        <v>978</v>
      </c>
      <c r="E59" s="11">
        <v>940</v>
      </c>
      <c r="G59"/>
    </row>
    <row r="60" spans="1:7" ht="24.75" customHeight="1" x14ac:dyDescent="0.4">
      <c r="A60" s="11">
        <v>31</v>
      </c>
      <c r="B60" s="11" t="s">
        <v>1169</v>
      </c>
      <c r="C60" s="11">
        <v>2655</v>
      </c>
      <c r="D60" s="11">
        <v>1372</v>
      </c>
      <c r="E60" s="11">
        <v>1283</v>
      </c>
      <c r="G60"/>
    </row>
    <row r="61" spans="1:7" ht="24.75" customHeight="1" x14ac:dyDescent="0.4">
      <c r="A61" s="11">
        <v>32</v>
      </c>
      <c r="B61" s="11" t="s">
        <v>1170</v>
      </c>
      <c r="C61" s="11">
        <v>2990</v>
      </c>
      <c r="D61" s="11">
        <v>1465</v>
      </c>
      <c r="E61" s="11">
        <v>1525</v>
      </c>
      <c r="G61"/>
    </row>
    <row r="62" spans="1:7" ht="24.75" customHeight="1" x14ac:dyDescent="0.4">
      <c r="A62" s="11">
        <v>33</v>
      </c>
      <c r="B62" s="11" t="s">
        <v>1171</v>
      </c>
      <c r="C62" s="11">
        <v>11426</v>
      </c>
      <c r="D62" s="11">
        <v>5464</v>
      </c>
      <c r="E62" s="11">
        <v>5962</v>
      </c>
      <c r="G62"/>
    </row>
    <row r="63" spans="1:7" ht="24.75" customHeight="1" x14ac:dyDescent="0.4">
      <c r="A63" s="11">
        <v>34</v>
      </c>
      <c r="B63" s="11" t="s">
        <v>1172</v>
      </c>
      <c r="C63" s="11">
        <v>6376</v>
      </c>
      <c r="D63" s="11">
        <v>3093</v>
      </c>
      <c r="E63" s="11">
        <v>3283</v>
      </c>
      <c r="G63"/>
    </row>
    <row r="64" spans="1:7" ht="24.75" customHeight="1" x14ac:dyDescent="0.4">
      <c r="A64" s="11">
        <v>35</v>
      </c>
      <c r="B64" s="11" t="s">
        <v>1173</v>
      </c>
      <c r="C64" s="11">
        <v>6940</v>
      </c>
      <c r="D64" s="11">
        <v>3274</v>
      </c>
      <c r="E64" s="11">
        <v>3666</v>
      </c>
      <c r="G64"/>
    </row>
    <row r="65" spans="1:7" ht="24.75" customHeight="1" x14ac:dyDescent="0.4">
      <c r="A65" s="11">
        <v>36</v>
      </c>
      <c r="B65" s="11" t="s">
        <v>1174</v>
      </c>
      <c r="C65" s="11">
        <v>3379</v>
      </c>
      <c r="D65" s="11">
        <v>1597</v>
      </c>
      <c r="E65" s="11">
        <v>1782</v>
      </c>
      <c r="G65"/>
    </row>
    <row r="66" spans="1:7" ht="24.75" customHeight="1" x14ac:dyDescent="0.4">
      <c r="A66" s="11">
        <v>37</v>
      </c>
      <c r="B66" s="11" t="s">
        <v>1175</v>
      </c>
      <c r="C66" s="11">
        <v>770</v>
      </c>
      <c r="D66" s="11">
        <v>369</v>
      </c>
      <c r="E66" s="11">
        <v>401</v>
      </c>
      <c r="G66"/>
    </row>
    <row r="67" spans="1:7" ht="24.75" customHeight="1" x14ac:dyDescent="0.4">
      <c r="A67" s="11">
        <v>38</v>
      </c>
      <c r="B67" s="11" t="s">
        <v>328</v>
      </c>
      <c r="C67" s="11">
        <v>3282</v>
      </c>
      <c r="D67" s="11">
        <v>1591</v>
      </c>
      <c r="E67" s="11">
        <v>1691</v>
      </c>
      <c r="G67"/>
    </row>
    <row r="68" spans="1:7" ht="24.75" customHeight="1" x14ac:dyDescent="0.4">
      <c r="A68" s="11">
        <v>39</v>
      </c>
      <c r="B68" s="11" t="s">
        <v>1176</v>
      </c>
      <c r="C68" s="11">
        <v>2170</v>
      </c>
      <c r="D68" s="11">
        <v>1048</v>
      </c>
      <c r="E68" s="11">
        <v>1122</v>
      </c>
      <c r="G68"/>
    </row>
    <row r="69" spans="1:7" ht="24.75" customHeight="1" x14ac:dyDescent="0.4">
      <c r="A69" s="11">
        <v>40</v>
      </c>
      <c r="B69" s="11" t="s">
        <v>1177</v>
      </c>
      <c r="C69" s="11">
        <v>13347</v>
      </c>
      <c r="D69" s="11">
        <v>6437</v>
      </c>
      <c r="E69" s="11">
        <v>6910</v>
      </c>
      <c r="G69"/>
    </row>
    <row r="70" spans="1:7" ht="24.75" customHeight="1" x14ac:dyDescent="0.4">
      <c r="A70" s="12">
        <v>41</v>
      </c>
      <c r="B70" s="12" t="s">
        <v>1178</v>
      </c>
      <c r="C70" s="12">
        <v>3006</v>
      </c>
      <c r="D70" s="12">
        <v>1490</v>
      </c>
      <c r="E70" s="12">
        <v>1516</v>
      </c>
      <c r="G7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lay District , Kalay Township"/>
  </hyperlinks>
  <pageMargins left="0.75" right="0.5" top="0.5" bottom="0.2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>
      <selection sqref="A1:E1"/>
    </sheetView>
  </sheetViews>
  <sheetFormatPr defaultRowHeight="24.75" customHeight="1" x14ac:dyDescent="0.4"/>
  <cols>
    <col min="1" max="1" width="5.140625" style="4" customWidth="1"/>
    <col min="2" max="2" width="34" style="4" customWidth="1"/>
    <col min="3" max="5" width="15.7109375" style="4" customWidth="1"/>
    <col min="6" max="16384" width="9.140625" style="4"/>
  </cols>
  <sheetData>
    <row r="1" spans="1:7" ht="24.75" customHeight="1" x14ac:dyDescent="0.4">
      <c r="A1" s="67" t="s">
        <v>1749</v>
      </c>
      <c r="B1" s="67"/>
      <c r="C1" s="67"/>
      <c r="D1" s="67"/>
      <c r="E1" s="67"/>
    </row>
    <row r="2" spans="1:7" ht="24.75" customHeight="1" x14ac:dyDescent="0.4">
      <c r="A2" s="2"/>
      <c r="B2" s="7"/>
      <c r="C2" s="7"/>
      <c r="D2" s="7"/>
      <c r="E2" s="56" t="s">
        <v>1722</v>
      </c>
    </row>
    <row r="3" spans="1:7" ht="24.75" customHeight="1" x14ac:dyDescent="0.4">
      <c r="A3" s="2"/>
      <c r="B3" s="7"/>
      <c r="C3" s="7"/>
      <c r="D3" s="7"/>
      <c r="E3" s="56"/>
    </row>
    <row r="4" spans="1:7" ht="10.5" customHeight="1" x14ac:dyDescent="0.4">
      <c r="A4" s="2"/>
      <c r="B4" s="7"/>
      <c r="C4" s="7"/>
      <c r="D4" s="7"/>
      <c r="E4" s="7"/>
    </row>
    <row r="5" spans="1:7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7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7" ht="24.75" customHeight="1" x14ac:dyDescent="0.4">
      <c r="A7" s="9"/>
      <c r="B7" s="9" t="s">
        <v>1772</v>
      </c>
      <c r="C7" s="9">
        <f>C9+C13</f>
        <v>56432</v>
      </c>
      <c r="D7" s="9">
        <f t="shared" ref="D7:E7" si="0">D9+D13</f>
        <v>27715</v>
      </c>
      <c r="E7" s="9">
        <f t="shared" si="0"/>
        <v>28717</v>
      </c>
      <c r="G7" s="14"/>
    </row>
    <row r="8" spans="1:7" ht="10.5" customHeight="1" x14ac:dyDescent="0.4">
      <c r="A8" s="10"/>
      <c r="B8" s="35"/>
      <c r="C8" s="35"/>
      <c r="D8" s="35"/>
      <c r="E8" s="35"/>
      <c r="G8" s="14"/>
    </row>
    <row r="9" spans="1:7" ht="24.75" customHeight="1" x14ac:dyDescent="0.4">
      <c r="A9" s="10"/>
      <c r="B9" s="10" t="s">
        <v>1725</v>
      </c>
      <c r="C9" s="10">
        <f>SUM(C10:C12)</f>
        <v>8819</v>
      </c>
      <c r="D9" s="10">
        <f t="shared" ref="D9:E9" si="1">SUM(D10:D12)</f>
        <v>4168</v>
      </c>
      <c r="E9" s="10">
        <f t="shared" si="1"/>
        <v>4651</v>
      </c>
      <c r="G9" s="14"/>
    </row>
    <row r="10" spans="1:7" ht="24.75" customHeight="1" x14ac:dyDescent="0.4">
      <c r="A10" s="11">
        <v>1</v>
      </c>
      <c r="B10" s="11" t="s">
        <v>1179</v>
      </c>
      <c r="C10" s="11">
        <v>3152</v>
      </c>
      <c r="D10" s="11">
        <v>1487</v>
      </c>
      <c r="E10" s="11">
        <v>1665</v>
      </c>
      <c r="G10" s="14"/>
    </row>
    <row r="11" spans="1:7" ht="24.75" customHeight="1" x14ac:dyDescent="0.4">
      <c r="A11" s="11">
        <v>2</v>
      </c>
      <c r="B11" s="11" t="s">
        <v>1180</v>
      </c>
      <c r="C11" s="11">
        <v>3970</v>
      </c>
      <c r="D11" s="11">
        <v>1862</v>
      </c>
      <c r="E11" s="11">
        <v>2108</v>
      </c>
      <c r="G11" s="14"/>
    </row>
    <row r="12" spans="1:7" ht="24.75" customHeight="1" x14ac:dyDescent="0.4">
      <c r="A12" s="11">
        <v>3</v>
      </c>
      <c r="B12" s="11" t="s">
        <v>1181</v>
      </c>
      <c r="C12" s="11">
        <v>1697</v>
      </c>
      <c r="D12" s="11">
        <v>819</v>
      </c>
      <c r="E12" s="11">
        <v>878</v>
      </c>
      <c r="G12" s="14"/>
    </row>
    <row r="13" spans="1:7" ht="24.75" customHeight="1" x14ac:dyDescent="0.4">
      <c r="A13" s="11"/>
      <c r="B13" s="10" t="s">
        <v>1773</v>
      </c>
      <c r="C13" s="10">
        <f>SUM(C14:C49)</f>
        <v>47613</v>
      </c>
      <c r="D13" s="10">
        <f t="shared" ref="D13:E13" si="2">SUM(D14:D49)</f>
        <v>23547</v>
      </c>
      <c r="E13" s="10">
        <f t="shared" si="2"/>
        <v>24066</v>
      </c>
      <c r="G13" s="14"/>
    </row>
    <row r="14" spans="1:7" ht="24.75" customHeight="1" x14ac:dyDescent="0.4">
      <c r="A14" s="11">
        <v>1</v>
      </c>
      <c r="B14" s="11" t="s">
        <v>1182</v>
      </c>
      <c r="C14" s="11">
        <v>2548</v>
      </c>
      <c r="D14" s="11">
        <v>1228</v>
      </c>
      <c r="E14" s="11">
        <v>1320</v>
      </c>
      <c r="G14" s="14"/>
    </row>
    <row r="15" spans="1:7" ht="24.75" customHeight="1" x14ac:dyDescent="0.4">
      <c r="A15" s="11">
        <v>2</v>
      </c>
      <c r="B15" s="11" t="s">
        <v>1183</v>
      </c>
      <c r="C15" s="11">
        <v>517</v>
      </c>
      <c r="D15" s="11">
        <v>258</v>
      </c>
      <c r="E15" s="11">
        <v>259</v>
      </c>
      <c r="G15" s="14"/>
    </row>
    <row r="16" spans="1:7" ht="24.75" customHeight="1" x14ac:dyDescent="0.4">
      <c r="A16" s="11">
        <v>3</v>
      </c>
      <c r="B16" s="11" t="s">
        <v>1184</v>
      </c>
      <c r="C16" s="11">
        <v>560</v>
      </c>
      <c r="D16" s="11">
        <v>265</v>
      </c>
      <c r="E16" s="11">
        <v>295</v>
      </c>
      <c r="G16" s="14"/>
    </row>
    <row r="17" spans="1:7" ht="24.75" customHeight="1" x14ac:dyDescent="0.4">
      <c r="A17" s="11">
        <v>4</v>
      </c>
      <c r="B17" s="11" t="s">
        <v>291</v>
      </c>
      <c r="C17" s="11">
        <v>1376</v>
      </c>
      <c r="D17" s="11">
        <v>649</v>
      </c>
      <c r="E17" s="11">
        <v>727</v>
      </c>
      <c r="G17" s="14"/>
    </row>
    <row r="18" spans="1:7" ht="24.75" customHeight="1" x14ac:dyDescent="0.4">
      <c r="A18" s="11">
        <v>5</v>
      </c>
      <c r="B18" s="11" t="s">
        <v>363</v>
      </c>
      <c r="C18" s="11">
        <v>1955</v>
      </c>
      <c r="D18" s="11">
        <v>936</v>
      </c>
      <c r="E18" s="11">
        <v>1019</v>
      </c>
      <c r="G18" s="14"/>
    </row>
    <row r="19" spans="1:7" ht="24.75" customHeight="1" x14ac:dyDescent="0.4">
      <c r="A19" s="11">
        <v>6</v>
      </c>
      <c r="B19" s="11" t="s">
        <v>1185</v>
      </c>
      <c r="C19" s="11">
        <v>3897</v>
      </c>
      <c r="D19" s="11">
        <v>2013</v>
      </c>
      <c r="E19" s="11">
        <v>1884</v>
      </c>
      <c r="G19" s="14"/>
    </row>
    <row r="20" spans="1:7" ht="24.75" customHeight="1" x14ac:dyDescent="0.4">
      <c r="A20" s="11">
        <v>7</v>
      </c>
      <c r="B20" s="11" t="s">
        <v>487</v>
      </c>
      <c r="C20" s="11">
        <v>3478</v>
      </c>
      <c r="D20" s="11">
        <v>1745</v>
      </c>
      <c r="E20" s="11">
        <v>1733</v>
      </c>
      <c r="G20" s="14"/>
    </row>
    <row r="21" spans="1:7" ht="24.75" customHeight="1" x14ac:dyDescent="0.4">
      <c r="A21" s="11">
        <v>8</v>
      </c>
      <c r="B21" s="11" t="s">
        <v>1186</v>
      </c>
      <c r="C21" s="11">
        <v>991</v>
      </c>
      <c r="D21" s="11">
        <v>497</v>
      </c>
      <c r="E21" s="11">
        <v>494</v>
      </c>
      <c r="G21" s="14"/>
    </row>
    <row r="22" spans="1:7" ht="24.75" customHeight="1" x14ac:dyDescent="0.4">
      <c r="A22" s="11">
        <v>9</v>
      </c>
      <c r="B22" s="11" t="s">
        <v>1016</v>
      </c>
      <c r="C22" s="11">
        <v>1052</v>
      </c>
      <c r="D22" s="11">
        <v>521</v>
      </c>
      <c r="E22" s="11">
        <v>531</v>
      </c>
      <c r="G22" s="14"/>
    </row>
    <row r="23" spans="1:7" ht="24.75" customHeight="1" x14ac:dyDescent="0.4">
      <c r="A23" s="11">
        <v>10</v>
      </c>
      <c r="B23" s="11" t="s">
        <v>1187</v>
      </c>
      <c r="C23" s="11">
        <v>745</v>
      </c>
      <c r="D23" s="11">
        <v>356</v>
      </c>
      <c r="E23" s="11">
        <v>389</v>
      </c>
      <c r="G23" s="14"/>
    </row>
    <row r="24" spans="1:7" ht="24.75" customHeight="1" x14ac:dyDescent="0.4">
      <c r="A24" s="11">
        <v>11</v>
      </c>
      <c r="B24" s="11" t="s">
        <v>1188</v>
      </c>
      <c r="C24" s="11">
        <v>1095</v>
      </c>
      <c r="D24" s="11">
        <v>545</v>
      </c>
      <c r="E24" s="11">
        <v>550</v>
      </c>
      <c r="G24" s="14"/>
    </row>
    <row r="25" spans="1:7" ht="24.75" customHeight="1" x14ac:dyDescent="0.4">
      <c r="A25" s="11">
        <v>12</v>
      </c>
      <c r="B25" s="11" t="s">
        <v>1189</v>
      </c>
      <c r="C25" s="11">
        <v>1196</v>
      </c>
      <c r="D25" s="11">
        <v>563</v>
      </c>
      <c r="E25" s="11">
        <v>633</v>
      </c>
      <c r="G25" s="14"/>
    </row>
    <row r="26" spans="1:7" ht="24.75" customHeight="1" x14ac:dyDescent="0.4">
      <c r="A26" s="11">
        <v>13</v>
      </c>
      <c r="B26" s="11" t="s">
        <v>1190</v>
      </c>
      <c r="C26" s="11">
        <v>1130</v>
      </c>
      <c r="D26" s="11">
        <v>576</v>
      </c>
      <c r="E26" s="11">
        <v>554</v>
      </c>
      <c r="G26" s="14"/>
    </row>
    <row r="27" spans="1:7" ht="24.75" customHeight="1" x14ac:dyDescent="0.4">
      <c r="A27" s="11">
        <v>14</v>
      </c>
      <c r="B27" s="11" t="s">
        <v>1191</v>
      </c>
      <c r="C27" s="11">
        <v>553</v>
      </c>
      <c r="D27" s="11">
        <v>261</v>
      </c>
      <c r="E27" s="11">
        <v>292</v>
      </c>
      <c r="G27" s="14"/>
    </row>
    <row r="28" spans="1:7" ht="24.75" customHeight="1" x14ac:dyDescent="0.4">
      <c r="A28" s="11">
        <v>15</v>
      </c>
      <c r="B28" s="11" t="s">
        <v>506</v>
      </c>
      <c r="C28" s="11">
        <v>347</v>
      </c>
      <c r="D28" s="11">
        <v>159</v>
      </c>
      <c r="E28" s="11">
        <v>188</v>
      </c>
      <c r="G28" s="14"/>
    </row>
    <row r="29" spans="1:7" ht="24.75" customHeight="1" x14ac:dyDescent="0.4">
      <c r="A29" s="11">
        <v>16</v>
      </c>
      <c r="B29" s="11" t="s">
        <v>1192</v>
      </c>
      <c r="C29" s="11">
        <v>353</v>
      </c>
      <c r="D29" s="11">
        <v>167</v>
      </c>
      <c r="E29" s="11">
        <v>186</v>
      </c>
      <c r="G29" s="14"/>
    </row>
    <row r="30" spans="1:7" ht="24.75" customHeight="1" x14ac:dyDescent="0.4">
      <c r="A30" s="11">
        <v>17</v>
      </c>
      <c r="B30" s="11" t="s">
        <v>1193</v>
      </c>
      <c r="C30" s="11">
        <v>1127</v>
      </c>
      <c r="D30" s="11">
        <v>511</v>
      </c>
      <c r="E30" s="11">
        <v>616</v>
      </c>
      <c r="G30" s="14"/>
    </row>
    <row r="31" spans="1:7" ht="24.75" customHeight="1" x14ac:dyDescent="0.4">
      <c r="A31" s="11">
        <v>18</v>
      </c>
      <c r="B31" s="11" t="s">
        <v>1194</v>
      </c>
      <c r="C31" s="11">
        <v>1174</v>
      </c>
      <c r="D31" s="11">
        <v>610</v>
      </c>
      <c r="E31" s="11">
        <v>564</v>
      </c>
      <c r="G31" s="14"/>
    </row>
    <row r="32" spans="1:7" ht="24.75" customHeight="1" x14ac:dyDescent="0.4">
      <c r="A32" s="11">
        <v>19</v>
      </c>
      <c r="B32" s="11" t="s">
        <v>1195</v>
      </c>
      <c r="C32" s="11">
        <v>1506</v>
      </c>
      <c r="D32" s="11">
        <v>750</v>
      </c>
      <c r="E32" s="11">
        <v>756</v>
      </c>
      <c r="G32" s="14"/>
    </row>
    <row r="33" spans="1:7" ht="24.75" customHeight="1" x14ac:dyDescent="0.4">
      <c r="A33" s="11">
        <v>20</v>
      </c>
      <c r="B33" s="11" t="s">
        <v>612</v>
      </c>
      <c r="C33" s="11">
        <v>795</v>
      </c>
      <c r="D33" s="11">
        <v>398</v>
      </c>
      <c r="E33" s="11">
        <v>397</v>
      </c>
      <c r="G33" s="14"/>
    </row>
    <row r="34" spans="1:7" ht="24.75" customHeight="1" x14ac:dyDescent="0.4">
      <c r="A34" s="11">
        <v>21</v>
      </c>
      <c r="B34" s="11" t="s">
        <v>1196</v>
      </c>
      <c r="C34" s="11">
        <v>1192</v>
      </c>
      <c r="D34" s="11">
        <v>616</v>
      </c>
      <c r="E34" s="11">
        <v>576</v>
      </c>
      <c r="G34" s="14"/>
    </row>
    <row r="35" spans="1:7" ht="24.75" customHeight="1" x14ac:dyDescent="0.4">
      <c r="A35" s="11">
        <v>22</v>
      </c>
      <c r="B35" s="11" t="s">
        <v>1197</v>
      </c>
      <c r="C35" s="11">
        <v>639</v>
      </c>
      <c r="D35" s="11">
        <v>311</v>
      </c>
      <c r="E35" s="11">
        <v>328</v>
      </c>
      <c r="G35" s="14"/>
    </row>
    <row r="36" spans="1:7" ht="24.75" customHeight="1" x14ac:dyDescent="0.4">
      <c r="A36" s="11">
        <v>23</v>
      </c>
      <c r="B36" s="11" t="s">
        <v>1198</v>
      </c>
      <c r="C36" s="11">
        <v>696</v>
      </c>
      <c r="D36" s="11">
        <v>335</v>
      </c>
      <c r="E36" s="11">
        <v>361</v>
      </c>
      <c r="G36" s="14"/>
    </row>
    <row r="37" spans="1:7" ht="24.75" customHeight="1" x14ac:dyDescent="0.4">
      <c r="A37" s="11">
        <v>24</v>
      </c>
      <c r="B37" s="11" t="s">
        <v>1199</v>
      </c>
      <c r="C37" s="11">
        <v>790</v>
      </c>
      <c r="D37" s="11">
        <v>385</v>
      </c>
      <c r="E37" s="11">
        <v>405</v>
      </c>
      <c r="G37" s="14"/>
    </row>
    <row r="38" spans="1:7" ht="24.75" customHeight="1" x14ac:dyDescent="0.4">
      <c r="A38" s="11">
        <v>25</v>
      </c>
      <c r="B38" s="11" t="s">
        <v>1200</v>
      </c>
      <c r="C38" s="11">
        <v>1119</v>
      </c>
      <c r="D38" s="11">
        <v>516</v>
      </c>
      <c r="E38" s="11">
        <v>603</v>
      </c>
      <c r="G38" s="14"/>
    </row>
    <row r="39" spans="1:7" ht="24.75" customHeight="1" x14ac:dyDescent="0.4">
      <c r="A39" s="11">
        <v>26</v>
      </c>
      <c r="B39" s="11" t="s">
        <v>1201</v>
      </c>
      <c r="C39" s="11">
        <v>1636</v>
      </c>
      <c r="D39" s="11">
        <v>808</v>
      </c>
      <c r="E39" s="11">
        <v>828</v>
      </c>
      <c r="G39" s="14"/>
    </row>
    <row r="40" spans="1:7" ht="24.75" customHeight="1" x14ac:dyDescent="0.4">
      <c r="A40" s="11">
        <v>27</v>
      </c>
      <c r="B40" s="11" t="s">
        <v>328</v>
      </c>
      <c r="C40" s="11">
        <v>949</v>
      </c>
      <c r="D40" s="11">
        <v>545</v>
      </c>
      <c r="E40" s="11">
        <v>404</v>
      </c>
      <c r="G40" s="14"/>
    </row>
    <row r="41" spans="1:7" ht="24.75" customHeight="1" x14ac:dyDescent="0.4">
      <c r="A41" s="11">
        <v>28</v>
      </c>
      <c r="B41" s="11" t="s">
        <v>1202</v>
      </c>
      <c r="C41" s="11">
        <v>387</v>
      </c>
      <c r="D41" s="11">
        <v>173</v>
      </c>
      <c r="E41" s="11">
        <v>214</v>
      </c>
      <c r="G41" s="14"/>
    </row>
    <row r="42" spans="1:7" ht="24.75" customHeight="1" x14ac:dyDescent="0.4">
      <c r="A42" s="11">
        <v>29</v>
      </c>
      <c r="B42" s="11" t="s">
        <v>1100</v>
      </c>
      <c r="C42" s="11">
        <v>938</v>
      </c>
      <c r="D42" s="11">
        <v>439</v>
      </c>
      <c r="E42" s="11">
        <v>499</v>
      </c>
      <c r="G42" s="14"/>
    </row>
    <row r="43" spans="1:7" ht="24.75" customHeight="1" x14ac:dyDescent="0.4">
      <c r="A43" s="11">
        <v>30</v>
      </c>
      <c r="B43" s="11" t="s">
        <v>1203</v>
      </c>
      <c r="C43" s="11">
        <v>743</v>
      </c>
      <c r="D43" s="11">
        <v>384</v>
      </c>
      <c r="E43" s="11">
        <v>359</v>
      </c>
      <c r="G43" s="14"/>
    </row>
    <row r="44" spans="1:7" ht="24.75" customHeight="1" x14ac:dyDescent="0.4">
      <c r="A44" s="11">
        <v>31</v>
      </c>
      <c r="B44" s="11" t="s">
        <v>1204</v>
      </c>
      <c r="C44" s="11">
        <v>1817</v>
      </c>
      <c r="D44" s="11">
        <v>934</v>
      </c>
      <c r="E44" s="11">
        <v>883</v>
      </c>
      <c r="G44" s="14"/>
    </row>
    <row r="45" spans="1:7" ht="24.75" customHeight="1" x14ac:dyDescent="0.4">
      <c r="A45" s="11">
        <v>32</v>
      </c>
      <c r="B45" s="11" t="s">
        <v>1205</v>
      </c>
      <c r="C45" s="11">
        <v>3038</v>
      </c>
      <c r="D45" s="11">
        <v>1464</v>
      </c>
      <c r="E45" s="11">
        <v>1574</v>
      </c>
      <c r="G45" s="14"/>
    </row>
    <row r="46" spans="1:7" ht="24.75" customHeight="1" x14ac:dyDescent="0.4">
      <c r="A46" s="11">
        <v>33</v>
      </c>
      <c r="B46" s="11" t="s">
        <v>1206</v>
      </c>
      <c r="C46" s="11">
        <v>1174</v>
      </c>
      <c r="D46" s="11">
        <v>576</v>
      </c>
      <c r="E46" s="11">
        <v>598</v>
      </c>
      <c r="G46" s="14"/>
    </row>
    <row r="47" spans="1:7" ht="24.75" customHeight="1" x14ac:dyDescent="0.4">
      <c r="A47" s="11">
        <v>34</v>
      </c>
      <c r="B47" s="11" t="s">
        <v>1207</v>
      </c>
      <c r="C47" s="11">
        <v>988</v>
      </c>
      <c r="D47" s="11">
        <v>481</v>
      </c>
      <c r="E47" s="11">
        <v>507</v>
      </c>
      <c r="G47" s="14"/>
    </row>
    <row r="48" spans="1:7" ht="24.75" customHeight="1" x14ac:dyDescent="0.4">
      <c r="A48" s="11">
        <v>35</v>
      </c>
      <c r="B48" s="11" t="s">
        <v>1208</v>
      </c>
      <c r="C48" s="11">
        <v>3537</v>
      </c>
      <c r="D48" s="11">
        <v>1751</v>
      </c>
      <c r="E48" s="11">
        <v>1786</v>
      </c>
      <c r="G48" s="14"/>
    </row>
    <row r="49" spans="1:7" ht="24.75" customHeight="1" x14ac:dyDescent="0.4">
      <c r="A49" s="12">
        <v>36</v>
      </c>
      <c r="B49" s="12" t="s">
        <v>1209</v>
      </c>
      <c r="C49" s="12">
        <v>1575</v>
      </c>
      <c r="D49" s="12">
        <v>821</v>
      </c>
      <c r="E49" s="12">
        <v>754</v>
      </c>
      <c r="G49" s="14"/>
    </row>
    <row r="50" spans="1:7" ht="24.75" customHeight="1" x14ac:dyDescent="0.4">
      <c r="A50" s="18"/>
      <c r="B50" s="18"/>
      <c r="C50" s="18"/>
      <c r="D50" s="18"/>
      <c r="E50" s="18"/>
    </row>
    <row r="51" spans="1:7" ht="24.75" customHeight="1" x14ac:dyDescent="0.4">
      <c r="A51" s="20"/>
      <c r="B51" s="20"/>
      <c r="C51" s="20"/>
      <c r="D51" s="20"/>
      <c r="E51" s="20"/>
    </row>
    <row r="52" spans="1:7" ht="24.75" customHeight="1" x14ac:dyDescent="0.4">
      <c r="A52" s="20"/>
      <c r="B52" s="20"/>
      <c r="C52" s="20"/>
      <c r="D52" s="20"/>
      <c r="E52" s="20"/>
    </row>
    <row r="53" spans="1:7" ht="24.75" customHeight="1" x14ac:dyDescent="0.4">
      <c r="A53" s="20"/>
      <c r="B53" s="20"/>
      <c r="C53" s="20"/>
      <c r="D53" s="20"/>
      <c r="E53" s="20"/>
    </row>
    <row r="54" spans="1:7" ht="24.75" customHeight="1" x14ac:dyDescent="0.4">
      <c r="A54" s="20"/>
      <c r="B54" s="20"/>
      <c r="C54" s="20"/>
      <c r="D54" s="20"/>
      <c r="E54" s="20"/>
    </row>
    <row r="55" spans="1:7" ht="24.75" customHeight="1" x14ac:dyDescent="0.4">
      <c r="A55" s="20"/>
      <c r="B55" s="20"/>
      <c r="C55" s="20"/>
      <c r="D55" s="20"/>
      <c r="E55" s="20"/>
    </row>
    <row r="56" spans="1:7" ht="24.75" customHeight="1" x14ac:dyDescent="0.4">
      <c r="A56" s="20"/>
      <c r="B56" s="20"/>
      <c r="C56" s="20"/>
      <c r="D56" s="20"/>
      <c r="E56" s="20"/>
    </row>
    <row r="57" spans="1:7" ht="24.75" customHeight="1" x14ac:dyDescent="0.4">
      <c r="A57" s="20"/>
      <c r="B57" s="20"/>
      <c r="C57" s="20"/>
      <c r="D57" s="20"/>
      <c r="E57" s="20"/>
    </row>
    <row r="58" spans="1:7" ht="24.75" customHeight="1" x14ac:dyDescent="0.4">
      <c r="A58" s="20"/>
      <c r="B58" s="20"/>
      <c r="C58" s="20"/>
      <c r="D58" s="20"/>
      <c r="E58" s="20"/>
    </row>
    <row r="59" spans="1:7" ht="24.75" customHeight="1" x14ac:dyDescent="0.4">
      <c r="A59" s="20"/>
      <c r="B59" s="20"/>
      <c r="C59" s="20"/>
      <c r="D59" s="20"/>
      <c r="E59" s="20"/>
    </row>
    <row r="60" spans="1:7" ht="24.75" customHeight="1" x14ac:dyDescent="0.4">
      <c r="A60" s="20"/>
      <c r="B60" s="20"/>
      <c r="C60" s="20"/>
      <c r="D60" s="20"/>
      <c r="E60" s="20"/>
    </row>
    <row r="61" spans="1:7" ht="24.75" customHeight="1" x14ac:dyDescent="0.4">
      <c r="A61" s="20"/>
      <c r="B61" s="20"/>
      <c r="C61" s="20"/>
      <c r="D61" s="20"/>
      <c r="E61" s="20"/>
    </row>
    <row r="62" spans="1:7" ht="24.75" customHeight="1" x14ac:dyDescent="0.4">
      <c r="A62" s="20"/>
      <c r="B62" s="20"/>
      <c r="C62" s="20"/>
      <c r="D62" s="20"/>
      <c r="E62" s="20"/>
    </row>
    <row r="63" spans="1:7" ht="24.75" customHeight="1" x14ac:dyDescent="0.4">
      <c r="A63" s="20"/>
      <c r="B63" s="20"/>
      <c r="C63" s="20"/>
      <c r="D63" s="20"/>
      <c r="E63" s="20"/>
    </row>
    <row r="64" spans="1:7" ht="24.75" customHeight="1" x14ac:dyDescent="0.4">
      <c r="A64" s="20"/>
      <c r="B64" s="20"/>
      <c r="C64" s="20"/>
      <c r="D64" s="20"/>
      <c r="E64" s="20"/>
    </row>
    <row r="65" spans="1:5" ht="24.75" customHeight="1" x14ac:dyDescent="0.4">
      <c r="A65" s="20"/>
      <c r="B65" s="20"/>
      <c r="C65" s="20"/>
      <c r="D65" s="20"/>
      <c r="E65" s="20"/>
    </row>
    <row r="66" spans="1:5" ht="24.75" customHeight="1" x14ac:dyDescent="0.4">
      <c r="A66" s="20"/>
      <c r="B66" s="20"/>
      <c r="C66" s="20"/>
      <c r="D66" s="20"/>
      <c r="E66" s="20"/>
    </row>
    <row r="67" spans="1:5" ht="24.75" customHeight="1" x14ac:dyDescent="0.4">
      <c r="A67" s="20"/>
      <c r="B67" s="20"/>
      <c r="C67" s="20"/>
      <c r="D67" s="20"/>
      <c r="E67" s="20"/>
    </row>
    <row r="68" spans="1:5" ht="24.75" customHeight="1" x14ac:dyDescent="0.4">
      <c r="A68" s="20"/>
      <c r="B68" s="20"/>
      <c r="C68" s="20"/>
      <c r="D68" s="20"/>
      <c r="E68" s="20"/>
    </row>
    <row r="69" spans="1:5" ht="24.75" customHeight="1" x14ac:dyDescent="0.4">
      <c r="A69" s="20"/>
      <c r="B69" s="20"/>
      <c r="C69" s="20"/>
      <c r="D69" s="20"/>
      <c r="E69" s="20"/>
    </row>
    <row r="70" spans="1:5" ht="24.75" customHeight="1" x14ac:dyDescent="0.4">
      <c r="A70" s="20"/>
      <c r="B70" s="20"/>
      <c r="C70" s="20"/>
      <c r="D70" s="20"/>
      <c r="E70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lay District , Kalewa Township"/>
  </hyperlinks>
  <pageMargins left="0.75" right="0.5" top="0.5" bottom="0.2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Views>
    <sheetView workbookViewId="0">
      <selection sqref="A1:E1"/>
    </sheetView>
  </sheetViews>
  <sheetFormatPr defaultRowHeight="24.75" customHeight="1" x14ac:dyDescent="0.4"/>
  <cols>
    <col min="1" max="1" width="6.7109375" style="4" customWidth="1"/>
    <col min="2" max="2" width="36.5703125" style="4" customWidth="1"/>
    <col min="3" max="5" width="13.7109375" style="4" customWidth="1"/>
    <col min="6" max="16384" width="9.140625" style="4"/>
  </cols>
  <sheetData>
    <row r="1" spans="1:7" ht="24.75" customHeight="1" x14ac:dyDescent="0.4">
      <c r="A1" s="67" t="s">
        <v>1750</v>
      </c>
      <c r="B1" s="67"/>
      <c r="C1" s="67"/>
      <c r="D1" s="67"/>
      <c r="E1" s="67"/>
    </row>
    <row r="2" spans="1:7" ht="24.75" customHeight="1" x14ac:dyDescent="0.4">
      <c r="A2" s="2"/>
      <c r="B2" s="7"/>
      <c r="C2" s="7"/>
      <c r="D2" s="7"/>
      <c r="E2" s="56" t="s">
        <v>1722</v>
      </c>
    </row>
    <row r="3" spans="1:7" ht="24.75" customHeight="1" x14ac:dyDescent="0.4">
      <c r="A3" s="2"/>
      <c r="B3" s="7"/>
      <c r="C3" s="7"/>
      <c r="D3" s="7"/>
      <c r="E3" s="56"/>
    </row>
    <row r="4" spans="1:7" ht="10.5" customHeight="1" x14ac:dyDescent="0.4">
      <c r="A4" s="2"/>
      <c r="B4" s="7"/>
      <c r="C4" s="7"/>
      <c r="D4" s="7"/>
      <c r="E4" s="7"/>
    </row>
    <row r="5" spans="1:7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7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7" ht="24.75" customHeight="1" x14ac:dyDescent="0.4">
      <c r="A7" s="9"/>
      <c r="B7" s="9" t="s">
        <v>1772</v>
      </c>
      <c r="C7" s="9">
        <f>SUM(C9+C13)</f>
        <v>104363</v>
      </c>
      <c r="D7" s="9">
        <f t="shared" ref="D7:E7" si="0">SUM(D9+D13)</f>
        <v>50171</v>
      </c>
      <c r="E7" s="9">
        <f t="shared" si="0"/>
        <v>54192</v>
      </c>
      <c r="G7"/>
    </row>
    <row r="8" spans="1:7" ht="10.5" customHeight="1" x14ac:dyDescent="0.4">
      <c r="A8" s="10"/>
      <c r="B8" s="35"/>
      <c r="C8" s="35"/>
      <c r="D8" s="35"/>
      <c r="E8" s="35"/>
      <c r="G8"/>
    </row>
    <row r="9" spans="1:7" ht="24.75" customHeight="1" x14ac:dyDescent="0.4">
      <c r="A9" s="10"/>
      <c r="B9" s="10" t="s">
        <v>1725</v>
      </c>
      <c r="C9" s="10">
        <f>SUM(C10:C12)</f>
        <v>3467</v>
      </c>
      <c r="D9" s="10">
        <f t="shared" ref="D9:E9" si="1">SUM(D10:D12)</f>
        <v>1579</v>
      </c>
      <c r="E9" s="10">
        <f t="shared" si="1"/>
        <v>1888</v>
      </c>
      <c r="G9"/>
    </row>
    <row r="10" spans="1:7" ht="24.75" customHeight="1" x14ac:dyDescent="0.4">
      <c r="A10" s="11">
        <v>1</v>
      </c>
      <c r="B10" s="11" t="s">
        <v>825</v>
      </c>
      <c r="C10" s="11">
        <v>943</v>
      </c>
      <c r="D10" s="11">
        <v>435</v>
      </c>
      <c r="E10" s="11">
        <v>508</v>
      </c>
      <c r="G10"/>
    </row>
    <row r="11" spans="1:7" ht="24.75" customHeight="1" x14ac:dyDescent="0.4">
      <c r="A11" s="11">
        <v>2</v>
      </c>
      <c r="B11" s="11" t="s">
        <v>1210</v>
      </c>
      <c r="C11" s="11">
        <v>1255</v>
      </c>
      <c r="D11" s="11">
        <v>572</v>
      </c>
      <c r="E11" s="11">
        <v>683</v>
      </c>
      <c r="G11"/>
    </row>
    <row r="12" spans="1:7" ht="24.75" customHeight="1" x14ac:dyDescent="0.4">
      <c r="A12" s="11">
        <v>3</v>
      </c>
      <c r="B12" s="11" t="s">
        <v>1211</v>
      </c>
      <c r="C12" s="11">
        <v>1269</v>
      </c>
      <c r="D12" s="11">
        <v>572</v>
      </c>
      <c r="E12" s="11">
        <v>697</v>
      </c>
      <c r="G12"/>
    </row>
    <row r="13" spans="1:7" ht="24.75" customHeight="1" x14ac:dyDescent="0.4">
      <c r="A13" s="11"/>
      <c r="B13" s="10" t="s">
        <v>1773</v>
      </c>
      <c r="C13" s="10">
        <f>SUM(C14:C74)</f>
        <v>100896</v>
      </c>
      <c r="D13" s="10">
        <f t="shared" ref="D13:E13" si="2">SUM(D14:D74)</f>
        <v>48592</v>
      </c>
      <c r="E13" s="10">
        <f t="shared" si="2"/>
        <v>52304</v>
      </c>
      <c r="G13"/>
    </row>
    <row r="14" spans="1:7" ht="24.75" customHeight="1" x14ac:dyDescent="0.4">
      <c r="A14" s="11">
        <v>1</v>
      </c>
      <c r="B14" s="11" t="s">
        <v>1212</v>
      </c>
      <c r="C14" s="11">
        <v>1985</v>
      </c>
      <c r="D14" s="11">
        <v>951</v>
      </c>
      <c r="E14" s="11">
        <v>1034</v>
      </c>
      <c r="G14"/>
    </row>
    <row r="15" spans="1:7" ht="24.75" customHeight="1" x14ac:dyDescent="0.4">
      <c r="A15" s="11">
        <v>2</v>
      </c>
      <c r="B15" s="11" t="s">
        <v>868</v>
      </c>
      <c r="C15" s="11">
        <v>664</v>
      </c>
      <c r="D15" s="11">
        <v>320</v>
      </c>
      <c r="E15" s="11">
        <v>344</v>
      </c>
      <c r="G15"/>
    </row>
    <row r="16" spans="1:7" ht="24.75" customHeight="1" x14ac:dyDescent="0.4">
      <c r="A16" s="11">
        <v>3</v>
      </c>
      <c r="B16" s="11" t="s">
        <v>1213</v>
      </c>
      <c r="C16" s="11">
        <v>1892</v>
      </c>
      <c r="D16" s="11">
        <v>944</v>
      </c>
      <c r="E16" s="11">
        <v>948</v>
      </c>
      <c r="G16"/>
    </row>
    <row r="17" spans="1:7" ht="24.75" customHeight="1" x14ac:dyDescent="0.4">
      <c r="A17" s="11">
        <v>4</v>
      </c>
      <c r="B17" s="11" t="s">
        <v>1214</v>
      </c>
      <c r="C17" s="11">
        <v>974</v>
      </c>
      <c r="D17" s="11">
        <v>463</v>
      </c>
      <c r="E17" s="11">
        <v>511</v>
      </c>
      <c r="G17"/>
    </row>
    <row r="18" spans="1:7" ht="24.75" customHeight="1" x14ac:dyDescent="0.4">
      <c r="A18" s="11">
        <v>5</v>
      </c>
      <c r="B18" s="11" t="s">
        <v>1195</v>
      </c>
      <c r="C18" s="11">
        <v>1365</v>
      </c>
      <c r="D18" s="11">
        <v>656</v>
      </c>
      <c r="E18" s="11">
        <v>709</v>
      </c>
      <c r="G18"/>
    </row>
    <row r="19" spans="1:7" ht="24.75" customHeight="1" x14ac:dyDescent="0.4">
      <c r="A19" s="11">
        <v>6</v>
      </c>
      <c r="B19" s="11" t="s">
        <v>1028</v>
      </c>
      <c r="C19" s="11">
        <v>1176</v>
      </c>
      <c r="D19" s="11">
        <v>580</v>
      </c>
      <c r="E19" s="11">
        <v>596</v>
      </c>
      <c r="G19"/>
    </row>
    <row r="20" spans="1:7" ht="24.75" customHeight="1" x14ac:dyDescent="0.4">
      <c r="A20" s="11">
        <v>7</v>
      </c>
      <c r="B20" s="11" t="s">
        <v>1215</v>
      </c>
      <c r="C20" s="11">
        <v>1565</v>
      </c>
      <c r="D20" s="11">
        <v>764</v>
      </c>
      <c r="E20" s="11">
        <v>801</v>
      </c>
      <c r="G20"/>
    </row>
    <row r="21" spans="1:7" ht="24.75" customHeight="1" x14ac:dyDescent="0.4">
      <c r="A21" s="11">
        <v>8</v>
      </c>
      <c r="B21" s="11" t="s">
        <v>1216</v>
      </c>
      <c r="C21" s="11">
        <v>964</v>
      </c>
      <c r="D21" s="11">
        <v>459</v>
      </c>
      <c r="E21" s="11">
        <v>505</v>
      </c>
      <c r="G21"/>
    </row>
    <row r="22" spans="1:7" ht="24.75" customHeight="1" x14ac:dyDescent="0.4">
      <c r="A22" s="11">
        <v>9</v>
      </c>
      <c r="B22" s="11" t="s">
        <v>1217</v>
      </c>
      <c r="C22" s="11">
        <v>1279</v>
      </c>
      <c r="D22" s="11">
        <v>612</v>
      </c>
      <c r="E22" s="11">
        <v>667</v>
      </c>
      <c r="G22"/>
    </row>
    <row r="23" spans="1:7" ht="24.75" customHeight="1" x14ac:dyDescent="0.4">
      <c r="A23" s="11">
        <v>10</v>
      </c>
      <c r="B23" s="11" t="s">
        <v>1218</v>
      </c>
      <c r="C23" s="11">
        <v>679</v>
      </c>
      <c r="D23" s="11">
        <v>335</v>
      </c>
      <c r="E23" s="11">
        <v>344</v>
      </c>
      <c r="G23"/>
    </row>
    <row r="24" spans="1:7" ht="24.75" customHeight="1" x14ac:dyDescent="0.4">
      <c r="A24" s="11">
        <v>11</v>
      </c>
      <c r="B24" s="11" t="s">
        <v>1219</v>
      </c>
      <c r="C24" s="11">
        <v>1440</v>
      </c>
      <c r="D24" s="11">
        <v>654</v>
      </c>
      <c r="E24" s="11">
        <v>786</v>
      </c>
      <c r="G24"/>
    </row>
    <row r="25" spans="1:7" ht="24.75" customHeight="1" x14ac:dyDescent="0.4">
      <c r="A25" s="11">
        <v>12</v>
      </c>
      <c r="B25" s="11" t="s">
        <v>1220</v>
      </c>
      <c r="C25" s="11">
        <v>997</v>
      </c>
      <c r="D25" s="11">
        <v>464</v>
      </c>
      <c r="E25" s="11">
        <v>533</v>
      </c>
      <c r="G25"/>
    </row>
    <row r="26" spans="1:7" ht="24.75" customHeight="1" x14ac:dyDescent="0.4">
      <c r="A26" s="11">
        <v>13</v>
      </c>
      <c r="B26" s="11" t="s">
        <v>1221</v>
      </c>
      <c r="C26" s="11">
        <v>930</v>
      </c>
      <c r="D26" s="11">
        <v>437</v>
      </c>
      <c r="E26" s="11">
        <v>493</v>
      </c>
      <c r="G26"/>
    </row>
    <row r="27" spans="1:7" ht="24.75" customHeight="1" x14ac:dyDescent="0.4">
      <c r="A27" s="11">
        <v>14</v>
      </c>
      <c r="B27" s="11" t="s">
        <v>1176</v>
      </c>
      <c r="C27" s="11">
        <v>738</v>
      </c>
      <c r="D27" s="11">
        <v>348</v>
      </c>
      <c r="E27" s="11">
        <v>390</v>
      </c>
      <c r="G27"/>
    </row>
    <row r="28" spans="1:7" ht="24.75" customHeight="1" x14ac:dyDescent="0.4">
      <c r="A28" s="11">
        <v>15</v>
      </c>
      <c r="B28" s="11" t="s">
        <v>553</v>
      </c>
      <c r="C28" s="11">
        <v>1450</v>
      </c>
      <c r="D28" s="11">
        <v>689</v>
      </c>
      <c r="E28" s="11">
        <v>761</v>
      </c>
      <c r="G28"/>
    </row>
    <row r="29" spans="1:7" ht="24.75" customHeight="1" x14ac:dyDescent="0.4">
      <c r="A29" s="11">
        <v>16</v>
      </c>
      <c r="B29" s="11" t="s">
        <v>1222</v>
      </c>
      <c r="C29" s="11">
        <v>1264</v>
      </c>
      <c r="D29" s="11">
        <v>599</v>
      </c>
      <c r="E29" s="11">
        <v>665</v>
      </c>
      <c r="G29"/>
    </row>
    <row r="30" spans="1:7" ht="24.75" customHeight="1" x14ac:dyDescent="0.4">
      <c r="A30" s="11">
        <v>17</v>
      </c>
      <c r="B30" s="11" t="s">
        <v>1223</v>
      </c>
      <c r="C30" s="11">
        <v>776</v>
      </c>
      <c r="D30" s="11">
        <v>385</v>
      </c>
      <c r="E30" s="11">
        <v>391</v>
      </c>
      <c r="G30"/>
    </row>
    <row r="31" spans="1:7" ht="24.75" customHeight="1" x14ac:dyDescent="0.4">
      <c r="A31" s="11">
        <v>18</v>
      </c>
      <c r="B31" s="11" t="s">
        <v>1224</v>
      </c>
      <c r="C31" s="11">
        <v>473</v>
      </c>
      <c r="D31" s="11">
        <v>249</v>
      </c>
      <c r="E31" s="11">
        <v>224</v>
      </c>
      <c r="G31"/>
    </row>
    <row r="32" spans="1:7" ht="24.75" customHeight="1" x14ac:dyDescent="0.4">
      <c r="A32" s="11">
        <v>19</v>
      </c>
      <c r="B32" s="11" t="s">
        <v>1225</v>
      </c>
      <c r="C32" s="11">
        <v>1537</v>
      </c>
      <c r="D32" s="11">
        <v>723</v>
      </c>
      <c r="E32" s="11">
        <v>814</v>
      </c>
      <c r="G32"/>
    </row>
    <row r="33" spans="1:7" ht="24.75" customHeight="1" x14ac:dyDescent="0.4">
      <c r="A33" s="11">
        <v>20</v>
      </c>
      <c r="B33" s="11" t="s">
        <v>1226</v>
      </c>
      <c r="C33" s="11">
        <v>1780</v>
      </c>
      <c r="D33" s="11">
        <v>883</v>
      </c>
      <c r="E33" s="11">
        <v>897</v>
      </c>
      <c r="G33"/>
    </row>
    <row r="34" spans="1:7" ht="24.75" customHeight="1" x14ac:dyDescent="0.4">
      <c r="A34" s="11">
        <v>21</v>
      </c>
      <c r="B34" s="11" t="s">
        <v>1227</v>
      </c>
      <c r="C34" s="11">
        <v>1104</v>
      </c>
      <c r="D34" s="11">
        <v>527</v>
      </c>
      <c r="E34" s="11">
        <v>577</v>
      </c>
      <c r="G34"/>
    </row>
    <row r="35" spans="1:7" ht="24.75" customHeight="1" x14ac:dyDescent="0.4">
      <c r="A35" s="11">
        <v>22</v>
      </c>
      <c r="B35" s="11" t="s">
        <v>1228</v>
      </c>
      <c r="C35" s="11">
        <v>1593</v>
      </c>
      <c r="D35" s="11">
        <v>759</v>
      </c>
      <c r="E35" s="11">
        <v>834</v>
      </c>
      <c r="G35"/>
    </row>
    <row r="36" spans="1:7" ht="24.75" customHeight="1" x14ac:dyDescent="0.4">
      <c r="A36" s="11">
        <v>23</v>
      </c>
      <c r="B36" s="11" t="s">
        <v>1229</v>
      </c>
      <c r="C36" s="11">
        <v>1352</v>
      </c>
      <c r="D36" s="11">
        <v>656</v>
      </c>
      <c r="E36" s="11">
        <v>696</v>
      </c>
      <c r="G36"/>
    </row>
    <row r="37" spans="1:7" ht="24.75" customHeight="1" x14ac:dyDescent="0.4">
      <c r="A37" s="11">
        <v>24</v>
      </c>
      <c r="B37" s="11" t="s">
        <v>1230</v>
      </c>
      <c r="C37" s="11">
        <v>1589</v>
      </c>
      <c r="D37" s="11">
        <v>756</v>
      </c>
      <c r="E37" s="11">
        <v>833</v>
      </c>
      <c r="G37"/>
    </row>
    <row r="38" spans="1:7" ht="24.75" customHeight="1" x14ac:dyDescent="0.4">
      <c r="A38" s="11">
        <v>25</v>
      </c>
      <c r="B38" s="11" t="s">
        <v>1231</v>
      </c>
      <c r="C38" s="11">
        <v>1023</v>
      </c>
      <c r="D38" s="11">
        <v>450</v>
      </c>
      <c r="E38" s="11">
        <v>573</v>
      </c>
      <c r="G38"/>
    </row>
    <row r="39" spans="1:7" ht="24.75" customHeight="1" x14ac:dyDescent="0.4">
      <c r="A39" s="11">
        <v>26</v>
      </c>
      <c r="B39" s="11" t="s">
        <v>1232</v>
      </c>
      <c r="C39" s="11">
        <v>679</v>
      </c>
      <c r="D39" s="11">
        <v>306</v>
      </c>
      <c r="E39" s="11">
        <v>373</v>
      </c>
      <c r="G39"/>
    </row>
    <row r="40" spans="1:7" ht="24.75" customHeight="1" x14ac:dyDescent="0.4">
      <c r="A40" s="11">
        <v>27</v>
      </c>
      <c r="B40" s="11" t="s">
        <v>1233</v>
      </c>
      <c r="C40" s="11">
        <v>1192</v>
      </c>
      <c r="D40" s="11">
        <v>570</v>
      </c>
      <c r="E40" s="11">
        <v>622</v>
      </c>
      <c r="G40"/>
    </row>
    <row r="41" spans="1:7" ht="24.75" customHeight="1" x14ac:dyDescent="0.4">
      <c r="A41" s="11">
        <v>28</v>
      </c>
      <c r="B41" s="11" t="s">
        <v>1234</v>
      </c>
      <c r="C41" s="11">
        <v>2184</v>
      </c>
      <c r="D41" s="11">
        <v>1042</v>
      </c>
      <c r="E41" s="11">
        <v>1142</v>
      </c>
      <c r="G41"/>
    </row>
    <row r="42" spans="1:7" ht="24.75" customHeight="1" x14ac:dyDescent="0.4">
      <c r="A42" s="11">
        <v>29</v>
      </c>
      <c r="B42" s="11" t="s">
        <v>1235</v>
      </c>
      <c r="C42" s="11">
        <v>2424</v>
      </c>
      <c r="D42" s="11">
        <v>1181</v>
      </c>
      <c r="E42" s="11">
        <v>1243</v>
      </c>
      <c r="G42"/>
    </row>
    <row r="43" spans="1:7" ht="24.75" customHeight="1" x14ac:dyDescent="0.4">
      <c r="A43" s="11">
        <v>30</v>
      </c>
      <c r="B43" s="11" t="s">
        <v>1236</v>
      </c>
      <c r="C43" s="11">
        <v>1136</v>
      </c>
      <c r="D43" s="11">
        <v>530</v>
      </c>
      <c r="E43" s="11">
        <v>606</v>
      </c>
      <c r="G43"/>
    </row>
    <row r="44" spans="1:7" ht="24.75" customHeight="1" x14ac:dyDescent="0.4">
      <c r="A44" s="11">
        <v>31</v>
      </c>
      <c r="B44" s="11" t="s">
        <v>1237</v>
      </c>
      <c r="C44" s="11">
        <v>1947</v>
      </c>
      <c r="D44" s="11">
        <v>893</v>
      </c>
      <c r="E44" s="11">
        <v>1054</v>
      </c>
      <c r="G44"/>
    </row>
    <row r="45" spans="1:7" ht="24.75" customHeight="1" x14ac:dyDescent="0.4">
      <c r="A45" s="11">
        <v>32</v>
      </c>
      <c r="B45" s="11" t="s">
        <v>819</v>
      </c>
      <c r="C45" s="11">
        <v>1632</v>
      </c>
      <c r="D45" s="11">
        <v>769</v>
      </c>
      <c r="E45" s="11">
        <v>863</v>
      </c>
      <c r="G45"/>
    </row>
    <row r="46" spans="1:7" ht="24.75" customHeight="1" x14ac:dyDescent="0.4">
      <c r="A46" s="11">
        <v>33</v>
      </c>
      <c r="B46" s="11" t="s">
        <v>1238</v>
      </c>
      <c r="C46" s="11">
        <v>1007</v>
      </c>
      <c r="D46" s="11">
        <v>456</v>
      </c>
      <c r="E46" s="11">
        <v>551</v>
      </c>
      <c r="G46"/>
    </row>
    <row r="47" spans="1:7" ht="24.75" customHeight="1" x14ac:dyDescent="0.4">
      <c r="A47" s="11">
        <v>34</v>
      </c>
      <c r="B47" s="11" t="s">
        <v>958</v>
      </c>
      <c r="C47" s="11">
        <v>2626</v>
      </c>
      <c r="D47" s="11">
        <v>1179</v>
      </c>
      <c r="E47" s="11">
        <v>1447</v>
      </c>
      <c r="G47"/>
    </row>
    <row r="48" spans="1:7" ht="24.75" customHeight="1" x14ac:dyDescent="0.4">
      <c r="A48" s="11">
        <v>35</v>
      </c>
      <c r="B48" s="11" t="s">
        <v>1239</v>
      </c>
      <c r="C48" s="11">
        <v>1162</v>
      </c>
      <c r="D48" s="11">
        <v>565</v>
      </c>
      <c r="E48" s="11">
        <v>597</v>
      </c>
      <c r="G48"/>
    </row>
    <row r="49" spans="1:7" ht="24.75" customHeight="1" x14ac:dyDescent="0.4">
      <c r="A49" s="11">
        <v>36</v>
      </c>
      <c r="B49" s="11" t="s">
        <v>1240</v>
      </c>
      <c r="C49" s="11">
        <v>1510</v>
      </c>
      <c r="D49" s="11">
        <v>734</v>
      </c>
      <c r="E49" s="11">
        <v>776</v>
      </c>
      <c r="G49"/>
    </row>
    <row r="50" spans="1:7" ht="24.75" customHeight="1" x14ac:dyDescent="0.4">
      <c r="A50" s="11">
        <v>37</v>
      </c>
      <c r="B50" s="11" t="s">
        <v>1241</v>
      </c>
      <c r="C50" s="11">
        <v>1655</v>
      </c>
      <c r="D50" s="11">
        <v>787</v>
      </c>
      <c r="E50" s="11">
        <v>868</v>
      </c>
      <c r="G50"/>
    </row>
    <row r="51" spans="1:7" ht="24.75" customHeight="1" x14ac:dyDescent="0.4">
      <c r="A51" s="11">
        <v>38</v>
      </c>
      <c r="B51" s="11" t="s">
        <v>1242</v>
      </c>
      <c r="C51" s="11">
        <v>2165</v>
      </c>
      <c r="D51" s="11">
        <v>1068</v>
      </c>
      <c r="E51" s="11">
        <v>1097</v>
      </c>
      <c r="G51"/>
    </row>
    <row r="52" spans="1:7" ht="24.75" customHeight="1" x14ac:dyDescent="0.4">
      <c r="A52" s="11">
        <v>39</v>
      </c>
      <c r="B52" s="11" t="s">
        <v>1243</v>
      </c>
      <c r="C52" s="11">
        <v>1508</v>
      </c>
      <c r="D52" s="11">
        <v>749</v>
      </c>
      <c r="E52" s="11">
        <v>759</v>
      </c>
      <c r="G52"/>
    </row>
    <row r="53" spans="1:7" ht="24.75" customHeight="1" x14ac:dyDescent="0.4">
      <c r="A53" s="11">
        <v>40</v>
      </c>
      <c r="B53" s="11" t="s">
        <v>1244</v>
      </c>
      <c r="C53" s="11">
        <v>1214</v>
      </c>
      <c r="D53" s="11">
        <v>584</v>
      </c>
      <c r="E53" s="11">
        <v>630</v>
      </c>
      <c r="G53"/>
    </row>
    <row r="54" spans="1:7" ht="24.75" customHeight="1" x14ac:dyDescent="0.4">
      <c r="A54" s="11">
        <v>41</v>
      </c>
      <c r="B54" s="11" t="s">
        <v>1245</v>
      </c>
      <c r="C54" s="11">
        <v>1897</v>
      </c>
      <c r="D54" s="11">
        <v>938</v>
      </c>
      <c r="E54" s="11">
        <v>959</v>
      </c>
      <c r="G54"/>
    </row>
    <row r="55" spans="1:7" ht="24.75" customHeight="1" x14ac:dyDescent="0.4">
      <c r="A55" s="11">
        <v>42</v>
      </c>
      <c r="B55" s="11" t="s">
        <v>1035</v>
      </c>
      <c r="C55" s="11">
        <v>3264</v>
      </c>
      <c r="D55" s="11">
        <v>1596</v>
      </c>
      <c r="E55" s="11">
        <v>1668</v>
      </c>
      <c r="G55"/>
    </row>
    <row r="56" spans="1:7" ht="24.75" customHeight="1" x14ac:dyDescent="0.4">
      <c r="A56" s="11">
        <v>43</v>
      </c>
      <c r="B56" s="11" t="s">
        <v>1246</v>
      </c>
      <c r="C56" s="11">
        <v>2644</v>
      </c>
      <c r="D56" s="11">
        <v>1365</v>
      </c>
      <c r="E56" s="11">
        <v>1279</v>
      </c>
      <c r="G56"/>
    </row>
    <row r="57" spans="1:7" ht="24.75" customHeight="1" x14ac:dyDescent="0.4">
      <c r="A57" s="11">
        <v>44</v>
      </c>
      <c r="B57" s="11" t="s">
        <v>59</v>
      </c>
      <c r="C57" s="11">
        <v>1913</v>
      </c>
      <c r="D57" s="11">
        <v>967</v>
      </c>
      <c r="E57" s="11">
        <v>946</v>
      </c>
      <c r="G57"/>
    </row>
    <row r="58" spans="1:7" ht="24.75" customHeight="1" x14ac:dyDescent="0.4">
      <c r="A58" s="11">
        <v>45</v>
      </c>
      <c r="B58" s="11" t="s">
        <v>1247</v>
      </c>
      <c r="C58" s="11">
        <v>1114</v>
      </c>
      <c r="D58" s="11">
        <v>534</v>
      </c>
      <c r="E58" s="11">
        <v>580</v>
      </c>
      <c r="G58"/>
    </row>
    <row r="59" spans="1:7" ht="24.75" customHeight="1" x14ac:dyDescent="0.4">
      <c r="A59" s="11">
        <v>46</v>
      </c>
      <c r="B59" s="11" t="s">
        <v>1248</v>
      </c>
      <c r="C59" s="11">
        <v>1898</v>
      </c>
      <c r="D59" s="11">
        <v>929</v>
      </c>
      <c r="E59" s="11">
        <v>969</v>
      </c>
      <c r="G59"/>
    </row>
    <row r="60" spans="1:7" ht="24.75" customHeight="1" x14ac:dyDescent="0.4">
      <c r="A60" s="11">
        <v>47</v>
      </c>
      <c r="B60" s="11" t="s">
        <v>1249</v>
      </c>
      <c r="C60" s="11">
        <v>3477</v>
      </c>
      <c r="D60" s="11">
        <v>1734</v>
      </c>
      <c r="E60" s="11">
        <v>1743</v>
      </c>
      <c r="G60"/>
    </row>
    <row r="61" spans="1:7" ht="24.75" customHeight="1" x14ac:dyDescent="0.4">
      <c r="A61" s="11">
        <v>48</v>
      </c>
      <c r="B61" s="11" t="s">
        <v>1199</v>
      </c>
      <c r="C61" s="11">
        <v>1766</v>
      </c>
      <c r="D61" s="11">
        <v>891</v>
      </c>
      <c r="E61" s="11">
        <v>875</v>
      </c>
      <c r="G61"/>
    </row>
    <row r="62" spans="1:7" ht="24.75" customHeight="1" x14ac:dyDescent="0.4">
      <c r="A62" s="11">
        <v>49</v>
      </c>
      <c r="B62" s="11" t="s">
        <v>1250</v>
      </c>
      <c r="C62" s="11">
        <v>3648</v>
      </c>
      <c r="D62" s="11">
        <v>1768</v>
      </c>
      <c r="E62" s="11">
        <v>1880</v>
      </c>
      <c r="G62"/>
    </row>
    <row r="63" spans="1:7" ht="24.75" customHeight="1" x14ac:dyDescent="0.4">
      <c r="A63" s="11">
        <v>50</v>
      </c>
      <c r="B63" s="11" t="s">
        <v>1251</v>
      </c>
      <c r="C63" s="11">
        <v>3145</v>
      </c>
      <c r="D63" s="11">
        <v>1463</v>
      </c>
      <c r="E63" s="11">
        <v>1682</v>
      </c>
      <c r="G63"/>
    </row>
    <row r="64" spans="1:7" ht="24.75" customHeight="1" x14ac:dyDescent="0.4">
      <c r="A64" s="11">
        <v>51</v>
      </c>
      <c r="B64" s="11" t="s">
        <v>1252</v>
      </c>
      <c r="C64" s="11">
        <v>2843</v>
      </c>
      <c r="D64" s="11">
        <v>1336</v>
      </c>
      <c r="E64" s="11">
        <v>1507</v>
      </c>
      <c r="G64"/>
    </row>
    <row r="65" spans="1:7" ht="24.75" customHeight="1" x14ac:dyDescent="0.4">
      <c r="A65" s="11">
        <v>52</v>
      </c>
      <c r="B65" s="11" t="s">
        <v>1253</v>
      </c>
      <c r="C65" s="11">
        <v>4378</v>
      </c>
      <c r="D65" s="11">
        <v>2119</v>
      </c>
      <c r="E65" s="11">
        <v>2259</v>
      </c>
      <c r="G65"/>
    </row>
    <row r="66" spans="1:7" ht="24.75" customHeight="1" x14ac:dyDescent="0.4">
      <c r="A66" s="11">
        <v>53</v>
      </c>
      <c r="B66" s="11" t="s">
        <v>1254</v>
      </c>
      <c r="C66" s="11">
        <v>1441</v>
      </c>
      <c r="D66" s="11">
        <v>698</v>
      </c>
      <c r="E66" s="11">
        <v>743</v>
      </c>
      <c r="G66"/>
    </row>
    <row r="67" spans="1:7" ht="24.75" customHeight="1" x14ac:dyDescent="0.4">
      <c r="A67" s="11">
        <v>54</v>
      </c>
      <c r="B67" s="11" t="s">
        <v>403</v>
      </c>
      <c r="C67" s="11">
        <v>1927</v>
      </c>
      <c r="D67" s="11">
        <v>879</v>
      </c>
      <c r="E67" s="11">
        <v>1048</v>
      </c>
      <c r="G67"/>
    </row>
    <row r="68" spans="1:7" ht="24.75" customHeight="1" x14ac:dyDescent="0.4">
      <c r="A68" s="11">
        <v>55</v>
      </c>
      <c r="B68" s="11" t="s">
        <v>1255</v>
      </c>
      <c r="C68" s="11">
        <v>2839</v>
      </c>
      <c r="D68" s="11">
        <v>1325</v>
      </c>
      <c r="E68" s="11">
        <v>1514</v>
      </c>
      <c r="G68"/>
    </row>
    <row r="69" spans="1:7" ht="24.75" customHeight="1" x14ac:dyDescent="0.4">
      <c r="A69" s="11">
        <v>56</v>
      </c>
      <c r="B69" s="11" t="s">
        <v>220</v>
      </c>
      <c r="C69" s="11">
        <v>1077</v>
      </c>
      <c r="D69" s="11">
        <v>514</v>
      </c>
      <c r="E69" s="11">
        <v>563</v>
      </c>
      <c r="G69"/>
    </row>
    <row r="70" spans="1:7" ht="24.75" customHeight="1" x14ac:dyDescent="0.4">
      <c r="A70" s="11">
        <v>57</v>
      </c>
      <c r="B70" s="11" t="s">
        <v>1256</v>
      </c>
      <c r="C70" s="11">
        <v>2733</v>
      </c>
      <c r="D70" s="11">
        <v>1353</v>
      </c>
      <c r="E70" s="11">
        <v>1380</v>
      </c>
      <c r="G70"/>
    </row>
    <row r="71" spans="1:7" ht="24.75" customHeight="1" x14ac:dyDescent="0.4">
      <c r="A71" s="11">
        <v>58</v>
      </c>
      <c r="B71" s="11" t="s">
        <v>1257</v>
      </c>
      <c r="C71" s="11">
        <v>772</v>
      </c>
      <c r="D71" s="11">
        <v>397</v>
      </c>
      <c r="E71" s="11">
        <v>375</v>
      </c>
      <c r="G71"/>
    </row>
    <row r="72" spans="1:7" ht="24.75" customHeight="1" x14ac:dyDescent="0.4">
      <c r="A72" s="11">
        <v>59</v>
      </c>
      <c r="B72" s="11" t="s">
        <v>886</v>
      </c>
      <c r="C72" s="11">
        <v>746</v>
      </c>
      <c r="D72" s="11">
        <v>378</v>
      </c>
      <c r="E72" s="11">
        <v>368</v>
      </c>
      <c r="G72"/>
    </row>
    <row r="73" spans="1:7" ht="24.75" customHeight="1" x14ac:dyDescent="0.4">
      <c r="A73" s="11">
        <v>60</v>
      </c>
      <c r="B73" s="11" t="s">
        <v>1258</v>
      </c>
      <c r="C73" s="11">
        <v>1762</v>
      </c>
      <c r="D73" s="11">
        <v>840</v>
      </c>
      <c r="E73" s="11">
        <v>922</v>
      </c>
      <c r="G73"/>
    </row>
    <row r="74" spans="1:7" ht="24.75" customHeight="1" x14ac:dyDescent="0.4">
      <c r="A74" s="12">
        <v>61</v>
      </c>
      <c r="B74" s="12" t="s">
        <v>166</v>
      </c>
      <c r="C74" s="12">
        <v>982</v>
      </c>
      <c r="D74" s="12">
        <v>492</v>
      </c>
      <c r="E74" s="12">
        <v>490</v>
      </c>
      <c r="G74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Kalay District , Mingin Township"/>
  </hyperlinks>
  <pageMargins left="0.75" right="0.5" top="0.5" bottom="0.2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46"/>
  <sheetViews>
    <sheetView workbookViewId="0">
      <selection sqref="A1:E1"/>
    </sheetView>
  </sheetViews>
  <sheetFormatPr defaultRowHeight="24.75" customHeight="1" x14ac:dyDescent="0.4"/>
  <cols>
    <col min="1" max="1" width="5.28515625" style="4" customWidth="1"/>
    <col min="2" max="2" width="32.7109375" style="4" customWidth="1"/>
    <col min="3" max="5" width="15.7109375" style="4" customWidth="1"/>
    <col min="6" max="16384" width="9.140625" style="4"/>
  </cols>
  <sheetData>
    <row r="1" spans="1:7" ht="24.75" customHeight="1" x14ac:dyDescent="0.4">
      <c r="A1" s="67" t="s">
        <v>1751</v>
      </c>
      <c r="B1" s="67"/>
      <c r="C1" s="67"/>
      <c r="D1" s="67"/>
      <c r="E1" s="67"/>
    </row>
    <row r="2" spans="1:7" ht="24.75" customHeight="1" x14ac:dyDescent="0.4">
      <c r="A2" s="2"/>
      <c r="B2" s="7"/>
      <c r="C2" s="7"/>
      <c r="D2" s="7"/>
      <c r="E2" s="56" t="s">
        <v>1722</v>
      </c>
    </row>
    <row r="3" spans="1:7" ht="24.75" customHeight="1" x14ac:dyDescent="0.4">
      <c r="A3" s="2"/>
      <c r="B3" s="7"/>
      <c r="C3" s="7"/>
      <c r="D3" s="7"/>
      <c r="E3" s="56"/>
    </row>
    <row r="4" spans="1:7" ht="10.5" customHeight="1" x14ac:dyDescent="0.4">
      <c r="A4" s="2"/>
      <c r="B4" s="7"/>
      <c r="C4" s="7"/>
      <c r="D4" s="7"/>
      <c r="E4" s="7"/>
    </row>
    <row r="5" spans="1:7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7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7" ht="24.75" customHeight="1" x14ac:dyDescent="0.4">
      <c r="A7" s="9"/>
      <c r="B7" s="9" t="s">
        <v>1772</v>
      </c>
      <c r="C7" s="9">
        <f>SUM(C9+C14)</f>
        <v>59343</v>
      </c>
      <c r="D7" s="9">
        <f t="shared" ref="D7:E7" si="0">SUM(D9+D14)</f>
        <v>29239</v>
      </c>
      <c r="E7" s="9">
        <f t="shared" si="0"/>
        <v>30104</v>
      </c>
      <c r="G7" s="20"/>
    </row>
    <row r="8" spans="1:7" ht="10.5" customHeight="1" x14ac:dyDescent="0.4">
      <c r="A8" s="10"/>
      <c r="B8" s="35"/>
      <c r="C8" s="35"/>
      <c r="D8" s="35"/>
      <c r="E8" s="35"/>
      <c r="G8" s="20"/>
    </row>
    <row r="9" spans="1:7" ht="24.75" customHeight="1" x14ac:dyDescent="0.4">
      <c r="A9" s="10"/>
      <c r="B9" s="10" t="s">
        <v>1725</v>
      </c>
      <c r="C9" s="10">
        <f>SUM(C10:C13)</f>
        <v>43737</v>
      </c>
      <c r="D9" s="10">
        <f t="shared" ref="D9:E9" si="1">SUM(D10:D13)</f>
        <v>21295</v>
      </c>
      <c r="E9" s="10">
        <f t="shared" si="1"/>
        <v>22442</v>
      </c>
      <c r="G9" s="20"/>
    </row>
    <row r="10" spans="1:7" ht="24.75" customHeight="1" x14ac:dyDescent="0.4">
      <c r="A10" s="11">
        <v>1</v>
      </c>
      <c r="B10" s="11" t="s">
        <v>1259</v>
      </c>
      <c r="C10" s="11">
        <v>13801</v>
      </c>
      <c r="D10" s="11">
        <v>6853</v>
      </c>
      <c r="E10" s="11">
        <v>6948</v>
      </c>
      <c r="G10" s="20"/>
    </row>
    <row r="11" spans="1:7" ht="24.75" customHeight="1" x14ac:dyDescent="0.4">
      <c r="A11" s="11">
        <v>2</v>
      </c>
      <c r="B11" s="11" t="s">
        <v>1210</v>
      </c>
      <c r="C11" s="11">
        <v>11106</v>
      </c>
      <c r="D11" s="11">
        <v>5205</v>
      </c>
      <c r="E11" s="11">
        <v>5901</v>
      </c>
      <c r="G11" s="20"/>
    </row>
    <row r="12" spans="1:7" ht="24.75" customHeight="1" x14ac:dyDescent="0.4">
      <c r="A12" s="11">
        <v>3</v>
      </c>
      <c r="B12" s="11" t="s">
        <v>1260</v>
      </c>
      <c r="C12" s="11">
        <v>5806</v>
      </c>
      <c r="D12" s="11">
        <v>2810</v>
      </c>
      <c r="E12" s="11">
        <v>2996</v>
      </c>
      <c r="G12" s="20"/>
    </row>
    <row r="13" spans="1:7" ht="24.75" customHeight="1" x14ac:dyDescent="0.4">
      <c r="A13" s="11">
        <v>4</v>
      </c>
      <c r="B13" s="11" t="s">
        <v>1261</v>
      </c>
      <c r="C13" s="11">
        <v>13024</v>
      </c>
      <c r="D13" s="11">
        <v>6427</v>
      </c>
      <c r="E13" s="11">
        <v>6597</v>
      </c>
      <c r="G13" s="20"/>
    </row>
    <row r="14" spans="1:7" ht="24.75" customHeight="1" x14ac:dyDescent="0.4">
      <c r="A14" s="11"/>
      <c r="B14" s="10" t="s">
        <v>1773</v>
      </c>
      <c r="C14" s="10">
        <f>SUM(C15:C21)</f>
        <v>15606</v>
      </c>
      <c r="D14" s="10">
        <f t="shared" ref="D14:E14" si="2">SUM(D15:D21)</f>
        <v>7944</v>
      </c>
      <c r="E14" s="10">
        <f t="shared" si="2"/>
        <v>7662</v>
      </c>
      <c r="G14" s="20"/>
    </row>
    <row r="15" spans="1:7" ht="24.75" customHeight="1" x14ac:dyDescent="0.4">
      <c r="A15" s="11">
        <v>1</v>
      </c>
      <c r="B15" s="11" t="s">
        <v>1262</v>
      </c>
      <c r="C15" s="11">
        <v>1989</v>
      </c>
      <c r="D15" s="11">
        <v>1105</v>
      </c>
      <c r="E15" s="11">
        <v>884</v>
      </c>
      <c r="G15" s="20"/>
    </row>
    <row r="16" spans="1:7" ht="24.75" customHeight="1" x14ac:dyDescent="0.4">
      <c r="A16" s="11">
        <v>2</v>
      </c>
      <c r="B16" s="11" t="s">
        <v>1263</v>
      </c>
      <c r="C16" s="11">
        <v>1958</v>
      </c>
      <c r="D16" s="11">
        <v>977</v>
      </c>
      <c r="E16" s="11">
        <v>981</v>
      </c>
      <c r="G16" s="20"/>
    </row>
    <row r="17" spans="1:7" ht="24.75" customHeight="1" x14ac:dyDescent="0.4">
      <c r="A17" s="11">
        <v>3</v>
      </c>
      <c r="B17" s="11" t="s">
        <v>479</v>
      </c>
      <c r="C17" s="11">
        <v>4755</v>
      </c>
      <c r="D17" s="11">
        <v>2397</v>
      </c>
      <c r="E17" s="11">
        <v>2358</v>
      </c>
      <c r="G17" s="20"/>
    </row>
    <row r="18" spans="1:7" ht="24.75" customHeight="1" x14ac:dyDescent="0.4">
      <c r="A18" s="11">
        <v>4</v>
      </c>
      <c r="B18" s="11" t="s">
        <v>1264</v>
      </c>
      <c r="C18" s="11">
        <v>797</v>
      </c>
      <c r="D18" s="11">
        <v>418</v>
      </c>
      <c r="E18" s="11">
        <v>379</v>
      </c>
      <c r="G18" s="20"/>
    </row>
    <row r="19" spans="1:7" ht="24.75" customHeight="1" x14ac:dyDescent="0.4">
      <c r="A19" s="11">
        <v>5</v>
      </c>
      <c r="B19" s="11" t="s">
        <v>1265</v>
      </c>
      <c r="C19" s="11">
        <v>3346</v>
      </c>
      <c r="D19" s="11">
        <v>1704</v>
      </c>
      <c r="E19" s="11">
        <v>1642</v>
      </c>
      <c r="G19" s="20"/>
    </row>
    <row r="20" spans="1:7" ht="24.75" customHeight="1" x14ac:dyDescent="0.4">
      <c r="A20" s="11">
        <v>6</v>
      </c>
      <c r="B20" s="11" t="s">
        <v>1266</v>
      </c>
      <c r="C20" s="11">
        <v>2009</v>
      </c>
      <c r="D20" s="11">
        <v>1003</v>
      </c>
      <c r="E20" s="11">
        <v>1006</v>
      </c>
      <c r="G20" s="20"/>
    </row>
    <row r="21" spans="1:7" ht="24.75" customHeight="1" x14ac:dyDescent="0.4">
      <c r="A21" s="11">
        <v>7</v>
      </c>
      <c r="B21" s="12" t="s">
        <v>1267</v>
      </c>
      <c r="C21" s="12">
        <v>752</v>
      </c>
      <c r="D21" s="12">
        <v>340</v>
      </c>
      <c r="E21" s="12">
        <v>412</v>
      </c>
      <c r="G21" s="20"/>
    </row>
    <row r="22" spans="1:7" ht="24.75" customHeight="1" x14ac:dyDescent="0.4">
      <c r="A22" s="18"/>
      <c r="B22" s="18"/>
      <c r="C22" s="18"/>
      <c r="D22" s="18"/>
      <c r="E22" s="18"/>
    </row>
    <row r="23" spans="1:7" ht="24.75" customHeight="1" x14ac:dyDescent="0.4">
      <c r="A23" s="20"/>
      <c r="B23" s="20"/>
      <c r="C23" s="20"/>
      <c r="D23" s="20"/>
      <c r="E23" s="20"/>
    </row>
    <row r="24" spans="1:7" ht="24.75" customHeight="1" x14ac:dyDescent="0.4">
      <c r="A24" s="20"/>
      <c r="B24" s="20"/>
      <c r="C24" s="20"/>
      <c r="D24" s="20"/>
      <c r="E24" s="20"/>
    </row>
    <row r="25" spans="1:7" ht="24.75" customHeight="1" x14ac:dyDescent="0.4">
      <c r="A25" s="20"/>
      <c r="B25" s="20"/>
      <c r="C25" s="20"/>
      <c r="D25" s="20"/>
      <c r="E25" s="20"/>
    </row>
    <row r="26" spans="1:7" ht="24.75" customHeight="1" x14ac:dyDescent="0.4">
      <c r="A26" s="20"/>
      <c r="B26" s="20"/>
      <c r="C26" s="20"/>
      <c r="D26" s="20"/>
      <c r="E26" s="20"/>
    </row>
    <row r="27" spans="1:7" ht="24.75" customHeight="1" x14ac:dyDescent="0.4">
      <c r="A27" s="20"/>
      <c r="B27" s="20"/>
      <c r="C27" s="20"/>
      <c r="D27" s="20"/>
      <c r="E27" s="20"/>
    </row>
    <row r="28" spans="1:7" ht="24.75" customHeight="1" x14ac:dyDescent="0.4">
      <c r="A28" s="20"/>
      <c r="B28" s="20"/>
      <c r="C28" s="20"/>
      <c r="D28" s="20"/>
      <c r="E28" s="20"/>
    </row>
    <row r="29" spans="1:7" ht="24.75" customHeight="1" x14ac:dyDescent="0.4">
      <c r="A29" s="20"/>
      <c r="B29" s="20"/>
      <c r="C29" s="20"/>
      <c r="D29" s="20"/>
      <c r="E29" s="20"/>
    </row>
    <row r="30" spans="1:7" ht="24.75" customHeight="1" x14ac:dyDescent="0.4">
      <c r="A30" s="20"/>
      <c r="B30" s="20"/>
      <c r="C30" s="20"/>
      <c r="D30" s="20"/>
      <c r="E30" s="20"/>
    </row>
    <row r="31" spans="1:7" ht="24.75" customHeight="1" x14ac:dyDescent="0.4">
      <c r="A31" s="20"/>
      <c r="B31" s="20"/>
      <c r="C31" s="20"/>
      <c r="D31" s="20"/>
      <c r="E31" s="20"/>
    </row>
    <row r="32" spans="1:7" ht="24.75" customHeight="1" x14ac:dyDescent="0.4">
      <c r="A32" s="20"/>
      <c r="B32" s="20"/>
      <c r="C32" s="20"/>
      <c r="D32" s="20"/>
      <c r="E32" s="20"/>
    </row>
    <row r="33" spans="1:5" ht="24.75" customHeight="1" x14ac:dyDescent="0.4">
      <c r="A33" s="20"/>
      <c r="B33" s="20"/>
      <c r="C33" s="20"/>
      <c r="D33" s="20"/>
      <c r="E33" s="20"/>
    </row>
    <row r="34" spans="1:5" ht="24.75" customHeight="1" x14ac:dyDescent="0.4">
      <c r="A34" s="20"/>
      <c r="B34" s="20"/>
      <c r="C34" s="20"/>
      <c r="D34" s="20"/>
      <c r="E34" s="20"/>
    </row>
    <row r="35" spans="1:5" ht="24.75" customHeight="1" x14ac:dyDescent="0.4">
      <c r="A35" s="20"/>
      <c r="B35" s="20"/>
      <c r="C35" s="20"/>
      <c r="D35" s="20"/>
      <c r="E35" s="20"/>
    </row>
    <row r="36" spans="1:5" ht="24.75" customHeight="1" x14ac:dyDescent="0.4">
      <c r="A36" s="20"/>
      <c r="B36" s="20"/>
      <c r="C36" s="20"/>
      <c r="D36" s="20"/>
      <c r="E36" s="20"/>
    </row>
    <row r="37" spans="1:5" ht="24.75" customHeight="1" x14ac:dyDescent="0.4">
      <c r="A37" s="20"/>
      <c r="B37" s="20"/>
      <c r="C37" s="20"/>
      <c r="D37" s="20"/>
      <c r="E37" s="20"/>
    </row>
    <row r="38" spans="1:5" ht="24.75" customHeight="1" x14ac:dyDescent="0.4">
      <c r="A38" s="20"/>
      <c r="B38" s="20"/>
      <c r="C38" s="20"/>
      <c r="D38" s="20"/>
      <c r="E38" s="20"/>
    </row>
    <row r="39" spans="1:5" ht="24.75" customHeight="1" x14ac:dyDescent="0.4">
      <c r="A39" s="20"/>
      <c r="B39" s="20"/>
      <c r="C39" s="20"/>
      <c r="D39" s="20"/>
      <c r="E39" s="20"/>
    </row>
    <row r="40" spans="1:5" ht="24.75" customHeight="1" x14ac:dyDescent="0.4">
      <c r="A40" s="20"/>
      <c r="B40" s="20"/>
      <c r="C40" s="20"/>
      <c r="D40" s="20"/>
      <c r="E40" s="20"/>
    </row>
    <row r="41" spans="1:5" ht="24.75" customHeight="1" x14ac:dyDescent="0.4">
      <c r="A41" s="20"/>
      <c r="B41" s="20"/>
      <c r="C41" s="20"/>
      <c r="D41" s="20"/>
      <c r="E41" s="20"/>
    </row>
    <row r="42" spans="1:5" ht="24.75" customHeight="1" x14ac:dyDescent="0.4">
      <c r="A42" s="20"/>
      <c r="B42" s="20"/>
      <c r="C42" s="20"/>
      <c r="D42" s="20"/>
      <c r="E42" s="20"/>
    </row>
    <row r="43" spans="1:5" ht="24.75" customHeight="1" x14ac:dyDescent="0.4">
      <c r="A43" s="20"/>
      <c r="B43" s="20"/>
      <c r="C43" s="20"/>
      <c r="D43" s="20"/>
      <c r="E43" s="20"/>
    </row>
    <row r="44" spans="1:5" ht="24.75" customHeight="1" x14ac:dyDescent="0.4">
      <c r="A44" s="20"/>
      <c r="B44" s="20"/>
      <c r="C44" s="20"/>
      <c r="D44" s="20"/>
      <c r="E44" s="20"/>
    </row>
    <row r="45" spans="1:5" ht="24.75" customHeight="1" x14ac:dyDescent="0.4">
      <c r="A45" s="20"/>
      <c r="B45" s="20"/>
      <c r="C45" s="20"/>
      <c r="D45" s="20"/>
      <c r="E45" s="20"/>
    </row>
    <row r="46" spans="1:5" ht="24.75" customHeight="1" x14ac:dyDescent="0.4">
      <c r="A46" s="20"/>
      <c r="B46" s="20"/>
      <c r="C46" s="20"/>
      <c r="D46" s="20"/>
      <c r="E46" s="20"/>
    </row>
    <row r="47" spans="1:5" ht="24.75" customHeight="1" x14ac:dyDescent="0.4">
      <c r="A47" s="20"/>
      <c r="B47" s="20"/>
      <c r="C47" s="20"/>
      <c r="D47" s="20"/>
      <c r="E47" s="20"/>
    </row>
    <row r="48" spans="1:5" ht="24.75" customHeight="1" x14ac:dyDescent="0.4">
      <c r="A48" s="20"/>
      <c r="B48" s="20"/>
      <c r="C48" s="20"/>
      <c r="D48" s="20"/>
      <c r="E48" s="20"/>
    </row>
    <row r="49" spans="1:5" ht="24.75" customHeight="1" x14ac:dyDescent="0.4">
      <c r="A49" s="20"/>
      <c r="B49" s="20"/>
      <c r="C49" s="20"/>
      <c r="D49" s="20"/>
      <c r="E49" s="20"/>
    </row>
    <row r="50" spans="1:5" ht="24.75" customHeight="1" x14ac:dyDescent="0.4">
      <c r="A50" s="20"/>
      <c r="B50" s="20"/>
      <c r="C50" s="20"/>
      <c r="D50" s="20"/>
      <c r="E50" s="20"/>
    </row>
    <row r="51" spans="1:5" ht="24.75" customHeight="1" x14ac:dyDescent="0.4">
      <c r="A51" s="20"/>
      <c r="B51" s="20"/>
      <c r="C51" s="20"/>
      <c r="D51" s="20"/>
      <c r="E51" s="20"/>
    </row>
    <row r="52" spans="1:5" ht="24.75" customHeight="1" x14ac:dyDescent="0.4">
      <c r="A52" s="20"/>
      <c r="B52" s="20"/>
      <c r="C52" s="20"/>
      <c r="D52" s="20"/>
      <c r="E52" s="20"/>
    </row>
    <row r="53" spans="1:5" ht="24.75" customHeight="1" x14ac:dyDescent="0.4">
      <c r="A53" s="20"/>
      <c r="B53" s="20"/>
      <c r="C53" s="20"/>
      <c r="D53" s="20"/>
      <c r="E53" s="20"/>
    </row>
    <row r="54" spans="1:5" ht="24.75" customHeight="1" x14ac:dyDescent="0.4">
      <c r="A54" s="20"/>
      <c r="B54" s="20"/>
      <c r="C54" s="20"/>
      <c r="D54" s="20"/>
      <c r="E54" s="20"/>
    </row>
    <row r="55" spans="1:5" ht="24.75" customHeight="1" x14ac:dyDescent="0.4">
      <c r="A55" s="20"/>
      <c r="B55" s="20"/>
      <c r="C55" s="20"/>
      <c r="D55" s="20"/>
      <c r="E55" s="20"/>
    </row>
    <row r="56" spans="1:5" ht="24.75" customHeight="1" x14ac:dyDescent="0.4">
      <c r="A56" s="20"/>
      <c r="B56" s="20"/>
      <c r="C56" s="20"/>
      <c r="D56" s="20"/>
      <c r="E56" s="20"/>
    </row>
    <row r="57" spans="1:5" ht="24.75" customHeight="1" x14ac:dyDescent="0.4">
      <c r="A57" s="20"/>
      <c r="B57" s="20"/>
      <c r="C57" s="20"/>
      <c r="D57" s="20"/>
      <c r="E57" s="20"/>
    </row>
    <row r="58" spans="1:5" ht="24.75" customHeight="1" x14ac:dyDescent="0.4">
      <c r="A58" s="20"/>
      <c r="B58" s="20"/>
      <c r="C58" s="20"/>
      <c r="D58" s="20"/>
      <c r="E58" s="20"/>
    </row>
    <row r="59" spans="1:5" ht="24.75" customHeight="1" x14ac:dyDescent="0.4">
      <c r="A59" s="20"/>
      <c r="B59" s="20"/>
      <c r="C59" s="20"/>
      <c r="D59" s="20"/>
      <c r="E59" s="20"/>
    </row>
    <row r="60" spans="1:5" ht="24.75" customHeight="1" x14ac:dyDescent="0.4">
      <c r="A60" s="20"/>
      <c r="B60" s="20"/>
      <c r="C60" s="20"/>
      <c r="D60" s="20"/>
      <c r="E60" s="20"/>
    </row>
    <row r="61" spans="1:5" ht="24.75" customHeight="1" x14ac:dyDescent="0.4">
      <c r="A61" s="20"/>
      <c r="B61" s="20"/>
      <c r="C61" s="20"/>
      <c r="D61" s="20"/>
      <c r="E61" s="20"/>
    </row>
    <row r="62" spans="1:5" ht="24.75" customHeight="1" x14ac:dyDescent="0.4">
      <c r="A62" s="20"/>
      <c r="B62" s="20"/>
      <c r="C62" s="20"/>
      <c r="D62" s="20"/>
      <c r="E62" s="20"/>
    </row>
    <row r="63" spans="1:5" ht="24.75" customHeight="1" x14ac:dyDescent="0.4">
      <c r="A63" s="20"/>
      <c r="B63" s="20"/>
      <c r="C63" s="20"/>
      <c r="D63" s="20"/>
      <c r="E63" s="20"/>
    </row>
    <row r="64" spans="1:5" ht="24.75" customHeight="1" x14ac:dyDescent="0.4">
      <c r="A64" s="20"/>
      <c r="B64" s="20"/>
      <c r="C64" s="20"/>
      <c r="D64" s="20"/>
      <c r="E64" s="20"/>
    </row>
    <row r="65" spans="1:5" ht="24.75" customHeight="1" x14ac:dyDescent="0.4">
      <c r="A65" s="20"/>
      <c r="B65" s="20"/>
      <c r="C65" s="20"/>
      <c r="D65" s="20"/>
      <c r="E65" s="20"/>
    </row>
    <row r="66" spans="1:5" ht="24.75" customHeight="1" x14ac:dyDescent="0.4">
      <c r="A66" s="20"/>
      <c r="B66" s="20"/>
      <c r="C66" s="20"/>
      <c r="D66" s="20"/>
      <c r="E66" s="20"/>
    </row>
    <row r="67" spans="1:5" ht="24.75" customHeight="1" x14ac:dyDescent="0.4">
      <c r="A67" s="20"/>
      <c r="B67" s="20"/>
      <c r="C67" s="20"/>
      <c r="D67" s="20"/>
      <c r="E67" s="20"/>
    </row>
    <row r="68" spans="1:5" ht="24.75" customHeight="1" x14ac:dyDescent="0.4">
      <c r="A68" s="20"/>
      <c r="B68" s="20"/>
      <c r="C68" s="20"/>
      <c r="D68" s="20"/>
      <c r="E68" s="20"/>
    </row>
    <row r="69" spans="1:5" ht="24.75" customHeight="1" x14ac:dyDescent="0.4">
      <c r="A69" s="20"/>
      <c r="B69" s="20"/>
      <c r="C69" s="20"/>
      <c r="D69" s="20"/>
      <c r="E69" s="20"/>
    </row>
    <row r="70" spans="1:5" ht="24.75" customHeight="1" x14ac:dyDescent="0.4">
      <c r="A70" s="20"/>
      <c r="B70" s="20"/>
      <c r="C70" s="20"/>
      <c r="D70" s="20"/>
      <c r="E70" s="20"/>
    </row>
    <row r="71" spans="1:5" ht="24.75" customHeight="1" x14ac:dyDescent="0.4">
      <c r="A71" s="20"/>
      <c r="B71" s="20"/>
      <c r="C71" s="20"/>
      <c r="D71" s="20"/>
      <c r="E71" s="20"/>
    </row>
    <row r="72" spans="1:5" ht="24.75" customHeight="1" x14ac:dyDescent="0.4">
      <c r="A72" s="20"/>
      <c r="B72" s="20"/>
      <c r="C72" s="20"/>
      <c r="D72" s="20"/>
      <c r="E72" s="20"/>
    </row>
    <row r="73" spans="1:5" ht="24.75" customHeight="1" x14ac:dyDescent="0.4">
      <c r="A73" s="20"/>
      <c r="B73" s="20"/>
      <c r="C73" s="20"/>
      <c r="D73" s="20"/>
      <c r="E73" s="20"/>
    </row>
    <row r="74" spans="1:5" ht="24.75" customHeight="1" x14ac:dyDescent="0.4">
      <c r="A74" s="20"/>
      <c r="B74" s="20"/>
      <c r="C74" s="20"/>
      <c r="D74" s="20"/>
      <c r="E74" s="20"/>
    </row>
    <row r="75" spans="1:5" ht="24.75" customHeight="1" x14ac:dyDescent="0.4">
      <c r="A75" s="39"/>
      <c r="B75" s="39"/>
      <c r="C75" s="39"/>
      <c r="D75" s="39"/>
      <c r="E75" s="39"/>
    </row>
    <row r="76" spans="1:5" ht="24.75" customHeight="1" x14ac:dyDescent="0.4">
      <c r="A76" s="39"/>
      <c r="B76" s="39"/>
      <c r="C76" s="39"/>
      <c r="D76" s="39"/>
      <c r="E76" s="39"/>
    </row>
    <row r="77" spans="1:5" ht="24.75" customHeight="1" x14ac:dyDescent="0.4">
      <c r="A77" s="39"/>
      <c r="B77" s="39"/>
      <c r="C77" s="39"/>
      <c r="D77" s="39"/>
      <c r="E77" s="39"/>
    </row>
    <row r="78" spans="1:5" ht="24.75" customHeight="1" x14ac:dyDescent="0.4">
      <c r="A78" s="39"/>
      <c r="B78" s="39"/>
      <c r="C78" s="39"/>
      <c r="D78" s="39"/>
      <c r="E78" s="39"/>
    </row>
    <row r="79" spans="1:5" ht="24.75" customHeight="1" x14ac:dyDescent="0.4">
      <c r="A79" s="39"/>
      <c r="B79" s="39"/>
      <c r="C79" s="39"/>
      <c r="D79" s="39"/>
      <c r="E79" s="39"/>
    </row>
    <row r="80" spans="1:5" ht="24.75" customHeight="1" x14ac:dyDescent="0.4">
      <c r="A80" s="39"/>
      <c r="B80" s="39"/>
      <c r="C80" s="39"/>
      <c r="D80" s="39"/>
      <c r="E80" s="39"/>
    </row>
    <row r="81" spans="1:5" ht="24.75" customHeight="1" x14ac:dyDescent="0.4">
      <c r="A81" s="39"/>
      <c r="B81" s="39"/>
      <c r="C81" s="39"/>
      <c r="D81" s="39"/>
      <c r="E81" s="39"/>
    </row>
    <row r="82" spans="1:5" ht="24.75" customHeight="1" x14ac:dyDescent="0.4">
      <c r="A82" s="39"/>
      <c r="B82" s="39"/>
      <c r="C82" s="39"/>
      <c r="D82" s="39"/>
      <c r="E82" s="39"/>
    </row>
    <row r="83" spans="1:5" ht="24.75" customHeight="1" x14ac:dyDescent="0.4">
      <c r="A83" s="39"/>
      <c r="B83" s="39"/>
      <c r="C83" s="39"/>
      <c r="D83" s="39"/>
      <c r="E83" s="39"/>
    </row>
    <row r="84" spans="1:5" ht="24.75" customHeight="1" x14ac:dyDescent="0.4">
      <c r="A84" s="39"/>
      <c r="B84" s="39"/>
      <c r="C84" s="39"/>
      <c r="D84" s="39"/>
      <c r="E84" s="39"/>
    </row>
    <row r="85" spans="1:5" ht="24.75" customHeight="1" x14ac:dyDescent="0.4">
      <c r="A85" s="39"/>
      <c r="B85" s="39"/>
      <c r="C85" s="39"/>
      <c r="D85" s="39"/>
      <c r="E85" s="39"/>
    </row>
    <row r="86" spans="1:5" ht="24.75" customHeight="1" x14ac:dyDescent="0.4">
      <c r="A86" s="39"/>
      <c r="B86" s="39"/>
      <c r="C86" s="39"/>
      <c r="D86" s="39"/>
      <c r="E86" s="39"/>
    </row>
    <row r="87" spans="1:5" ht="24.75" customHeight="1" x14ac:dyDescent="0.4">
      <c r="A87" s="39"/>
      <c r="B87" s="39"/>
      <c r="C87" s="39"/>
      <c r="D87" s="39"/>
      <c r="E87" s="39"/>
    </row>
    <row r="88" spans="1:5" ht="24.75" customHeight="1" x14ac:dyDescent="0.4">
      <c r="A88" s="39"/>
      <c r="B88" s="39"/>
      <c r="C88" s="39"/>
      <c r="D88" s="39"/>
      <c r="E88" s="39"/>
    </row>
    <row r="89" spans="1:5" ht="24.75" customHeight="1" x14ac:dyDescent="0.4">
      <c r="A89" s="39"/>
      <c r="B89" s="39"/>
      <c r="C89" s="39"/>
      <c r="D89" s="39"/>
      <c r="E89" s="39"/>
    </row>
    <row r="90" spans="1:5" ht="24.75" customHeight="1" x14ac:dyDescent="0.4">
      <c r="A90" s="39"/>
      <c r="B90" s="39"/>
      <c r="C90" s="39"/>
      <c r="D90" s="39"/>
      <c r="E90" s="39"/>
    </row>
    <row r="91" spans="1:5" ht="24.75" customHeight="1" x14ac:dyDescent="0.4">
      <c r="A91" s="39"/>
      <c r="B91" s="39"/>
      <c r="C91" s="39"/>
      <c r="D91" s="39"/>
      <c r="E91" s="39"/>
    </row>
    <row r="92" spans="1:5" ht="24.75" customHeight="1" x14ac:dyDescent="0.4">
      <c r="A92" s="39"/>
      <c r="B92" s="39"/>
      <c r="C92" s="39"/>
      <c r="D92" s="39"/>
      <c r="E92" s="39"/>
    </row>
    <row r="93" spans="1:5" ht="24.75" customHeight="1" x14ac:dyDescent="0.4">
      <c r="A93" s="39"/>
      <c r="B93" s="39"/>
      <c r="C93" s="39"/>
      <c r="D93" s="39"/>
      <c r="E93" s="39"/>
    </row>
    <row r="94" spans="1:5" ht="24.75" customHeight="1" x14ac:dyDescent="0.4">
      <c r="A94" s="39"/>
      <c r="B94" s="39"/>
      <c r="C94" s="39"/>
      <c r="D94" s="39"/>
      <c r="E94" s="39"/>
    </row>
    <row r="95" spans="1:5" ht="24.75" customHeight="1" x14ac:dyDescent="0.4">
      <c r="A95" s="39"/>
      <c r="B95" s="39"/>
      <c r="C95" s="39"/>
      <c r="D95" s="39"/>
      <c r="E95" s="39"/>
    </row>
    <row r="96" spans="1:5" ht="24.75" customHeight="1" x14ac:dyDescent="0.4">
      <c r="A96" s="39"/>
      <c r="B96" s="39"/>
      <c r="C96" s="39"/>
      <c r="D96" s="39"/>
      <c r="E96" s="39"/>
    </row>
    <row r="97" spans="1:5" ht="24.75" customHeight="1" x14ac:dyDescent="0.4">
      <c r="A97" s="39"/>
      <c r="B97" s="39"/>
      <c r="C97" s="39"/>
      <c r="D97" s="39"/>
      <c r="E97" s="39"/>
    </row>
    <row r="98" spans="1:5" ht="24.75" customHeight="1" x14ac:dyDescent="0.4">
      <c r="A98" s="39"/>
      <c r="B98" s="39"/>
      <c r="C98" s="39"/>
      <c r="D98" s="39"/>
      <c r="E98" s="39"/>
    </row>
    <row r="99" spans="1:5" ht="24.75" customHeight="1" x14ac:dyDescent="0.4">
      <c r="A99" s="39"/>
      <c r="B99" s="39"/>
      <c r="C99" s="39"/>
      <c r="D99" s="39"/>
      <c r="E99" s="39"/>
    </row>
    <row r="100" spans="1:5" ht="24.75" customHeight="1" x14ac:dyDescent="0.4">
      <c r="A100" s="39"/>
      <c r="B100" s="39"/>
      <c r="C100" s="39"/>
      <c r="D100" s="39"/>
      <c r="E100" s="39"/>
    </row>
    <row r="101" spans="1:5" ht="24.75" customHeight="1" x14ac:dyDescent="0.4">
      <c r="A101" s="39"/>
      <c r="B101" s="39"/>
      <c r="C101" s="39"/>
      <c r="D101" s="39"/>
      <c r="E101" s="39"/>
    </row>
    <row r="102" spans="1:5" ht="24.75" customHeight="1" x14ac:dyDescent="0.4">
      <c r="A102" s="39"/>
      <c r="B102" s="39"/>
      <c r="C102" s="39"/>
      <c r="D102" s="39"/>
      <c r="E102" s="39"/>
    </row>
    <row r="103" spans="1:5" ht="24.75" customHeight="1" x14ac:dyDescent="0.4">
      <c r="A103" s="39"/>
      <c r="B103" s="39"/>
      <c r="C103" s="39"/>
      <c r="D103" s="39"/>
      <c r="E103" s="39"/>
    </row>
    <row r="104" spans="1:5" ht="24.75" customHeight="1" x14ac:dyDescent="0.4">
      <c r="A104" s="39"/>
      <c r="B104" s="39"/>
      <c r="C104" s="39"/>
      <c r="D104" s="39"/>
      <c r="E104" s="39"/>
    </row>
    <row r="105" spans="1:5" ht="24.75" customHeight="1" x14ac:dyDescent="0.4">
      <c r="A105" s="39"/>
      <c r="B105" s="39"/>
      <c r="C105" s="39"/>
      <c r="D105" s="39"/>
      <c r="E105" s="39"/>
    </row>
    <row r="106" spans="1:5" ht="24.75" customHeight="1" x14ac:dyDescent="0.4">
      <c r="A106" s="39"/>
      <c r="B106" s="39"/>
      <c r="C106" s="39"/>
      <c r="D106" s="39"/>
      <c r="E106" s="39"/>
    </row>
    <row r="107" spans="1:5" ht="24.75" customHeight="1" x14ac:dyDescent="0.4">
      <c r="A107" s="39"/>
      <c r="B107" s="39"/>
      <c r="C107" s="39"/>
      <c r="D107" s="39"/>
      <c r="E107" s="39"/>
    </row>
    <row r="108" spans="1:5" ht="24.75" customHeight="1" x14ac:dyDescent="0.4">
      <c r="A108" s="39"/>
      <c r="B108" s="39"/>
      <c r="C108" s="39"/>
      <c r="D108" s="39"/>
      <c r="E108" s="39"/>
    </row>
    <row r="109" spans="1:5" ht="24.75" customHeight="1" x14ac:dyDescent="0.4">
      <c r="A109" s="39"/>
      <c r="B109" s="39"/>
      <c r="C109" s="39"/>
      <c r="D109" s="39"/>
      <c r="E109" s="39"/>
    </row>
    <row r="110" spans="1:5" ht="24.75" customHeight="1" x14ac:dyDescent="0.4">
      <c r="A110" s="39"/>
      <c r="B110" s="39"/>
      <c r="C110" s="39"/>
      <c r="D110" s="39"/>
      <c r="E110" s="39"/>
    </row>
    <row r="111" spans="1:5" ht="24.75" customHeight="1" x14ac:dyDescent="0.4">
      <c r="A111" s="39"/>
      <c r="B111" s="39"/>
      <c r="C111" s="39"/>
      <c r="D111" s="39"/>
      <c r="E111" s="39"/>
    </row>
    <row r="112" spans="1:5" ht="24.75" customHeight="1" x14ac:dyDescent="0.4">
      <c r="A112" s="39"/>
      <c r="B112" s="39"/>
      <c r="C112" s="39"/>
      <c r="D112" s="39"/>
      <c r="E112" s="39"/>
    </row>
    <row r="113" spans="1:5" ht="24.75" customHeight="1" x14ac:dyDescent="0.4">
      <c r="A113" s="39"/>
      <c r="B113" s="39"/>
      <c r="C113" s="39"/>
      <c r="D113" s="39"/>
      <c r="E113" s="39"/>
    </row>
    <row r="114" spans="1:5" ht="24.75" customHeight="1" x14ac:dyDescent="0.4">
      <c r="A114" s="39"/>
      <c r="B114" s="39"/>
      <c r="C114" s="39"/>
      <c r="D114" s="39"/>
      <c r="E114" s="39"/>
    </row>
    <row r="115" spans="1:5" ht="24.75" customHeight="1" x14ac:dyDescent="0.4">
      <c r="A115" s="39"/>
      <c r="B115" s="39"/>
      <c r="C115" s="39"/>
      <c r="D115" s="39"/>
      <c r="E115" s="39"/>
    </row>
    <row r="116" spans="1:5" ht="24.75" customHeight="1" x14ac:dyDescent="0.4">
      <c r="A116" s="39"/>
      <c r="B116" s="39"/>
      <c r="C116" s="39"/>
      <c r="D116" s="39"/>
      <c r="E116" s="39"/>
    </row>
    <row r="117" spans="1:5" ht="24.75" customHeight="1" x14ac:dyDescent="0.4">
      <c r="A117" s="39"/>
      <c r="B117" s="39"/>
      <c r="C117" s="39"/>
      <c r="D117" s="39"/>
      <c r="E117" s="39"/>
    </row>
    <row r="118" spans="1:5" ht="24.75" customHeight="1" x14ac:dyDescent="0.4">
      <c r="A118" s="39"/>
      <c r="B118" s="39"/>
      <c r="C118" s="39"/>
      <c r="D118" s="39"/>
      <c r="E118" s="39"/>
    </row>
    <row r="119" spans="1:5" ht="24.75" customHeight="1" x14ac:dyDescent="0.4">
      <c r="A119" s="39"/>
      <c r="B119" s="39"/>
      <c r="C119" s="39"/>
      <c r="D119" s="39"/>
      <c r="E119" s="39"/>
    </row>
    <row r="120" spans="1:5" ht="24.75" customHeight="1" x14ac:dyDescent="0.4">
      <c r="A120" s="39"/>
      <c r="B120" s="39"/>
      <c r="C120" s="39"/>
      <c r="D120" s="39"/>
    </row>
    <row r="121" spans="1:5" ht="24.75" customHeight="1" x14ac:dyDescent="0.4">
      <c r="A121" s="39"/>
      <c r="B121" s="39"/>
      <c r="C121" s="39"/>
      <c r="D121" s="39"/>
    </row>
    <row r="122" spans="1:5" ht="24.75" customHeight="1" x14ac:dyDescent="0.4">
      <c r="A122" s="39"/>
      <c r="B122" s="39"/>
      <c r="C122" s="39"/>
      <c r="D122" s="39"/>
    </row>
    <row r="123" spans="1:5" ht="24.75" customHeight="1" x14ac:dyDescent="0.4">
      <c r="A123" s="39"/>
      <c r="B123" s="39"/>
      <c r="C123" s="39"/>
      <c r="D123" s="39"/>
    </row>
    <row r="124" spans="1:5" ht="24.75" customHeight="1" x14ac:dyDescent="0.4">
      <c r="A124" s="39"/>
      <c r="B124" s="39"/>
      <c r="C124" s="39"/>
      <c r="D124" s="39"/>
    </row>
    <row r="125" spans="1:5" ht="24.75" customHeight="1" x14ac:dyDescent="0.4">
      <c r="A125" s="39"/>
      <c r="B125" s="39"/>
      <c r="C125" s="39"/>
      <c r="D125" s="39"/>
    </row>
    <row r="126" spans="1:5" ht="24.75" customHeight="1" x14ac:dyDescent="0.4">
      <c r="A126" s="39"/>
      <c r="B126" s="39"/>
      <c r="C126" s="39"/>
      <c r="D126" s="39"/>
    </row>
    <row r="127" spans="1:5" ht="24.75" customHeight="1" x14ac:dyDescent="0.4">
      <c r="A127" s="39"/>
      <c r="B127" s="39"/>
      <c r="C127" s="39"/>
      <c r="D127" s="39"/>
    </row>
    <row r="128" spans="1:5" ht="24.75" customHeight="1" x14ac:dyDescent="0.4">
      <c r="A128" s="39"/>
      <c r="B128" s="39"/>
      <c r="C128" s="39"/>
      <c r="D128" s="39"/>
    </row>
    <row r="129" spans="1:4" ht="24.75" customHeight="1" x14ac:dyDescent="0.4">
      <c r="A129" s="39"/>
      <c r="B129" s="39"/>
      <c r="C129" s="39"/>
      <c r="D129" s="39"/>
    </row>
    <row r="130" spans="1:4" ht="24.75" customHeight="1" x14ac:dyDescent="0.4">
      <c r="A130" s="39"/>
      <c r="B130" s="39"/>
      <c r="C130" s="39"/>
      <c r="D130" s="39"/>
    </row>
    <row r="131" spans="1:4" ht="24.75" customHeight="1" x14ac:dyDescent="0.4">
      <c r="A131" s="39"/>
      <c r="B131" s="39"/>
      <c r="C131" s="39"/>
      <c r="D131" s="39"/>
    </row>
    <row r="132" spans="1:4" ht="24.75" customHeight="1" x14ac:dyDescent="0.4">
      <c r="A132" s="39"/>
      <c r="B132" s="39"/>
      <c r="C132" s="39"/>
      <c r="D132" s="39"/>
    </row>
    <row r="133" spans="1:4" ht="24.75" customHeight="1" x14ac:dyDescent="0.4">
      <c r="A133" s="39"/>
      <c r="B133" s="39"/>
      <c r="C133" s="39"/>
      <c r="D133" s="39"/>
    </row>
    <row r="134" spans="1:4" ht="24.75" customHeight="1" x14ac:dyDescent="0.4">
      <c r="A134" s="39"/>
      <c r="B134" s="39"/>
      <c r="C134" s="39"/>
      <c r="D134" s="39"/>
    </row>
    <row r="135" spans="1:4" ht="24.75" customHeight="1" x14ac:dyDescent="0.4">
      <c r="A135" s="39"/>
      <c r="B135" s="39"/>
      <c r="C135" s="39"/>
      <c r="D135" s="39"/>
    </row>
    <row r="136" spans="1:4" ht="24.75" customHeight="1" x14ac:dyDescent="0.4">
      <c r="A136" s="39"/>
      <c r="B136" s="39"/>
      <c r="C136" s="39"/>
      <c r="D136" s="39"/>
    </row>
    <row r="137" spans="1:4" ht="24.75" customHeight="1" x14ac:dyDescent="0.4">
      <c r="A137" s="39"/>
      <c r="B137" s="39"/>
      <c r="C137" s="39"/>
      <c r="D137" s="39"/>
    </row>
    <row r="138" spans="1:4" ht="24.75" customHeight="1" x14ac:dyDescent="0.4">
      <c r="A138" s="39"/>
      <c r="B138" s="39"/>
      <c r="C138" s="39"/>
      <c r="D138" s="39"/>
    </row>
    <row r="139" spans="1:4" ht="24.75" customHeight="1" x14ac:dyDescent="0.4">
      <c r="A139" s="39"/>
      <c r="B139" s="39"/>
      <c r="C139" s="39"/>
      <c r="D139" s="39"/>
    </row>
    <row r="140" spans="1:4" ht="24.75" customHeight="1" x14ac:dyDescent="0.4">
      <c r="A140" s="39"/>
      <c r="B140" s="39"/>
      <c r="C140" s="39"/>
      <c r="D140" s="39"/>
    </row>
    <row r="141" spans="1:4" ht="24.75" customHeight="1" x14ac:dyDescent="0.4">
      <c r="A141" s="39"/>
      <c r="B141" s="39"/>
      <c r="C141" s="39"/>
      <c r="D141" s="39"/>
    </row>
    <row r="142" spans="1:4" ht="24.75" customHeight="1" x14ac:dyDescent="0.4">
      <c r="A142" s="39"/>
      <c r="B142" s="39"/>
      <c r="C142" s="39"/>
      <c r="D142" s="39"/>
    </row>
    <row r="143" spans="1:4" ht="24.75" customHeight="1" x14ac:dyDescent="0.4">
      <c r="A143" s="39"/>
      <c r="B143" s="39"/>
      <c r="C143" s="39"/>
      <c r="D143" s="39"/>
    </row>
    <row r="144" spans="1:4" ht="24.75" customHeight="1" x14ac:dyDescent="0.4">
      <c r="A144" s="39"/>
      <c r="B144" s="39"/>
      <c r="C144" s="39"/>
      <c r="D144" s="39"/>
    </row>
    <row r="145" spans="1:4" ht="24.75" customHeight="1" x14ac:dyDescent="0.4">
      <c r="A145" s="39"/>
      <c r="B145" s="39"/>
      <c r="C145" s="39"/>
      <c r="D145" s="39"/>
    </row>
    <row r="146" spans="1:4" ht="24.75" customHeight="1" x14ac:dyDescent="0.4">
      <c r="A146" s="39"/>
      <c r="B146" s="39"/>
      <c r="C146" s="39"/>
      <c r="D146" s="39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Tamu District , Tamu Township"/>
  </hyperlinks>
  <pageMargins left="0.75" right="0.5" top="0.5" bottom="0.2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sqref="A1:E1"/>
    </sheetView>
  </sheetViews>
  <sheetFormatPr defaultRowHeight="24.75" customHeight="1" x14ac:dyDescent="0.4"/>
  <cols>
    <col min="1" max="1" width="7.85546875" style="2" customWidth="1"/>
    <col min="2" max="2" width="24.140625" style="2" customWidth="1"/>
    <col min="3" max="5" width="15.7109375" style="2" customWidth="1"/>
    <col min="6" max="16384" width="9.140625" style="2"/>
  </cols>
  <sheetData>
    <row r="1" spans="1:11" ht="24.75" customHeight="1" x14ac:dyDescent="0.4">
      <c r="A1" s="67" t="s">
        <v>1752</v>
      </c>
      <c r="B1" s="67"/>
      <c r="C1" s="67"/>
      <c r="D1" s="67"/>
      <c r="E1" s="67"/>
    </row>
    <row r="2" spans="1:11" ht="24.75" customHeight="1" x14ac:dyDescent="0.4">
      <c r="B2" s="7"/>
      <c r="C2" s="7"/>
      <c r="D2" s="7"/>
      <c r="E2" s="56" t="s">
        <v>1722</v>
      </c>
    </row>
    <row r="3" spans="1:11" ht="24.75" customHeight="1" x14ac:dyDescent="0.4">
      <c r="B3" s="7"/>
      <c r="C3" s="7"/>
      <c r="D3" s="7"/>
      <c r="E3" s="56"/>
    </row>
    <row r="4" spans="1:11" ht="10.5" customHeight="1" x14ac:dyDescent="0.4">
      <c r="B4" s="7"/>
      <c r="C4" s="7"/>
      <c r="D4" s="7"/>
      <c r="E4" s="7"/>
    </row>
    <row r="5" spans="1:11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11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11" ht="24.75" customHeight="1" x14ac:dyDescent="0.4">
      <c r="A7" s="9"/>
      <c r="B7" s="9" t="s">
        <v>1772</v>
      </c>
      <c r="C7" s="9">
        <f>C9+C13</f>
        <v>16798</v>
      </c>
      <c r="D7" s="9">
        <f t="shared" ref="D7:E7" si="0">D9+D13</f>
        <v>8760</v>
      </c>
      <c r="E7" s="9">
        <f t="shared" si="0"/>
        <v>8038</v>
      </c>
      <c r="G7" s="36"/>
      <c r="H7" s="41"/>
      <c r="I7" s="41"/>
      <c r="J7" s="41"/>
      <c r="K7" s="41"/>
    </row>
    <row r="8" spans="1:11" ht="10.5" customHeight="1" x14ac:dyDescent="0.4">
      <c r="A8" s="10"/>
      <c r="B8" s="42"/>
      <c r="C8" s="42"/>
      <c r="D8" s="42"/>
      <c r="E8" s="42"/>
      <c r="G8" s="36"/>
      <c r="I8" s="41"/>
      <c r="J8" s="41"/>
      <c r="K8" s="41"/>
    </row>
    <row r="9" spans="1:11" ht="24.75" customHeight="1" x14ac:dyDescent="0.4">
      <c r="A9" s="10"/>
      <c r="B9" s="10" t="s">
        <v>1725</v>
      </c>
      <c r="C9" s="10">
        <f>SUM(C10:C12)</f>
        <v>1642</v>
      </c>
      <c r="D9" s="10">
        <f t="shared" ref="D9:E9" si="1">SUM(D10:D12)</f>
        <v>917</v>
      </c>
      <c r="E9" s="10">
        <f t="shared" si="1"/>
        <v>725</v>
      </c>
      <c r="G9" s="36"/>
      <c r="I9" s="41"/>
      <c r="J9" s="41"/>
      <c r="K9" s="41"/>
    </row>
    <row r="10" spans="1:11" ht="24.75" customHeight="1" x14ac:dyDescent="0.4">
      <c r="A10" s="11">
        <v>1</v>
      </c>
      <c r="B10" s="11" t="s">
        <v>203</v>
      </c>
      <c r="C10" s="11">
        <v>227</v>
      </c>
      <c r="D10" s="11">
        <v>111</v>
      </c>
      <c r="E10" s="11">
        <v>116</v>
      </c>
      <c r="G10" s="36"/>
      <c r="I10" s="41"/>
      <c r="J10" s="41"/>
      <c r="K10" s="41"/>
    </row>
    <row r="11" spans="1:11" ht="24.75" customHeight="1" x14ac:dyDescent="0.4">
      <c r="A11" s="11">
        <v>2</v>
      </c>
      <c r="B11" s="11" t="s">
        <v>204</v>
      </c>
      <c r="C11" s="11">
        <v>548</v>
      </c>
      <c r="D11" s="11">
        <v>360</v>
      </c>
      <c r="E11" s="11">
        <v>188</v>
      </c>
      <c r="G11" s="36"/>
      <c r="I11" s="41"/>
      <c r="J11" s="41"/>
      <c r="K11" s="41"/>
    </row>
    <row r="12" spans="1:11" ht="24.75" customHeight="1" x14ac:dyDescent="0.4">
      <c r="A12" s="11">
        <v>3</v>
      </c>
      <c r="B12" s="11" t="s">
        <v>205</v>
      </c>
      <c r="C12" s="11">
        <v>867</v>
      </c>
      <c r="D12" s="11">
        <v>446</v>
      </c>
      <c r="E12" s="11">
        <v>421</v>
      </c>
      <c r="G12" s="36"/>
      <c r="I12" s="41"/>
      <c r="J12" s="41"/>
      <c r="K12" s="41"/>
    </row>
    <row r="13" spans="1:11" ht="24.75" customHeight="1" x14ac:dyDescent="0.4">
      <c r="A13" s="11"/>
      <c r="B13" s="10" t="s">
        <v>1773</v>
      </c>
      <c r="C13" s="10">
        <f>SUM(C14:C19)</f>
        <v>15156</v>
      </c>
      <c r="D13" s="10">
        <f t="shared" ref="D13:E13" si="2">SUM(D14:D19)</f>
        <v>7843</v>
      </c>
      <c r="E13" s="10">
        <f t="shared" si="2"/>
        <v>7313</v>
      </c>
      <c r="G13" s="36"/>
      <c r="I13" s="41"/>
      <c r="J13" s="41"/>
      <c r="K13" s="41"/>
    </row>
    <row r="14" spans="1:11" ht="24.75" customHeight="1" x14ac:dyDescent="0.4">
      <c r="A14" s="11">
        <v>1</v>
      </c>
      <c r="B14" s="11" t="s">
        <v>1268</v>
      </c>
      <c r="C14" s="11">
        <v>3066</v>
      </c>
      <c r="D14" s="11">
        <v>1591</v>
      </c>
      <c r="E14" s="11">
        <v>1475</v>
      </c>
      <c r="G14" s="36"/>
      <c r="I14" s="41"/>
      <c r="J14" s="41"/>
      <c r="K14" s="41"/>
    </row>
    <row r="15" spans="1:11" ht="24.75" customHeight="1" x14ac:dyDescent="0.4">
      <c r="A15" s="11">
        <v>2</v>
      </c>
      <c r="B15" s="11" t="s">
        <v>1269</v>
      </c>
      <c r="C15" s="11">
        <v>1293</v>
      </c>
      <c r="D15" s="11">
        <v>708</v>
      </c>
      <c r="E15" s="11">
        <v>585</v>
      </c>
      <c r="G15" s="36"/>
      <c r="I15" s="41"/>
      <c r="J15" s="41"/>
      <c r="K15" s="41"/>
    </row>
    <row r="16" spans="1:11" ht="24.75" customHeight="1" x14ac:dyDescent="0.4">
      <c r="A16" s="11">
        <v>3</v>
      </c>
      <c r="B16" s="11" t="s">
        <v>1270</v>
      </c>
      <c r="C16" s="11">
        <v>2936</v>
      </c>
      <c r="D16" s="11">
        <v>1583</v>
      </c>
      <c r="E16" s="11">
        <v>1353</v>
      </c>
      <c r="G16" s="36"/>
      <c r="I16" s="41"/>
      <c r="J16" s="41"/>
      <c r="K16" s="41"/>
    </row>
    <row r="17" spans="1:11" ht="24.75" customHeight="1" x14ac:dyDescent="0.4">
      <c r="A17" s="11">
        <v>4</v>
      </c>
      <c r="B17" s="11" t="s">
        <v>1271</v>
      </c>
      <c r="C17" s="11">
        <v>4030</v>
      </c>
      <c r="D17" s="11">
        <v>2022</v>
      </c>
      <c r="E17" s="11">
        <v>2008</v>
      </c>
      <c r="G17" s="36"/>
      <c r="I17" s="41"/>
      <c r="J17" s="41"/>
      <c r="K17" s="41"/>
    </row>
    <row r="18" spans="1:11" ht="24.75" customHeight="1" x14ac:dyDescent="0.4">
      <c r="A18" s="11">
        <v>5</v>
      </c>
      <c r="B18" s="11" t="s">
        <v>1272</v>
      </c>
      <c r="C18" s="11">
        <v>1167</v>
      </c>
      <c r="D18" s="11">
        <v>597</v>
      </c>
      <c r="E18" s="11">
        <v>570</v>
      </c>
      <c r="G18" s="36"/>
      <c r="I18" s="41"/>
      <c r="J18" s="41"/>
      <c r="K18" s="41"/>
    </row>
    <row r="19" spans="1:11" ht="24.75" customHeight="1" x14ac:dyDescent="0.4">
      <c r="A19" s="11">
        <v>6</v>
      </c>
      <c r="B19" s="12" t="s">
        <v>1273</v>
      </c>
      <c r="C19" s="12">
        <v>2664</v>
      </c>
      <c r="D19" s="12">
        <v>1342</v>
      </c>
      <c r="E19" s="12">
        <v>1322</v>
      </c>
      <c r="G19" s="36"/>
      <c r="I19" s="41"/>
      <c r="J19" s="41"/>
      <c r="K19" s="41"/>
    </row>
    <row r="20" spans="1:11" ht="24.75" customHeight="1" x14ac:dyDescent="0.4">
      <c r="A20" s="18"/>
      <c r="B20" s="18"/>
      <c r="C20" s="18"/>
      <c r="D20" s="18"/>
      <c r="E20" s="18"/>
    </row>
    <row r="21" spans="1:11" ht="24.75" customHeight="1" x14ac:dyDescent="0.4">
      <c r="A21" s="20"/>
      <c r="B21" s="20"/>
      <c r="C21" s="20"/>
      <c r="D21" s="20"/>
      <c r="E21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Tamu District , Myothit  Sub-Township"/>
  </hyperlinks>
  <pageMargins left="0.75" right="0.5" top="0.5" bottom="0.25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sqref="A1:E1"/>
    </sheetView>
  </sheetViews>
  <sheetFormatPr defaultRowHeight="24.75" customHeight="1" x14ac:dyDescent="0.4"/>
  <cols>
    <col min="1" max="1" width="5.7109375" style="2" customWidth="1"/>
    <col min="2" max="2" width="33.5703125" style="2" customWidth="1"/>
    <col min="3" max="5" width="15.7109375" style="2" customWidth="1"/>
    <col min="6" max="16384" width="9.140625" style="2"/>
  </cols>
  <sheetData>
    <row r="1" spans="1:5" ht="24.75" customHeight="1" x14ac:dyDescent="0.4">
      <c r="A1" s="67" t="s">
        <v>1753</v>
      </c>
      <c r="B1" s="67"/>
      <c r="C1" s="67"/>
      <c r="D1" s="67"/>
      <c r="E1" s="67"/>
    </row>
    <row r="2" spans="1:5" ht="24.75" customHeight="1" x14ac:dyDescent="0.4">
      <c r="B2" s="7"/>
      <c r="C2" s="7"/>
      <c r="D2" s="7"/>
      <c r="E2" s="56" t="s">
        <v>1722</v>
      </c>
    </row>
    <row r="3" spans="1:5" ht="24.75" customHeight="1" x14ac:dyDescent="0.4">
      <c r="B3" s="7"/>
      <c r="C3" s="7"/>
      <c r="D3" s="7"/>
      <c r="E3" s="56"/>
    </row>
    <row r="4" spans="1:5" ht="9.75" customHeight="1" x14ac:dyDescent="0.4">
      <c r="B4" s="7"/>
      <c r="C4" s="7"/>
      <c r="D4" s="7"/>
      <c r="E4" s="7"/>
    </row>
    <row r="5" spans="1:5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4.75" customHeight="1" x14ac:dyDescent="0.4">
      <c r="A7" s="9"/>
      <c r="B7" s="9" t="s">
        <v>1772</v>
      </c>
      <c r="C7" s="9">
        <f>C9+C15</f>
        <v>38728</v>
      </c>
      <c r="D7" s="9">
        <f t="shared" ref="D7:E7" si="0">D9+D15</f>
        <v>19008</v>
      </c>
      <c r="E7" s="9">
        <f t="shared" si="0"/>
        <v>19720</v>
      </c>
    </row>
    <row r="8" spans="1:5" ht="9.75" customHeight="1" x14ac:dyDescent="0.4">
      <c r="A8" s="10"/>
      <c r="B8" s="42"/>
      <c r="C8" s="42"/>
      <c r="D8" s="42"/>
      <c r="E8" s="42"/>
    </row>
    <row r="9" spans="1:5" ht="24.75" customHeight="1" x14ac:dyDescent="0.4">
      <c r="A9" s="10"/>
      <c r="B9" s="10" t="s">
        <v>1725</v>
      </c>
      <c r="C9" s="10">
        <f>SUM(C10:C14)</f>
        <v>14559</v>
      </c>
      <c r="D9" s="10">
        <f t="shared" ref="D9:E9" si="1">SUM(D10:D14)</f>
        <v>7004</v>
      </c>
      <c r="E9" s="10">
        <f t="shared" si="1"/>
        <v>7555</v>
      </c>
    </row>
    <row r="10" spans="1:5" ht="24.75" customHeight="1" x14ac:dyDescent="0.4">
      <c r="A10" s="11">
        <v>1</v>
      </c>
      <c r="B10" s="11" t="s">
        <v>203</v>
      </c>
      <c r="C10" s="11">
        <v>3575</v>
      </c>
      <c r="D10" s="11">
        <v>1636</v>
      </c>
      <c r="E10" s="11">
        <v>1939</v>
      </c>
    </row>
    <row r="11" spans="1:5" ht="24.75" customHeight="1" x14ac:dyDescent="0.4">
      <c r="A11" s="11">
        <v>2</v>
      </c>
      <c r="B11" s="11" t="s">
        <v>204</v>
      </c>
      <c r="C11" s="11">
        <v>3978</v>
      </c>
      <c r="D11" s="11">
        <v>1927</v>
      </c>
      <c r="E11" s="11">
        <v>2051</v>
      </c>
    </row>
    <row r="12" spans="1:5" ht="24.75" customHeight="1" x14ac:dyDescent="0.4">
      <c r="A12" s="11">
        <v>3</v>
      </c>
      <c r="B12" s="11" t="s">
        <v>205</v>
      </c>
      <c r="C12" s="11">
        <v>1833</v>
      </c>
      <c r="D12" s="11">
        <v>874</v>
      </c>
      <c r="E12" s="11">
        <v>959</v>
      </c>
    </row>
    <row r="13" spans="1:5" ht="24.75" customHeight="1" x14ac:dyDescent="0.4">
      <c r="A13" s="11">
        <v>4</v>
      </c>
      <c r="B13" s="11" t="s">
        <v>206</v>
      </c>
      <c r="C13" s="11">
        <v>3798</v>
      </c>
      <c r="D13" s="11">
        <v>1866</v>
      </c>
      <c r="E13" s="11">
        <v>1932</v>
      </c>
    </row>
    <row r="14" spans="1:5" ht="24.75" customHeight="1" x14ac:dyDescent="0.4">
      <c r="A14" s="11">
        <v>5</v>
      </c>
      <c r="B14" s="11" t="s">
        <v>207</v>
      </c>
      <c r="C14" s="11">
        <v>1375</v>
      </c>
      <c r="D14" s="11">
        <v>701</v>
      </c>
      <c r="E14" s="11">
        <v>674</v>
      </c>
    </row>
    <row r="15" spans="1:5" ht="24.75" customHeight="1" x14ac:dyDescent="0.4">
      <c r="A15" s="11"/>
      <c r="B15" s="10" t="s">
        <v>1773</v>
      </c>
      <c r="C15" s="10">
        <f>SUM(C16:C23)</f>
        <v>24169</v>
      </c>
      <c r="D15" s="10">
        <f t="shared" ref="D15:E15" si="2">SUM(D16:D23)</f>
        <v>12004</v>
      </c>
      <c r="E15" s="10">
        <f t="shared" si="2"/>
        <v>12165</v>
      </c>
    </row>
    <row r="16" spans="1:5" ht="24.75" customHeight="1" x14ac:dyDescent="0.4">
      <c r="A16" s="11">
        <v>1</v>
      </c>
      <c r="B16" s="11" t="s">
        <v>1274</v>
      </c>
      <c r="C16" s="11">
        <v>4269</v>
      </c>
      <c r="D16" s="11">
        <v>2163</v>
      </c>
      <c r="E16" s="11">
        <v>2106</v>
      </c>
    </row>
    <row r="17" spans="1:5" ht="24.75" customHeight="1" x14ac:dyDescent="0.4">
      <c r="A17" s="11">
        <v>2</v>
      </c>
      <c r="B17" s="11" t="s">
        <v>1275</v>
      </c>
      <c r="C17" s="11">
        <v>1927</v>
      </c>
      <c r="D17" s="11">
        <v>961</v>
      </c>
      <c r="E17" s="11">
        <v>966</v>
      </c>
    </row>
    <row r="18" spans="1:5" ht="24.75" customHeight="1" x14ac:dyDescent="0.4">
      <c r="A18" s="11">
        <v>3</v>
      </c>
      <c r="B18" s="11" t="s">
        <v>328</v>
      </c>
      <c r="C18" s="11">
        <v>485</v>
      </c>
      <c r="D18" s="11">
        <v>256</v>
      </c>
      <c r="E18" s="11">
        <v>229</v>
      </c>
    </row>
    <row r="19" spans="1:5" ht="24.75" customHeight="1" x14ac:dyDescent="0.4">
      <c r="A19" s="11">
        <v>4</v>
      </c>
      <c r="B19" s="11" t="s">
        <v>1276</v>
      </c>
      <c r="C19" s="11">
        <v>1627</v>
      </c>
      <c r="D19" s="11">
        <v>840</v>
      </c>
      <c r="E19" s="11">
        <v>787</v>
      </c>
    </row>
    <row r="20" spans="1:5" ht="24.75" customHeight="1" x14ac:dyDescent="0.4">
      <c r="A20" s="11">
        <v>5</v>
      </c>
      <c r="B20" s="11" t="s">
        <v>1277</v>
      </c>
      <c r="C20" s="11">
        <v>1179</v>
      </c>
      <c r="D20" s="11">
        <v>604</v>
      </c>
      <c r="E20" s="11">
        <v>575</v>
      </c>
    </row>
    <row r="21" spans="1:5" ht="24.75" customHeight="1" x14ac:dyDescent="0.4">
      <c r="A21" s="11">
        <v>6</v>
      </c>
      <c r="B21" s="11" t="s">
        <v>1278</v>
      </c>
      <c r="C21" s="11">
        <v>4355</v>
      </c>
      <c r="D21" s="11">
        <v>2168</v>
      </c>
      <c r="E21" s="11">
        <v>2187</v>
      </c>
    </row>
    <row r="22" spans="1:5" ht="24.75" customHeight="1" x14ac:dyDescent="0.4">
      <c r="A22" s="11">
        <v>7</v>
      </c>
      <c r="B22" s="11" t="s">
        <v>1279</v>
      </c>
      <c r="C22" s="11">
        <v>6865</v>
      </c>
      <c r="D22" s="11">
        <v>3390</v>
      </c>
      <c r="E22" s="11">
        <v>3475</v>
      </c>
    </row>
    <row r="23" spans="1:5" ht="24.75" customHeight="1" x14ac:dyDescent="0.4">
      <c r="A23" s="12">
        <v>8</v>
      </c>
      <c r="B23" s="12" t="s">
        <v>1280</v>
      </c>
      <c r="C23" s="12">
        <v>3462</v>
      </c>
      <c r="D23" s="12">
        <v>1622</v>
      </c>
      <c r="E23" s="12">
        <v>1840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Tamu District , Khampat  Sub-Township"/>
  </hyperlinks>
  <pageMargins left="0.75" right="0.5" top="0.5" bottom="0.25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40"/>
  <sheetViews>
    <sheetView workbookViewId="0">
      <selection sqref="A1:E1"/>
    </sheetView>
  </sheetViews>
  <sheetFormatPr defaultRowHeight="24.75" customHeight="1" x14ac:dyDescent="0.4"/>
  <cols>
    <col min="1" max="1" width="9.140625" style="2"/>
    <col min="2" max="2" width="25.28515625" style="2" customWidth="1"/>
    <col min="3" max="5" width="15.7109375" style="2" customWidth="1"/>
    <col min="6" max="16384" width="9.140625" style="2"/>
  </cols>
  <sheetData>
    <row r="1" spans="1:5" ht="24.75" customHeight="1" x14ac:dyDescent="0.4">
      <c r="A1" s="67" t="s">
        <v>1754</v>
      </c>
      <c r="B1" s="67"/>
      <c r="C1" s="67"/>
      <c r="D1" s="67"/>
      <c r="E1" s="67"/>
    </row>
    <row r="2" spans="1:5" ht="24.75" customHeight="1" x14ac:dyDescent="0.4">
      <c r="B2" s="7"/>
      <c r="C2" s="7"/>
      <c r="D2" s="7"/>
      <c r="E2" s="56" t="s">
        <v>1722</v>
      </c>
    </row>
    <row r="3" spans="1:5" ht="24.75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4.75" customHeight="1" x14ac:dyDescent="0.4">
      <c r="A7" s="9"/>
      <c r="B7" s="9" t="s">
        <v>1772</v>
      </c>
      <c r="C7" s="9">
        <f>C9+C12</f>
        <v>51314</v>
      </c>
      <c r="D7" s="9">
        <f t="shared" ref="D7:E7" si="0">D9+D12</f>
        <v>25055</v>
      </c>
      <c r="E7" s="9">
        <f t="shared" si="0"/>
        <v>26259</v>
      </c>
    </row>
    <row r="8" spans="1:5" ht="10.5" customHeight="1" x14ac:dyDescent="0.4">
      <c r="A8" s="10"/>
      <c r="B8" s="42"/>
      <c r="C8" s="42"/>
      <c r="D8" s="42"/>
      <c r="E8" s="42"/>
    </row>
    <row r="9" spans="1:5" ht="24.75" customHeight="1" x14ac:dyDescent="0.4">
      <c r="A9" s="10"/>
      <c r="B9" s="10" t="s">
        <v>1725</v>
      </c>
      <c r="C9" s="10">
        <f>SUM(C10:C11)</f>
        <v>8556</v>
      </c>
      <c r="D9" s="10">
        <f t="shared" ref="D9:E9" si="1">SUM(D10:D11)</f>
        <v>4401</v>
      </c>
      <c r="E9" s="10">
        <f t="shared" si="1"/>
        <v>4155</v>
      </c>
    </row>
    <row r="10" spans="1:5" ht="24.75" customHeight="1" x14ac:dyDescent="0.4">
      <c r="A10" s="11">
        <v>1</v>
      </c>
      <c r="B10" s="11" t="s">
        <v>1281</v>
      </c>
      <c r="C10" s="11">
        <v>3109</v>
      </c>
      <c r="D10" s="11">
        <v>1503</v>
      </c>
      <c r="E10" s="11">
        <v>1606</v>
      </c>
    </row>
    <row r="11" spans="1:5" ht="24.75" customHeight="1" x14ac:dyDescent="0.4">
      <c r="A11" s="11">
        <v>2</v>
      </c>
      <c r="B11" s="11" t="s">
        <v>1282</v>
      </c>
      <c r="C11" s="11">
        <v>5447</v>
      </c>
      <c r="D11" s="11">
        <v>2898</v>
      </c>
      <c r="E11" s="11">
        <v>2549</v>
      </c>
    </row>
    <row r="12" spans="1:5" ht="24.75" customHeight="1" x14ac:dyDescent="0.4">
      <c r="A12" s="11"/>
      <c r="B12" s="10" t="s">
        <v>1773</v>
      </c>
      <c r="C12" s="10">
        <f>SUM(C13:C40)</f>
        <v>42758</v>
      </c>
      <c r="D12" s="10">
        <f t="shared" ref="D12:E12" si="2">SUM(D13:D40)</f>
        <v>20654</v>
      </c>
      <c r="E12" s="10">
        <f t="shared" si="2"/>
        <v>22104</v>
      </c>
    </row>
    <row r="13" spans="1:5" ht="24.75" customHeight="1" x14ac:dyDescent="0.4">
      <c r="A13" s="11">
        <v>1</v>
      </c>
      <c r="B13" s="11" t="s">
        <v>1283</v>
      </c>
      <c r="C13" s="11">
        <v>2025</v>
      </c>
      <c r="D13" s="11">
        <v>984</v>
      </c>
      <c r="E13" s="11">
        <v>1041</v>
      </c>
    </row>
    <row r="14" spans="1:5" ht="24.75" customHeight="1" x14ac:dyDescent="0.4">
      <c r="A14" s="11">
        <v>2</v>
      </c>
      <c r="B14" s="11" t="s">
        <v>1284</v>
      </c>
      <c r="C14" s="11">
        <v>2136</v>
      </c>
      <c r="D14" s="11">
        <v>1014</v>
      </c>
      <c r="E14" s="11">
        <v>1122</v>
      </c>
    </row>
    <row r="15" spans="1:5" ht="24.75" customHeight="1" x14ac:dyDescent="0.4">
      <c r="A15" s="11">
        <v>3</v>
      </c>
      <c r="B15" s="11" t="s">
        <v>1285</v>
      </c>
      <c r="C15" s="11">
        <v>1011</v>
      </c>
      <c r="D15" s="11">
        <v>492</v>
      </c>
      <c r="E15" s="11">
        <v>519</v>
      </c>
    </row>
    <row r="16" spans="1:5" ht="24.75" customHeight="1" x14ac:dyDescent="0.4">
      <c r="A16" s="11">
        <v>4</v>
      </c>
      <c r="B16" s="11" t="s">
        <v>1286</v>
      </c>
      <c r="C16" s="11">
        <v>2260</v>
      </c>
      <c r="D16" s="11">
        <v>1059</v>
      </c>
      <c r="E16" s="11">
        <v>1201</v>
      </c>
    </row>
    <row r="17" spans="1:5" ht="24.75" customHeight="1" x14ac:dyDescent="0.4">
      <c r="A17" s="11">
        <v>5</v>
      </c>
      <c r="B17" s="11" t="s">
        <v>1287</v>
      </c>
      <c r="C17" s="11">
        <v>1431</v>
      </c>
      <c r="D17" s="11">
        <v>710</v>
      </c>
      <c r="E17" s="11">
        <v>721</v>
      </c>
    </row>
    <row r="18" spans="1:5" ht="24.75" customHeight="1" x14ac:dyDescent="0.4">
      <c r="A18" s="11">
        <v>6</v>
      </c>
      <c r="B18" s="11" t="s">
        <v>1054</v>
      </c>
      <c r="C18" s="11">
        <v>2729</v>
      </c>
      <c r="D18" s="11">
        <v>1358</v>
      </c>
      <c r="E18" s="11">
        <v>1371</v>
      </c>
    </row>
    <row r="19" spans="1:5" ht="24.75" customHeight="1" x14ac:dyDescent="0.4">
      <c r="A19" s="11">
        <v>7</v>
      </c>
      <c r="B19" s="11" t="s">
        <v>1288</v>
      </c>
      <c r="C19" s="11">
        <v>1089</v>
      </c>
      <c r="D19" s="11">
        <v>542</v>
      </c>
      <c r="E19" s="11">
        <v>547</v>
      </c>
    </row>
    <row r="20" spans="1:5" ht="24.75" customHeight="1" x14ac:dyDescent="0.4">
      <c r="A20" s="11">
        <v>8</v>
      </c>
      <c r="B20" s="11" t="s">
        <v>1289</v>
      </c>
      <c r="C20" s="11">
        <v>935</v>
      </c>
      <c r="D20" s="11">
        <v>450</v>
      </c>
      <c r="E20" s="11">
        <v>485</v>
      </c>
    </row>
    <row r="21" spans="1:5" ht="24.75" customHeight="1" x14ac:dyDescent="0.4">
      <c r="A21" s="11">
        <v>9</v>
      </c>
      <c r="B21" s="11" t="s">
        <v>1290</v>
      </c>
      <c r="C21" s="11">
        <v>865</v>
      </c>
      <c r="D21" s="11">
        <v>412</v>
      </c>
      <c r="E21" s="11">
        <v>453</v>
      </c>
    </row>
    <row r="22" spans="1:5" ht="24.75" customHeight="1" x14ac:dyDescent="0.4">
      <c r="A22" s="11">
        <v>10</v>
      </c>
      <c r="B22" s="11" t="s">
        <v>1291</v>
      </c>
      <c r="C22" s="11">
        <v>4335</v>
      </c>
      <c r="D22" s="11">
        <v>2013</v>
      </c>
      <c r="E22" s="11">
        <v>2322</v>
      </c>
    </row>
    <row r="23" spans="1:5" ht="24.75" customHeight="1" x14ac:dyDescent="0.4">
      <c r="A23" s="11">
        <v>11</v>
      </c>
      <c r="B23" s="11" t="s">
        <v>1292</v>
      </c>
      <c r="C23" s="11">
        <v>1471</v>
      </c>
      <c r="D23" s="11">
        <v>726</v>
      </c>
      <c r="E23" s="11">
        <v>745</v>
      </c>
    </row>
    <row r="24" spans="1:5" ht="24.75" customHeight="1" x14ac:dyDescent="0.4">
      <c r="A24" s="11">
        <v>12</v>
      </c>
      <c r="B24" s="11" t="s">
        <v>1293</v>
      </c>
      <c r="C24" s="11">
        <v>1369</v>
      </c>
      <c r="D24" s="11">
        <v>659</v>
      </c>
      <c r="E24" s="11">
        <v>710</v>
      </c>
    </row>
    <row r="25" spans="1:5" ht="24.75" customHeight="1" x14ac:dyDescent="0.4">
      <c r="A25" s="11">
        <v>13</v>
      </c>
      <c r="B25" s="11" t="s">
        <v>1294</v>
      </c>
      <c r="C25" s="11">
        <v>2151</v>
      </c>
      <c r="D25" s="11">
        <v>1061</v>
      </c>
      <c r="E25" s="11">
        <v>1090</v>
      </c>
    </row>
    <row r="26" spans="1:5" ht="24.75" customHeight="1" x14ac:dyDescent="0.4">
      <c r="A26" s="11">
        <v>14</v>
      </c>
      <c r="B26" s="11" t="s">
        <v>1295</v>
      </c>
      <c r="C26" s="11">
        <v>1870</v>
      </c>
      <c r="D26" s="11">
        <v>889</v>
      </c>
      <c r="E26" s="11">
        <v>981</v>
      </c>
    </row>
    <row r="27" spans="1:5" ht="24.75" customHeight="1" x14ac:dyDescent="0.4">
      <c r="A27" s="11">
        <v>15</v>
      </c>
      <c r="B27" s="11" t="s">
        <v>1019</v>
      </c>
      <c r="C27" s="11">
        <v>1968</v>
      </c>
      <c r="D27" s="11">
        <v>858</v>
      </c>
      <c r="E27" s="11">
        <v>1110</v>
      </c>
    </row>
    <row r="28" spans="1:5" ht="24.75" customHeight="1" x14ac:dyDescent="0.4">
      <c r="A28" s="11">
        <v>16</v>
      </c>
      <c r="B28" s="11" t="s">
        <v>1296</v>
      </c>
      <c r="C28" s="11">
        <v>1301</v>
      </c>
      <c r="D28" s="11">
        <v>590</v>
      </c>
      <c r="E28" s="11">
        <v>711</v>
      </c>
    </row>
    <row r="29" spans="1:5" ht="24.75" customHeight="1" x14ac:dyDescent="0.4">
      <c r="A29" s="11">
        <v>17</v>
      </c>
      <c r="B29" s="11" t="s">
        <v>1297</v>
      </c>
      <c r="C29" s="11">
        <v>412</v>
      </c>
      <c r="D29" s="11">
        <v>188</v>
      </c>
      <c r="E29" s="11">
        <v>224</v>
      </c>
    </row>
    <row r="30" spans="1:5" ht="24.75" customHeight="1" x14ac:dyDescent="0.4">
      <c r="A30" s="11">
        <v>18</v>
      </c>
      <c r="B30" s="11" t="s">
        <v>1298</v>
      </c>
      <c r="C30" s="11">
        <v>1924</v>
      </c>
      <c r="D30" s="11">
        <v>905</v>
      </c>
      <c r="E30" s="11">
        <v>1019</v>
      </c>
    </row>
    <row r="31" spans="1:5" ht="24.75" customHeight="1" x14ac:dyDescent="0.4">
      <c r="A31" s="11">
        <v>19</v>
      </c>
      <c r="B31" s="11" t="s">
        <v>507</v>
      </c>
      <c r="C31" s="11">
        <v>732</v>
      </c>
      <c r="D31" s="11">
        <v>342</v>
      </c>
      <c r="E31" s="11">
        <v>390</v>
      </c>
    </row>
    <row r="32" spans="1:5" ht="24.75" customHeight="1" x14ac:dyDescent="0.4">
      <c r="A32" s="11">
        <v>20</v>
      </c>
      <c r="B32" s="11" t="s">
        <v>1299</v>
      </c>
      <c r="C32" s="11">
        <v>1079</v>
      </c>
      <c r="D32" s="11">
        <v>513</v>
      </c>
      <c r="E32" s="11">
        <v>566</v>
      </c>
    </row>
    <row r="33" spans="1:5" ht="24.75" customHeight="1" x14ac:dyDescent="0.4">
      <c r="A33" s="11">
        <v>21</v>
      </c>
      <c r="B33" s="11" t="s">
        <v>428</v>
      </c>
      <c r="C33" s="11">
        <v>411</v>
      </c>
      <c r="D33" s="11">
        <v>188</v>
      </c>
      <c r="E33" s="11">
        <v>223</v>
      </c>
    </row>
    <row r="34" spans="1:5" ht="24.75" customHeight="1" x14ac:dyDescent="0.4">
      <c r="A34" s="11">
        <v>22</v>
      </c>
      <c r="B34" s="11" t="s">
        <v>766</v>
      </c>
      <c r="C34" s="11">
        <v>1192</v>
      </c>
      <c r="D34" s="11">
        <v>618</v>
      </c>
      <c r="E34" s="11">
        <v>574</v>
      </c>
    </row>
    <row r="35" spans="1:5" ht="24.75" customHeight="1" x14ac:dyDescent="0.4">
      <c r="A35" s="11">
        <v>23</v>
      </c>
      <c r="B35" s="11" t="s">
        <v>1300</v>
      </c>
      <c r="C35" s="11">
        <v>853</v>
      </c>
      <c r="D35" s="11">
        <v>418</v>
      </c>
      <c r="E35" s="11">
        <v>435</v>
      </c>
    </row>
    <row r="36" spans="1:5" ht="24.75" customHeight="1" x14ac:dyDescent="0.4">
      <c r="A36" s="11">
        <v>24</v>
      </c>
      <c r="B36" s="11" t="s">
        <v>1301</v>
      </c>
      <c r="C36" s="11">
        <v>2467</v>
      </c>
      <c r="D36" s="11">
        <v>1239</v>
      </c>
      <c r="E36" s="11">
        <v>1228</v>
      </c>
    </row>
    <row r="37" spans="1:5" ht="24.75" customHeight="1" x14ac:dyDescent="0.4">
      <c r="A37" s="11">
        <v>25</v>
      </c>
      <c r="B37" s="11" t="s">
        <v>1302</v>
      </c>
      <c r="C37" s="11">
        <v>1444</v>
      </c>
      <c r="D37" s="11">
        <v>747</v>
      </c>
      <c r="E37" s="11">
        <v>697</v>
      </c>
    </row>
    <row r="38" spans="1:5" ht="24.75" customHeight="1" x14ac:dyDescent="0.4">
      <c r="A38" s="11">
        <v>26</v>
      </c>
      <c r="B38" s="11" t="s">
        <v>1303</v>
      </c>
      <c r="C38" s="11">
        <v>1192</v>
      </c>
      <c r="D38" s="11">
        <v>592</v>
      </c>
      <c r="E38" s="11">
        <v>600</v>
      </c>
    </row>
    <row r="39" spans="1:5" ht="24.75" customHeight="1" x14ac:dyDescent="0.4">
      <c r="A39" s="11">
        <v>27</v>
      </c>
      <c r="B39" s="11" t="s">
        <v>1304</v>
      </c>
      <c r="C39" s="11">
        <v>1029</v>
      </c>
      <c r="D39" s="11">
        <v>517</v>
      </c>
      <c r="E39" s="11">
        <v>512</v>
      </c>
    </row>
    <row r="40" spans="1:5" ht="24.75" customHeight="1" x14ac:dyDescent="0.4">
      <c r="A40" s="12">
        <v>28</v>
      </c>
      <c r="B40" s="12" t="s">
        <v>1305</v>
      </c>
      <c r="C40" s="12">
        <v>1077</v>
      </c>
      <c r="D40" s="12">
        <v>570</v>
      </c>
      <c r="E40" s="12">
        <v>507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Mawlaik  District , Mawlaik Township"/>
  </hyperlinks>
  <pageMargins left="0.75" right="0.5" top="0.5" bottom="0.25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sqref="A1:E1"/>
    </sheetView>
  </sheetViews>
  <sheetFormatPr defaultRowHeight="24.75" customHeight="1" x14ac:dyDescent="0.4"/>
  <cols>
    <col min="1" max="1" width="7.42578125" style="2" customWidth="1"/>
    <col min="2" max="2" width="35.5703125" style="2" customWidth="1"/>
    <col min="3" max="5" width="15.7109375" style="2" customWidth="1"/>
    <col min="6" max="16384" width="9.140625" style="2"/>
  </cols>
  <sheetData>
    <row r="1" spans="1:5" ht="24.75" customHeight="1" x14ac:dyDescent="0.4">
      <c r="A1" s="67" t="s">
        <v>1755</v>
      </c>
      <c r="B1" s="67"/>
      <c r="C1" s="67"/>
      <c r="D1" s="67"/>
      <c r="E1" s="67"/>
    </row>
    <row r="2" spans="1:5" ht="24.75" customHeight="1" x14ac:dyDescent="0.4">
      <c r="B2" s="7"/>
      <c r="C2" s="7"/>
      <c r="D2" s="7"/>
      <c r="E2" s="56" t="s">
        <v>1722</v>
      </c>
    </row>
    <row r="3" spans="1:5" ht="24.75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4.75" customHeight="1" x14ac:dyDescent="0.4">
      <c r="A7" s="25"/>
      <c r="B7" s="9" t="s">
        <v>1772</v>
      </c>
      <c r="C7" s="25">
        <f>C9+C12</f>
        <v>112694</v>
      </c>
      <c r="D7" s="25">
        <f t="shared" ref="D7:E7" si="0">D9+D12</f>
        <v>53869</v>
      </c>
      <c r="E7" s="25">
        <f t="shared" si="0"/>
        <v>58825</v>
      </c>
    </row>
    <row r="8" spans="1:5" ht="10.5" customHeight="1" x14ac:dyDescent="0.4">
      <c r="A8" s="10"/>
      <c r="B8" s="42"/>
      <c r="C8" s="42"/>
      <c r="D8" s="42"/>
      <c r="E8" s="42"/>
    </row>
    <row r="9" spans="1:5" ht="24.75" customHeight="1" x14ac:dyDescent="0.4">
      <c r="A9" s="10"/>
      <c r="B9" s="10" t="s">
        <v>1725</v>
      </c>
      <c r="C9" s="10">
        <f>SUM(C10:C11)</f>
        <v>10049</v>
      </c>
      <c r="D9" s="10">
        <f t="shared" ref="D9:E9" si="1">SUM(D10:D11)</f>
        <v>4905</v>
      </c>
      <c r="E9" s="10">
        <f t="shared" si="1"/>
        <v>5144</v>
      </c>
    </row>
    <row r="10" spans="1:5" ht="24.75" customHeight="1" x14ac:dyDescent="0.4">
      <c r="A10" s="11">
        <v>1</v>
      </c>
      <c r="B10" s="11" t="s">
        <v>1306</v>
      </c>
      <c r="C10" s="11">
        <v>3578</v>
      </c>
      <c r="D10" s="11">
        <v>1694</v>
      </c>
      <c r="E10" s="11">
        <v>1884</v>
      </c>
    </row>
    <row r="11" spans="1:5" ht="24.75" customHeight="1" x14ac:dyDescent="0.4">
      <c r="A11" s="11">
        <v>2</v>
      </c>
      <c r="B11" s="11" t="s">
        <v>477</v>
      </c>
      <c r="C11" s="11">
        <v>6471</v>
      </c>
      <c r="D11" s="11">
        <v>3211</v>
      </c>
      <c r="E11" s="11">
        <v>3260</v>
      </c>
    </row>
    <row r="12" spans="1:5" ht="24.75" customHeight="1" x14ac:dyDescent="0.4">
      <c r="A12" s="11"/>
      <c r="B12" s="10" t="s">
        <v>1773</v>
      </c>
      <c r="C12" s="10">
        <f>SUM(C13:C52)</f>
        <v>102645</v>
      </c>
      <c r="D12" s="10">
        <f t="shared" ref="D12:E12" si="2">SUM(D13:D52)</f>
        <v>48964</v>
      </c>
      <c r="E12" s="10">
        <f t="shared" si="2"/>
        <v>53681</v>
      </c>
    </row>
    <row r="13" spans="1:5" ht="24.75" customHeight="1" x14ac:dyDescent="0.4">
      <c r="A13" s="11">
        <v>1</v>
      </c>
      <c r="B13" s="11" t="s">
        <v>1307</v>
      </c>
      <c r="C13" s="11">
        <v>1464</v>
      </c>
      <c r="D13" s="11">
        <v>706</v>
      </c>
      <c r="E13" s="11">
        <v>758</v>
      </c>
    </row>
    <row r="14" spans="1:5" ht="24.75" customHeight="1" x14ac:dyDescent="0.4">
      <c r="A14" s="11">
        <v>2</v>
      </c>
      <c r="B14" s="11" t="s">
        <v>1308</v>
      </c>
      <c r="C14" s="11">
        <v>4481</v>
      </c>
      <c r="D14" s="11">
        <v>2116</v>
      </c>
      <c r="E14" s="11">
        <v>2365</v>
      </c>
    </row>
    <row r="15" spans="1:5" ht="24.75" customHeight="1" x14ac:dyDescent="0.4">
      <c r="A15" s="11">
        <v>3</v>
      </c>
      <c r="B15" s="11" t="s">
        <v>1309</v>
      </c>
      <c r="C15" s="11">
        <v>4838</v>
      </c>
      <c r="D15" s="11">
        <v>2252</v>
      </c>
      <c r="E15" s="11">
        <v>2586</v>
      </c>
    </row>
    <row r="16" spans="1:5" ht="24.75" customHeight="1" x14ac:dyDescent="0.4">
      <c r="A16" s="11">
        <v>4</v>
      </c>
      <c r="B16" s="11" t="s">
        <v>1310</v>
      </c>
      <c r="C16" s="11">
        <v>1320</v>
      </c>
      <c r="D16" s="11">
        <v>646</v>
      </c>
      <c r="E16" s="11">
        <v>674</v>
      </c>
    </row>
    <row r="17" spans="1:5" ht="24.75" customHeight="1" x14ac:dyDescent="0.4">
      <c r="A17" s="11">
        <v>5</v>
      </c>
      <c r="B17" s="11" t="s">
        <v>1311</v>
      </c>
      <c r="C17" s="11">
        <v>3073</v>
      </c>
      <c r="D17" s="11">
        <v>1564</v>
      </c>
      <c r="E17" s="11">
        <v>1509</v>
      </c>
    </row>
    <row r="18" spans="1:5" ht="24.75" customHeight="1" x14ac:dyDescent="0.4">
      <c r="A18" s="11">
        <v>6</v>
      </c>
      <c r="B18" s="11" t="s">
        <v>1312</v>
      </c>
      <c r="C18" s="11">
        <v>2704</v>
      </c>
      <c r="D18" s="11">
        <v>1255</v>
      </c>
      <c r="E18" s="11">
        <v>1449</v>
      </c>
    </row>
    <row r="19" spans="1:5" ht="24.75" customHeight="1" x14ac:dyDescent="0.4">
      <c r="A19" s="11">
        <v>7</v>
      </c>
      <c r="B19" s="11" t="s">
        <v>1313</v>
      </c>
      <c r="C19" s="11">
        <v>2180</v>
      </c>
      <c r="D19" s="11">
        <v>1006</v>
      </c>
      <c r="E19" s="11">
        <v>1174</v>
      </c>
    </row>
    <row r="20" spans="1:5" ht="24.75" customHeight="1" x14ac:dyDescent="0.4">
      <c r="A20" s="11">
        <v>8</v>
      </c>
      <c r="B20" s="11" t="s">
        <v>1314</v>
      </c>
      <c r="C20" s="11">
        <v>2253</v>
      </c>
      <c r="D20" s="11">
        <v>1113</v>
      </c>
      <c r="E20" s="11">
        <v>1140</v>
      </c>
    </row>
    <row r="21" spans="1:5" ht="24.75" customHeight="1" x14ac:dyDescent="0.4">
      <c r="A21" s="11">
        <v>9</v>
      </c>
      <c r="B21" s="11" t="s">
        <v>1315</v>
      </c>
      <c r="C21" s="11">
        <v>2580</v>
      </c>
      <c r="D21" s="11">
        <v>1264</v>
      </c>
      <c r="E21" s="11">
        <v>1316</v>
      </c>
    </row>
    <row r="22" spans="1:5" ht="24.75" customHeight="1" x14ac:dyDescent="0.4">
      <c r="A22" s="11">
        <v>10</v>
      </c>
      <c r="B22" s="11" t="s">
        <v>1316</v>
      </c>
      <c r="C22" s="11">
        <v>2610</v>
      </c>
      <c r="D22" s="11">
        <v>1251</v>
      </c>
      <c r="E22" s="11">
        <v>1359</v>
      </c>
    </row>
    <row r="23" spans="1:5" ht="24.75" customHeight="1" x14ac:dyDescent="0.4">
      <c r="A23" s="11">
        <v>11</v>
      </c>
      <c r="B23" s="11" t="s">
        <v>1317</v>
      </c>
      <c r="C23" s="11">
        <v>2958</v>
      </c>
      <c r="D23" s="11">
        <v>1453</v>
      </c>
      <c r="E23" s="11">
        <v>1505</v>
      </c>
    </row>
    <row r="24" spans="1:5" ht="24.75" customHeight="1" x14ac:dyDescent="0.4">
      <c r="A24" s="11">
        <v>12</v>
      </c>
      <c r="B24" s="11" t="s">
        <v>1318</v>
      </c>
      <c r="C24" s="11">
        <v>2797</v>
      </c>
      <c r="D24" s="11">
        <v>1362</v>
      </c>
      <c r="E24" s="11">
        <v>1435</v>
      </c>
    </row>
    <row r="25" spans="1:5" ht="24.75" customHeight="1" x14ac:dyDescent="0.4">
      <c r="A25" s="11">
        <v>13</v>
      </c>
      <c r="B25" s="11" t="s">
        <v>1319</v>
      </c>
      <c r="C25" s="11">
        <v>1890</v>
      </c>
      <c r="D25" s="11">
        <v>938</v>
      </c>
      <c r="E25" s="11">
        <v>952</v>
      </c>
    </row>
    <row r="26" spans="1:5" ht="24.75" customHeight="1" x14ac:dyDescent="0.4">
      <c r="A26" s="11">
        <v>14</v>
      </c>
      <c r="B26" s="11" t="s">
        <v>1320</v>
      </c>
      <c r="C26" s="11">
        <v>2509</v>
      </c>
      <c r="D26" s="11">
        <v>1171</v>
      </c>
      <c r="E26" s="11">
        <v>1338</v>
      </c>
    </row>
    <row r="27" spans="1:5" ht="24.75" customHeight="1" x14ac:dyDescent="0.4">
      <c r="A27" s="11">
        <v>15</v>
      </c>
      <c r="B27" s="11" t="s">
        <v>1321</v>
      </c>
      <c r="C27" s="11">
        <v>2760</v>
      </c>
      <c r="D27" s="11">
        <v>1300</v>
      </c>
      <c r="E27" s="11">
        <v>1460</v>
      </c>
    </row>
    <row r="28" spans="1:5" ht="24.75" customHeight="1" x14ac:dyDescent="0.4">
      <c r="A28" s="11">
        <v>16</v>
      </c>
      <c r="B28" s="11" t="s">
        <v>1322</v>
      </c>
      <c r="C28" s="11">
        <v>2893</v>
      </c>
      <c r="D28" s="11">
        <v>1420</v>
      </c>
      <c r="E28" s="11">
        <v>1473</v>
      </c>
    </row>
    <row r="29" spans="1:5" ht="24.75" customHeight="1" x14ac:dyDescent="0.4">
      <c r="A29" s="11">
        <v>17</v>
      </c>
      <c r="B29" s="11" t="s">
        <v>1323</v>
      </c>
      <c r="C29" s="11">
        <v>2149</v>
      </c>
      <c r="D29" s="11">
        <v>1029</v>
      </c>
      <c r="E29" s="11">
        <v>1120</v>
      </c>
    </row>
    <row r="30" spans="1:5" ht="24.75" customHeight="1" x14ac:dyDescent="0.4">
      <c r="A30" s="11">
        <v>18</v>
      </c>
      <c r="B30" s="11" t="s">
        <v>1324</v>
      </c>
      <c r="C30" s="11">
        <v>899</v>
      </c>
      <c r="D30" s="11">
        <v>455</v>
      </c>
      <c r="E30" s="11">
        <v>444</v>
      </c>
    </row>
    <row r="31" spans="1:5" ht="24.75" customHeight="1" x14ac:dyDescent="0.4">
      <c r="A31" s="11">
        <v>19</v>
      </c>
      <c r="B31" s="11" t="s">
        <v>1176</v>
      </c>
      <c r="C31" s="11">
        <v>1429</v>
      </c>
      <c r="D31" s="11">
        <v>664</v>
      </c>
      <c r="E31" s="11">
        <v>765</v>
      </c>
    </row>
    <row r="32" spans="1:5" ht="24.75" customHeight="1" x14ac:dyDescent="0.4">
      <c r="A32" s="11">
        <v>20</v>
      </c>
      <c r="B32" s="11" t="s">
        <v>1325</v>
      </c>
      <c r="C32" s="11">
        <v>4477</v>
      </c>
      <c r="D32" s="11">
        <v>2168</v>
      </c>
      <c r="E32" s="11">
        <v>2309</v>
      </c>
    </row>
    <row r="33" spans="1:5" ht="24.75" customHeight="1" x14ac:dyDescent="0.4">
      <c r="A33" s="11">
        <v>21</v>
      </c>
      <c r="B33" s="11" t="s">
        <v>1326</v>
      </c>
      <c r="C33" s="11">
        <v>1893</v>
      </c>
      <c r="D33" s="11">
        <v>862</v>
      </c>
      <c r="E33" s="11">
        <v>1031</v>
      </c>
    </row>
    <row r="34" spans="1:5" ht="24.75" customHeight="1" x14ac:dyDescent="0.4">
      <c r="A34" s="11">
        <v>22</v>
      </c>
      <c r="B34" s="11" t="s">
        <v>1327</v>
      </c>
      <c r="C34" s="11">
        <v>1702</v>
      </c>
      <c r="D34" s="11">
        <v>878</v>
      </c>
      <c r="E34" s="11">
        <v>824</v>
      </c>
    </row>
    <row r="35" spans="1:5" ht="24.75" customHeight="1" x14ac:dyDescent="0.4">
      <c r="A35" s="11">
        <v>23</v>
      </c>
      <c r="B35" s="11" t="s">
        <v>1328</v>
      </c>
      <c r="C35" s="11">
        <v>2334</v>
      </c>
      <c r="D35" s="11">
        <v>1044</v>
      </c>
      <c r="E35" s="11">
        <v>1290</v>
      </c>
    </row>
    <row r="36" spans="1:5" ht="24.75" customHeight="1" x14ac:dyDescent="0.4">
      <c r="A36" s="11">
        <v>24</v>
      </c>
      <c r="B36" s="11" t="s">
        <v>1329</v>
      </c>
      <c r="C36" s="11">
        <v>1603</v>
      </c>
      <c r="D36" s="11">
        <v>784</v>
      </c>
      <c r="E36" s="11">
        <v>819</v>
      </c>
    </row>
    <row r="37" spans="1:5" ht="24.75" customHeight="1" x14ac:dyDescent="0.4">
      <c r="A37" s="11">
        <v>25</v>
      </c>
      <c r="B37" s="11" t="s">
        <v>1330</v>
      </c>
      <c r="C37" s="11">
        <v>3613</v>
      </c>
      <c r="D37" s="11">
        <v>1686</v>
      </c>
      <c r="E37" s="11">
        <v>1927</v>
      </c>
    </row>
    <row r="38" spans="1:5" ht="24.75" customHeight="1" x14ac:dyDescent="0.4">
      <c r="A38" s="11">
        <v>26</v>
      </c>
      <c r="B38" s="11" t="s">
        <v>1331</v>
      </c>
      <c r="C38" s="11">
        <v>2179</v>
      </c>
      <c r="D38" s="11">
        <v>1018</v>
      </c>
      <c r="E38" s="11">
        <v>1161</v>
      </c>
    </row>
    <row r="39" spans="1:5" ht="24.75" customHeight="1" x14ac:dyDescent="0.4">
      <c r="A39" s="11">
        <v>27</v>
      </c>
      <c r="B39" s="11" t="s">
        <v>1332</v>
      </c>
      <c r="C39" s="11">
        <v>2443</v>
      </c>
      <c r="D39" s="11">
        <v>1211</v>
      </c>
      <c r="E39" s="11">
        <v>1232</v>
      </c>
    </row>
    <row r="40" spans="1:5" ht="24.75" customHeight="1" x14ac:dyDescent="0.4">
      <c r="A40" s="11">
        <v>28</v>
      </c>
      <c r="B40" s="11" t="s">
        <v>1298</v>
      </c>
      <c r="C40" s="11">
        <v>1252</v>
      </c>
      <c r="D40" s="11">
        <v>620</v>
      </c>
      <c r="E40" s="11">
        <v>632</v>
      </c>
    </row>
    <row r="41" spans="1:5" ht="24.75" customHeight="1" x14ac:dyDescent="0.4">
      <c r="A41" s="11">
        <v>29</v>
      </c>
      <c r="B41" s="11" t="s">
        <v>1333</v>
      </c>
      <c r="C41" s="11">
        <v>1637</v>
      </c>
      <c r="D41" s="11">
        <v>775</v>
      </c>
      <c r="E41" s="11">
        <v>862</v>
      </c>
    </row>
    <row r="42" spans="1:5" ht="24.75" customHeight="1" x14ac:dyDescent="0.4">
      <c r="A42" s="11">
        <v>30</v>
      </c>
      <c r="B42" s="11" t="s">
        <v>1334</v>
      </c>
      <c r="C42" s="11">
        <v>1398</v>
      </c>
      <c r="D42" s="11">
        <v>675</v>
      </c>
      <c r="E42" s="11">
        <v>723</v>
      </c>
    </row>
    <row r="43" spans="1:5" ht="24.75" customHeight="1" x14ac:dyDescent="0.4">
      <c r="A43" s="11">
        <v>31</v>
      </c>
      <c r="B43" s="11" t="s">
        <v>1335</v>
      </c>
      <c r="C43" s="11">
        <v>5117</v>
      </c>
      <c r="D43" s="11">
        <v>2443</v>
      </c>
      <c r="E43" s="11">
        <v>2674</v>
      </c>
    </row>
    <row r="44" spans="1:5" ht="24.75" customHeight="1" x14ac:dyDescent="0.4">
      <c r="A44" s="11">
        <v>32</v>
      </c>
      <c r="B44" s="11" t="s">
        <v>1336</v>
      </c>
      <c r="C44" s="11">
        <v>1374</v>
      </c>
      <c r="D44" s="11">
        <v>645</v>
      </c>
      <c r="E44" s="11">
        <v>729</v>
      </c>
    </row>
    <row r="45" spans="1:5" ht="24.75" customHeight="1" x14ac:dyDescent="0.4">
      <c r="A45" s="11">
        <v>33</v>
      </c>
      <c r="B45" s="11" t="s">
        <v>1337</v>
      </c>
      <c r="C45" s="11">
        <v>2837</v>
      </c>
      <c r="D45" s="11">
        <v>1414</v>
      </c>
      <c r="E45" s="11">
        <v>1423</v>
      </c>
    </row>
    <row r="46" spans="1:5" ht="24.75" customHeight="1" x14ac:dyDescent="0.4">
      <c r="A46" s="11">
        <v>34</v>
      </c>
      <c r="B46" s="11" t="s">
        <v>1338</v>
      </c>
      <c r="C46" s="11">
        <v>3041</v>
      </c>
      <c r="D46" s="11">
        <v>1448</v>
      </c>
      <c r="E46" s="11">
        <v>1593</v>
      </c>
    </row>
    <row r="47" spans="1:5" ht="24.75" customHeight="1" x14ac:dyDescent="0.4">
      <c r="A47" s="11">
        <v>35</v>
      </c>
      <c r="B47" s="11" t="s">
        <v>1339</v>
      </c>
      <c r="C47" s="11">
        <v>2936</v>
      </c>
      <c r="D47" s="11">
        <v>1419</v>
      </c>
      <c r="E47" s="11">
        <v>1517</v>
      </c>
    </row>
    <row r="48" spans="1:5" ht="24.75" customHeight="1" x14ac:dyDescent="0.4">
      <c r="A48" s="11">
        <v>36</v>
      </c>
      <c r="B48" s="11" t="s">
        <v>1340</v>
      </c>
      <c r="C48" s="11">
        <v>3355</v>
      </c>
      <c r="D48" s="11">
        <v>1525</v>
      </c>
      <c r="E48" s="11">
        <v>1830</v>
      </c>
    </row>
    <row r="49" spans="1:5" ht="24.75" customHeight="1" x14ac:dyDescent="0.4">
      <c r="A49" s="11">
        <v>37</v>
      </c>
      <c r="B49" s="11" t="s">
        <v>1341</v>
      </c>
      <c r="C49" s="11">
        <v>6922</v>
      </c>
      <c r="D49" s="11">
        <v>3179</v>
      </c>
      <c r="E49" s="11">
        <v>3743</v>
      </c>
    </row>
    <row r="50" spans="1:5" ht="24.75" customHeight="1" x14ac:dyDescent="0.4">
      <c r="A50" s="11">
        <v>38</v>
      </c>
      <c r="B50" s="11" t="s">
        <v>1342</v>
      </c>
      <c r="C50" s="11">
        <v>1048</v>
      </c>
      <c r="D50" s="11">
        <v>477</v>
      </c>
      <c r="E50" s="11">
        <v>571</v>
      </c>
    </row>
    <row r="51" spans="1:5" ht="24.75" customHeight="1" x14ac:dyDescent="0.4">
      <c r="A51" s="11">
        <v>39</v>
      </c>
      <c r="B51" s="11" t="s">
        <v>1343</v>
      </c>
      <c r="C51" s="11">
        <v>2245</v>
      </c>
      <c r="D51" s="11">
        <v>1066</v>
      </c>
      <c r="E51" s="11">
        <v>1179</v>
      </c>
    </row>
    <row r="52" spans="1:5" ht="24.75" customHeight="1" x14ac:dyDescent="0.4">
      <c r="A52" s="12">
        <v>40</v>
      </c>
      <c r="B52" s="12" t="s">
        <v>1344</v>
      </c>
      <c r="C52" s="12">
        <v>1452</v>
      </c>
      <c r="D52" s="12">
        <v>662</v>
      </c>
      <c r="E52" s="12">
        <v>790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Mawlaik  District , Phaungpyin Township"/>
  </hyperlinks>
  <pageMargins left="0.75" right="0.5" top="0.5" bottom="0.25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52"/>
  <sheetViews>
    <sheetView zoomScaleNormal="100" workbookViewId="0">
      <selection sqref="A1:E1"/>
    </sheetView>
  </sheetViews>
  <sheetFormatPr defaultRowHeight="24.75" customHeight="1" x14ac:dyDescent="0.4"/>
  <cols>
    <col min="1" max="1" width="9.140625" style="2"/>
    <col min="2" max="2" width="32" style="2" customWidth="1"/>
    <col min="3" max="5" width="15.7109375" style="2" customWidth="1"/>
    <col min="6" max="16384" width="9.140625" style="2"/>
  </cols>
  <sheetData>
    <row r="1" spans="1:5" ht="24.75" customHeight="1" x14ac:dyDescent="0.4">
      <c r="A1" s="67" t="s">
        <v>1756</v>
      </c>
      <c r="B1" s="67"/>
      <c r="C1" s="67"/>
      <c r="D1" s="67"/>
      <c r="E1" s="67"/>
    </row>
    <row r="2" spans="1:5" ht="24.75" customHeight="1" x14ac:dyDescent="0.4">
      <c r="B2" s="7"/>
      <c r="C2" s="7"/>
      <c r="D2" s="7"/>
      <c r="E2" s="56" t="s">
        <v>1722</v>
      </c>
    </row>
    <row r="3" spans="1:5" ht="24.75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4.75" customHeight="1" x14ac:dyDescent="0.4">
      <c r="A7" s="9"/>
      <c r="B7" s="9" t="s">
        <v>1772</v>
      </c>
      <c r="C7" s="9">
        <f>C9+C13</f>
        <v>47658</v>
      </c>
      <c r="D7" s="9">
        <f t="shared" ref="D7:E7" si="0">D9+D13</f>
        <v>26916</v>
      </c>
      <c r="E7" s="9">
        <f t="shared" si="0"/>
        <v>20742</v>
      </c>
    </row>
    <row r="8" spans="1:5" ht="10.5" customHeight="1" x14ac:dyDescent="0.4">
      <c r="A8" s="10"/>
      <c r="B8" s="42"/>
      <c r="C8" s="42"/>
      <c r="D8" s="42"/>
      <c r="E8" s="42"/>
    </row>
    <row r="9" spans="1:5" ht="24.75" customHeight="1" x14ac:dyDescent="0.4">
      <c r="A9" s="10"/>
      <c r="B9" s="10" t="s">
        <v>1725</v>
      </c>
      <c r="C9" s="10">
        <f>SUM(C10:C12)</f>
        <v>11551</v>
      </c>
      <c r="D9" s="10">
        <f t="shared" ref="D9:E9" si="1">SUM(D10:D12)</f>
        <v>5881</v>
      </c>
      <c r="E9" s="10">
        <f t="shared" si="1"/>
        <v>5670</v>
      </c>
    </row>
    <row r="10" spans="1:5" ht="24.75" customHeight="1" x14ac:dyDescent="0.4">
      <c r="A10" s="11">
        <v>1</v>
      </c>
      <c r="B10" s="11" t="s">
        <v>1345</v>
      </c>
      <c r="C10" s="11">
        <v>3358</v>
      </c>
      <c r="D10" s="11">
        <v>1615</v>
      </c>
      <c r="E10" s="11">
        <v>1743</v>
      </c>
    </row>
    <row r="11" spans="1:5" ht="24.75" customHeight="1" x14ac:dyDescent="0.4">
      <c r="A11" s="11">
        <v>2</v>
      </c>
      <c r="B11" s="11" t="s">
        <v>1346</v>
      </c>
      <c r="C11" s="11">
        <v>3233</v>
      </c>
      <c r="D11" s="11">
        <v>1568</v>
      </c>
      <c r="E11" s="11">
        <v>1665</v>
      </c>
    </row>
    <row r="12" spans="1:5" ht="24.75" customHeight="1" x14ac:dyDescent="0.4">
      <c r="A12" s="11">
        <v>3</v>
      </c>
      <c r="B12" s="11" t="s">
        <v>1347</v>
      </c>
      <c r="C12" s="11">
        <v>4960</v>
      </c>
      <c r="D12" s="11">
        <v>2698</v>
      </c>
      <c r="E12" s="11">
        <v>2262</v>
      </c>
    </row>
    <row r="13" spans="1:5" ht="24.75" customHeight="1" x14ac:dyDescent="0.4">
      <c r="A13" s="11"/>
      <c r="B13" s="10" t="s">
        <v>1773</v>
      </c>
      <c r="C13" s="10">
        <f>SUM(C14:C41)</f>
        <v>36107</v>
      </c>
      <c r="D13" s="10">
        <f t="shared" ref="D13:E13" si="2">SUM(D14:D41)</f>
        <v>21035</v>
      </c>
      <c r="E13" s="10">
        <f t="shared" si="2"/>
        <v>15072</v>
      </c>
    </row>
    <row r="14" spans="1:5" ht="24.75" customHeight="1" x14ac:dyDescent="0.4">
      <c r="A14" s="11">
        <v>1</v>
      </c>
      <c r="B14" s="11" t="s">
        <v>1348</v>
      </c>
      <c r="C14" s="11">
        <v>1205</v>
      </c>
      <c r="D14" s="11">
        <v>758</v>
      </c>
      <c r="E14" s="11">
        <v>447</v>
      </c>
    </row>
    <row r="15" spans="1:5" ht="24.75" customHeight="1" x14ac:dyDescent="0.4">
      <c r="A15" s="11">
        <v>2</v>
      </c>
      <c r="B15" s="11" t="s">
        <v>1349</v>
      </c>
      <c r="C15" s="11">
        <v>723</v>
      </c>
      <c r="D15" s="11">
        <v>423</v>
      </c>
      <c r="E15" s="11">
        <v>300</v>
      </c>
    </row>
    <row r="16" spans="1:5" ht="24.75" customHeight="1" x14ac:dyDescent="0.4">
      <c r="A16" s="11">
        <v>3</v>
      </c>
      <c r="B16" s="11" t="s">
        <v>1350</v>
      </c>
      <c r="C16" s="11">
        <v>7996</v>
      </c>
      <c r="D16" s="11">
        <v>5360</v>
      </c>
      <c r="E16" s="11">
        <v>2636</v>
      </c>
    </row>
    <row r="17" spans="1:5" ht="24.75" customHeight="1" x14ac:dyDescent="0.4">
      <c r="A17" s="11">
        <v>4</v>
      </c>
      <c r="B17" s="11" t="s">
        <v>1351</v>
      </c>
      <c r="C17" s="11">
        <v>2679</v>
      </c>
      <c r="D17" s="11">
        <v>1716</v>
      </c>
      <c r="E17" s="11">
        <v>963</v>
      </c>
    </row>
    <row r="18" spans="1:5" ht="24.75" customHeight="1" x14ac:dyDescent="0.4">
      <c r="A18" s="11">
        <v>5</v>
      </c>
      <c r="B18" s="11" t="s">
        <v>1298</v>
      </c>
      <c r="C18" s="11">
        <v>2616</v>
      </c>
      <c r="D18" s="11">
        <v>1479</v>
      </c>
      <c r="E18" s="11">
        <v>1137</v>
      </c>
    </row>
    <row r="19" spans="1:5" ht="24.75" customHeight="1" x14ac:dyDescent="0.4">
      <c r="A19" s="11">
        <v>6</v>
      </c>
      <c r="B19" s="11" t="s">
        <v>1352</v>
      </c>
      <c r="C19" s="11">
        <v>1366</v>
      </c>
      <c r="D19" s="11">
        <v>883</v>
      </c>
      <c r="E19" s="11">
        <v>483</v>
      </c>
    </row>
    <row r="20" spans="1:5" ht="24.75" customHeight="1" x14ac:dyDescent="0.4">
      <c r="A20" s="11">
        <v>7</v>
      </c>
      <c r="B20" s="11" t="s">
        <v>1353</v>
      </c>
      <c r="C20" s="11">
        <v>1408</v>
      </c>
      <c r="D20" s="11">
        <v>657</v>
      </c>
      <c r="E20" s="11">
        <v>751</v>
      </c>
    </row>
    <row r="21" spans="1:5" ht="24.75" customHeight="1" x14ac:dyDescent="0.4">
      <c r="A21" s="11">
        <v>8</v>
      </c>
      <c r="B21" s="11" t="s">
        <v>1354</v>
      </c>
      <c r="C21" s="11">
        <v>2611</v>
      </c>
      <c r="D21" s="11">
        <v>1280</v>
      </c>
      <c r="E21" s="11">
        <v>1331</v>
      </c>
    </row>
    <row r="22" spans="1:5" ht="24.75" customHeight="1" x14ac:dyDescent="0.4">
      <c r="A22" s="11">
        <v>9</v>
      </c>
      <c r="B22" s="11" t="s">
        <v>1355</v>
      </c>
      <c r="C22" s="11">
        <v>443</v>
      </c>
      <c r="D22" s="11">
        <v>226</v>
      </c>
      <c r="E22" s="11">
        <v>217</v>
      </c>
    </row>
    <row r="23" spans="1:5" ht="24.75" customHeight="1" x14ac:dyDescent="0.4">
      <c r="A23" s="11">
        <v>10</v>
      </c>
      <c r="B23" s="11" t="s">
        <v>1356</v>
      </c>
      <c r="C23" s="11">
        <v>327</v>
      </c>
      <c r="D23" s="11">
        <v>181</v>
      </c>
      <c r="E23" s="11">
        <v>146</v>
      </c>
    </row>
    <row r="24" spans="1:5" ht="24.75" customHeight="1" x14ac:dyDescent="0.4">
      <c r="A24" s="11">
        <v>11</v>
      </c>
      <c r="B24" s="11" t="s">
        <v>1357</v>
      </c>
      <c r="C24" s="11">
        <v>668</v>
      </c>
      <c r="D24" s="11">
        <v>376</v>
      </c>
      <c r="E24" s="11">
        <v>292</v>
      </c>
    </row>
    <row r="25" spans="1:5" ht="24.75" customHeight="1" x14ac:dyDescent="0.4">
      <c r="A25" s="11">
        <v>12</v>
      </c>
      <c r="B25" s="11" t="s">
        <v>1358</v>
      </c>
      <c r="C25" s="11">
        <v>363</v>
      </c>
      <c r="D25" s="11">
        <v>197</v>
      </c>
      <c r="E25" s="11">
        <v>166</v>
      </c>
    </row>
    <row r="26" spans="1:5" ht="24.75" customHeight="1" x14ac:dyDescent="0.4">
      <c r="A26" s="11">
        <v>13</v>
      </c>
      <c r="B26" s="11" t="s">
        <v>1359</v>
      </c>
      <c r="C26" s="11">
        <v>984</v>
      </c>
      <c r="D26" s="11">
        <v>508</v>
      </c>
      <c r="E26" s="11">
        <v>476</v>
      </c>
    </row>
    <row r="27" spans="1:5" ht="24.75" customHeight="1" x14ac:dyDescent="0.4">
      <c r="A27" s="11">
        <v>14</v>
      </c>
      <c r="B27" s="11" t="s">
        <v>1360</v>
      </c>
      <c r="C27" s="11">
        <v>304</v>
      </c>
      <c r="D27" s="11">
        <v>156</v>
      </c>
      <c r="E27" s="11">
        <v>148</v>
      </c>
    </row>
    <row r="28" spans="1:5" ht="24.75" customHeight="1" x14ac:dyDescent="0.4">
      <c r="A28" s="11">
        <v>15</v>
      </c>
      <c r="B28" s="11" t="s">
        <v>1361</v>
      </c>
      <c r="C28" s="11">
        <v>668</v>
      </c>
      <c r="D28" s="11">
        <v>337</v>
      </c>
      <c r="E28" s="11">
        <v>331</v>
      </c>
    </row>
    <row r="29" spans="1:5" ht="24.75" customHeight="1" x14ac:dyDescent="0.4">
      <c r="A29" s="11">
        <v>16</v>
      </c>
      <c r="B29" s="11" t="s">
        <v>1362</v>
      </c>
      <c r="C29" s="11">
        <v>954</v>
      </c>
      <c r="D29" s="11">
        <v>478</v>
      </c>
      <c r="E29" s="11">
        <v>476</v>
      </c>
    </row>
    <row r="30" spans="1:5" ht="24.75" customHeight="1" x14ac:dyDescent="0.4">
      <c r="A30" s="11">
        <v>17</v>
      </c>
      <c r="B30" s="11" t="s">
        <v>653</v>
      </c>
      <c r="C30" s="11">
        <v>1462</v>
      </c>
      <c r="D30" s="11">
        <v>782</v>
      </c>
      <c r="E30" s="11">
        <v>680</v>
      </c>
    </row>
    <row r="31" spans="1:5" ht="24.75" customHeight="1" x14ac:dyDescent="0.4">
      <c r="A31" s="11">
        <v>18</v>
      </c>
      <c r="B31" s="11" t="s">
        <v>1363</v>
      </c>
      <c r="C31" s="11">
        <v>476</v>
      </c>
      <c r="D31" s="11">
        <v>237</v>
      </c>
      <c r="E31" s="11">
        <v>239</v>
      </c>
    </row>
    <row r="32" spans="1:5" ht="24.75" customHeight="1" x14ac:dyDescent="0.4">
      <c r="A32" s="11">
        <v>19</v>
      </c>
      <c r="B32" s="11" t="s">
        <v>1364</v>
      </c>
      <c r="C32" s="11">
        <v>255</v>
      </c>
      <c r="D32" s="11">
        <v>140</v>
      </c>
      <c r="E32" s="11">
        <v>115</v>
      </c>
    </row>
    <row r="33" spans="1:5" ht="24.75" customHeight="1" x14ac:dyDescent="0.4">
      <c r="A33" s="11">
        <v>20</v>
      </c>
      <c r="B33" s="11" t="s">
        <v>1365</v>
      </c>
      <c r="C33" s="11">
        <v>449</v>
      </c>
      <c r="D33" s="11">
        <v>247</v>
      </c>
      <c r="E33" s="11">
        <v>202</v>
      </c>
    </row>
    <row r="34" spans="1:5" ht="24.75" customHeight="1" x14ac:dyDescent="0.4">
      <c r="A34" s="11">
        <v>21</v>
      </c>
      <c r="B34" s="11" t="s">
        <v>1366</v>
      </c>
      <c r="C34" s="11">
        <v>1371</v>
      </c>
      <c r="D34" s="11">
        <v>763</v>
      </c>
      <c r="E34" s="11">
        <v>608</v>
      </c>
    </row>
    <row r="35" spans="1:5" ht="24.75" customHeight="1" x14ac:dyDescent="0.4">
      <c r="A35" s="11">
        <v>22</v>
      </c>
      <c r="B35" s="11" t="s">
        <v>1367</v>
      </c>
      <c r="C35" s="11">
        <v>1194</v>
      </c>
      <c r="D35" s="11">
        <v>718</v>
      </c>
      <c r="E35" s="11">
        <v>476</v>
      </c>
    </row>
    <row r="36" spans="1:5" ht="24.75" customHeight="1" x14ac:dyDescent="0.4">
      <c r="A36" s="11">
        <v>23</v>
      </c>
      <c r="B36" s="11" t="s">
        <v>1368</v>
      </c>
      <c r="C36" s="11">
        <v>575</v>
      </c>
      <c r="D36" s="11">
        <v>331</v>
      </c>
      <c r="E36" s="11">
        <v>244</v>
      </c>
    </row>
    <row r="37" spans="1:5" ht="24.75" customHeight="1" x14ac:dyDescent="0.4">
      <c r="A37" s="11">
        <v>24</v>
      </c>
      <c r="B37" s="11" t="s">
        <v>1369</v>
      </c>
      <c r="C37" s="11">
        <v>452</v>
      </c>
      <c r="D37" s="11">
        <v>258</v>
      </c>
      <c r="E37" s="11">
        <v>194</v>
      </c>
    </row>
    <row r="38" spans="1:5" ht="24.75" customHeight="1" x14ac:dyDescent="0.4">
      <c r="A38" s="11">
        <v>25</v>
      </c>
      <c r="B38" s="11" t="s">
        <v>1370</v>
      </c>
      <c r="C38" s="11">
        <v>1251</v>
      </c>
      <c r="D38" s="11">
        <v>670</v>
      </c>
      <c r="E38" s="11">
        <v>581</v>
      </c>
    </row>
    <row r="39" spans="1:5" ht="24.75" customHeight="1" x14ac:dyDescent="0.4">
      <c r="A39" s="11">
        <v>26</v>
      </c>
      <c r="B39" s="11" t="s">
        <v>1268</v>
      </c>
      <c r="C39" s="11">
        <v>263</v>
      </c>
      <c r="D39" s="11">
        <v>134</v>
      </c>
      <c r="E39" s="11">
        <v>129</v>
      </c>
    </row>
    <row r="40" spans="1:5" ht="24.75" customHeight="1" x14ac:dyDescent="0.4">
      <c r="A40" s="11">
        <v>27</v>
      </c>
      <c r="B40" s="11" t="s">
        <v>1371</v>
      </c>
      <c r="C40" s="11">
        <v>1255</v>
      </c>
      <c r="D40" s="11">
        <v>696</v>
      </c>
      <c r="E40" s="11">
        <v>559</v>
      </c>
    </row>
    <row r="41" spans="1:5" ht="24.75" customHeight="1" x14ac:dyDescent="0.4">
      <c r="A41" s="11">
        <v>28</v>
      </c>
      <c r="B41" s="12" t="s">
        <v>1372</v>
      </c>
      <c r="C41" s="12">
        <v>1789</v>
      </c>
      <c r="D41" s="12">
        <v>1044</v>
      </c>
      <c r="E41" s="12">
        <v>745</v>
      </c>
    </row>
    <row r="42" spans="1:5" ht="24.75" customHeight="1" x14ac:dyDescent="0.4">
      <c r="A42" s="18"/>
      <c r="B42" s="18"/>
      <c r="C42" s="18"/>
      <c r="D42" s="18"/>
      <c r="E42" s="18"/>
    </row>
    <row r="43" spans="1:5" ht="24.75" customHeight="1" x14ac:dyDescent="0.4">
      <c r="A43" s="20"/>
      <c r="B43" s="20"/>
      <c r="C43" s="20"/>
      <c r="D43" s="20"/>
      <c r="E43" s="20"/>
    </row>
    <row r="44" spans="1:5" ht="24.75" customHeight="1" x14ac:dyDescent="0.4">
      <c r="A44" s="20"/>
      <c r="B44" s="20"/>
      <c r="C44" s="20"/>
      <c r="D44" s="20"/>
      <c r="E44" s="20"/>
    </row>
    <row r="45" spans="1:5" ht="24.75" customHeight="1" x14ac:dyDescent="0.4">
      <c r="A45" s="20"/>
      <c r="B45" s="20"/>
      <c r="C45" s="20"/>
      <c r="D45" s="20"/>
      <c r="E45" s="20"/>
    </row>
    <row r="46" spans="1:5" ht="24.75" customHeight="1" x14ac:dyDescent="0.4">
      <c r="A46" s="20"/>
      <c r="B46" s="20"/>
      <c r="C46" s="20"/>
      <c r="D46" s="20"/>
      <c r="E46" s="20"/>
    </row>
    <row r="47" spans="1:5" ht="24.75" customHeight="1" x14ac:dyDescent="0.4">
      <c r="A47" s="20"/>
      <c r="B47" s="20"/>
      <c r="C47" s="20"/>
      <c r="D47" s="20"/>
      <c r="E47" s="20"/>
    </row>
    <row r="48" spans="1:5" ht="24.75" customHeight="1" x14ac:dyDescent="0.4">
      <c r="A48" s="20"/>
      <c r="B48" s="20"/>
      <c r="C48" s="20"/>
      <c r="D48" s="20"/>
      <c r="E48" s="20"/>
    </row>
    <row r="49" spans="1:5" ht="24.75" customHeight="1" x14ac:dyDescent="0.4">
      <c r="A49" s="20"/>
      <c r="B49" s="20"/>
      <c r="C49" s="20"/>
      <c r="D49" s="20"/>
      <c r="E49" s="20"/>
    </row>
    <row r="50" spans="1:5" ht="24.75" customHeight="1" x14ac:dyDescent="0.4">
      <c r="A50" s="20"/>
      <c r="B50" s="20"/>
      <c r="C50" s="20"/>
      <c r="D50" s="20"/>
      <c r="E50" s="20"/>
    </row>
    <row r="51" spans="1:5" ht="24.75" customHeight="1" x14ac:dyDescent="0.4">
      <c r="A51" s="20"/>
      <c r="B51" s="20"/>
      <c r="C51" s="20"/>
      <c r="D51" s="20"/>
      <c r="E51" s="20"/>
    </row>
    <row r="52" spans="1:5" ht="24.75" customHeight="1" x14ac:dyDescent="0.4">
      <c r="A52" s="20"/>
      <c r="B52" s="20"/>
      <c r="C52" s="20"/>
      <c r="D52" s="20"/>
      <c r="E52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Hkamti  District , Hkamti Township"/>
  </hyperlinks>
  <pageMargins left="0.75" right="0.5" top="0.5" bottom="0.25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workbookViewId="0">
      <selection sqref="A1:E1"/>
    </sheetView>
  </sheetViews>
  <sheetFormatPr defaultRowHeight="24.75" customHeight="1" x14ac:dyDescent="0.4"/>
  <cols>
    <col min="1" max="1" width="9.140625" style="2"/>
    <col min="2" max="2" width="34.28515625" style="2" customWidth="1"/>
    <col min="3" max="5" width="13.85546875" style="2" customWidth="1"/>
    <col min="6" max="16384" width="9.140625" style="2"/>
  </cols>
  <sheetData>
    <row r="1" spans="1:5" ht="24.75" customHeight="1" x14ac:dyDescent="0.4">
      <c r="A1" s="67" t="s">
        <v>1757</v>
      </c>
      <c r="B1" s="67"/>
      <c r="C1" s="67"/>
      <c r="D1" s="67"/>
      <c r="E1" s="67"/>
    </row>
    <row r="2" spans="1:5" ht="24.75" customHeight="1" x14ac:dyDescent="0.4">
      <c r="B2" s="7"/>
      <c r="C2" s="7"/>
      <c r="D2" s="7"/>
      <c r="E2" s="56" t="s">
        <v>1722</v>
      </c>
    </row>
    <row r="3" spans="1:5" ht="24.75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4.75" customHeight="1" x14ac:dyDescent="0.4">
      <c r="A7" s="25"/>
      <c r="B7" s="9" t="s">
        <v>1772</v>
      </c>
      <c r="C7" s="25">
        <f>C9+C18</f>
        <v>258206</v>
      </c>
      <c r="D7" s="25">
        <f t="shared" ref="D7:E7" si="0">D9+D18</f>
        <v>133750</v>
      </c>
      <c r="E7" s="25">
        <f t="shared" si="0"/>
        <v>124456</v>
      </c>
    </row>
    <row r="8" spans="1:5" ht="10.5" customHeight="1" x14ac:dyDescent="0.4">
      <c r="A8" s="10"/>
      <c r="B8" s="42"/>
      <c r="C8" s="42"/>
      <c r="D8" s="42"/>
      <c r="E8" s="42"/>
    </row>
    <row r="9" spans="1:5" ht="24.75" customHeight="1" x14ac:dyDescent="0.4">
      <c r="A9" s="10"/>
      <c r="B9" s="10" t="s">
        <v>1725</v>
      </c>
      <c r="C9" s="10">
        <f>SUM(C11:C17)</f>
        <v>21220</v>
      </c>
      <c r="D9" s="10">
        <f t="shared" ref="D9:E9" si="1">SUM(D11:D17)</f>
        <v>10958</v>
      </c>
      <c r="E9" s="10">
        <f t="shared" si="1"/>
        <v>10262</v>
      </c>
    </row>
    <row r="10" spans="1:5" ht="12" customHeight="1" x14ac:dyDescent="0.4">
      <c r="A10" s="11"/>
      <c r="B10" s="42"/>
      <c r="C10" s="42"/>
      <c r="D10" s="42"/>
      <c r="E10" s="42"/>
    </row>
    <row r="11" spans="1:5" ht="24.75" customHeight="1" x14ac:dyDescent="0.4">
      <c r="A11" s="11">
        <v>1</v>
      </c>
      <c r="B11" s="11" t="s">
        <v>1373</v>
      </c>
      <c r="C11" s="11">
        <v>5001</v>
      </c>
      <c r="D11" s="11">
        <v>2450</v>
      </c>
      <c r="E11" s="11">
        <v>2551</v>
      </c>
    </row>
    <row r="12" spans="1:5" ht="24.75" customHeight="1" x14ac:dyDescent="0.4">
      <c r="A12" s="11">
        <v>2</v>
      </c>
      <c r="B12" s="11" t="s">
        <v>1374</v>
      </c>
      <c r="C12" s="11">
        <v>12537</v>
      </c>
      <c r="D12" s="11">
        <v>6599</v>
      </c>
      <c r="E12" s="11">
        <v>5938</v>
      </c>
    </row>
    <row r="13" spans="1:5" ht="26.25" customHeight="1" x14ac:dyDescent="0.4">
      <c r="A13" s="11"/>
      <c r="B13" s="10" t="s">
        <v>1758</v>
      </c>
      <c r="C13" s="42"/>
      <c r="D13" s="42"/>
      <c r="E13" s="42"/>
    </row>
    <row r="14" spans="1:5" ht="24.75" customHeight="1" x14ac:dyDescent="0.4">
      <c r="A14" s="11">
        <v>1</v>
      </c>
      <c r="B14" s="11" t="s">
        <v>667</v>
      </c>
      <c r="C14" s="11">
        <v>399</v>
      </c>
      <c r="D14" s="11">
        <v>198</v>
      </c>
      <c r="E14" s="11">
        <v>201</v>
      </c>
    </row>
    <row r="15" spans="1:5" ht="24.75" customHeight="1" x14ac:dyDescent="0.4">
      <c r="A15" s="11">
        <v>2</v>
      </c>
      <c r="B15" s="11" t="s">
        <v>668</v>
      </c>
      <c r="C15" s="11">
        <v>184</v>
      </c>
      <c r="D15" s="11">
        <v>101</v>
      </c>
      <c r="E15" s="11">
        <v>83</v>
      </c>
    </row>
    <row r="16" spans="1:5" ht="24.75" customHeight="1" x14ac:dyDescent="0.4">
      <c r="A16" s="11">
        <v>3</v>
      </c>
      <c r="B16" s="11" t="s">
        <v>669</v>
      </c>
      <c r="C16" s="11">
        <v>2168</v>
      </c>
      <c r="D16" s="11">
        <v>1121</v>
      </c>
      <c r="E16" s="11">
        <v>1047</v>
      </c>
    </row>
    <row r="17" spans="1:5" ht="24.75" customHeight="1" x14ac:dyDescent="0.4">
      <c r="A17" s="11">
        <v>4</v>
      </c>
      <c r="B17" s="11" t="s">
        <v>670</v>
      </c>
      <c r="C17" s="11">
        <v>931</v>
      </c>
      <c r="D17" s="11">
        <v>489</v>
      </c>
      <c r="E17" s="11">
        <v>442</v>
      </c>
    </row>
    <row r="18" spans="1:5" ht="24.75" customHeight="1" x14ac:dyDescent="0.4">
      <c r="A18" s="11"/>
      <c r="B18" s="10" t="s">
        <v>1773</v>
      </c>
      <c r="C18" s="10">
        <f>SUM(C19:C94)</f>
        <v>236986</v>
      </c>
      <c r="D18" s="10">
        <f t="shared" ref="D18:E18" si="2">SUM(D19:D94)</f>
        <v>122792</v>
      </c>
      <c r="E18" s="10">
        <f t="shared" si="2"/>
        <v>114194</v>
      </c>
    </row>
    <row r="19" spans="1:5" ht="24.75" customHeight="1" x14ac:dyDescent="0.4">
      <c r="A19" s="11">
        <v>1</v>
      </c>
      <c r="B19" s="11" t="s">
        <v>1375</v>
      </c>
      <c r="C19" s="11">
        <v>3620</v>
      </c>
      <c r="D19" s="11">
        <v>1662</v>
      </c>
      <c r="E19" s="11">
        <v>1958</v>
      </c>
    </row>
    <row r="20" spans="1:5" ht="24.75" customHeight="1" x14ac:dyDescent="0.4">
      <c r="A20" s="11">
        <v>2</v>
      </c>
      <c r="B20" s="11" t="s">
        <v>64</v>
      </c>
      <c r="C20" s="11">
        <v>3707</v>
      </c>
      <c r="D20" s="11">
        <v>1702</v>
      </c>
      <c r="E20" s="11">
        <v>2005</v>
      </c>
    </row>
    <row r="21" spans="1:5" ht="24.75" customHeight="1" x14ac:dyDescent="0.4">
      <c r="A21" s="11">
        <v>3</v>
      </c>
      <c r="B21" s="11" t="s">
        <v>1376</v>
      </c>
      <c r="C21" s="11">
        <v>5503</v>
      </c>
      <c r="D21" s="11">
        <v>2612</v>
      </c>
      <c r="E21" s="11">
        <v>2891</v>
      </c>
    </row>
    <row r="22" spans="1:5" ht="24.75" customHeight="1" x14ac:dyDescent="0.4">
      <c r="A22" s="11">
        <v>4</v>
      </c>
      <c r="B22" s="11" t="s">
        <v>1377</v>
      </c>
      <c r="C22" s="11">
        <v>1848</v>
      </c>
      <c r="D22" s="11">
        <v>912</v>
      </c>
      <c r="E22" s="11">
        <v>936</v>
      </c>
    </row>
    <row r="23" spans="1:5" ht="24.75" customHeight="1" x14ac:dyDescent="0.4">
      <c r="A23" s="11">
        <v>5</v>
      </c>
      <c r="B23" s="11" t="s">
        <v>1071</v>
      </c>
      <c r="C23" s="11">
        <v>1334</v>
      </c>
      <c r="D23" s="11">
        <v>708</v>
      </c>
      <c r="E23" s="11">
        <v>626</v>
      </c>
    </row>
    <row r="24" spans="1:5" ht="24.75" customHeight="1" x14ac:dyDescent="0.4">
      <c r="A24" s="11">
        <v>6</v>
      </c>
      <c r="B24" s="11" t="s">
        <v>1378</v>
      </c>
      <c r="C24" s="11">
        <v>3613</v>
      </c>
      <c r="D24" s="11">
        <v>1772</v>
      </c>
      <c r="E24" s="11">
        <v>1841</v>
      </c>
    </row>
    <row r="25" spans="1:5" ht="24.75" customHeight="1" x14ac:dyDescent="0.4">
      <c r="A25" s="11">
        <v>7</v>
      </c>
      <c r="B25" s="11" t="s">
        <v>1379</v>
      </c>
      <c r="C25" s="11">
        <v>2760</v>
      </c>
      <c r="D25" s="11">
        <v>1327</v>
      </c>
      <c r="E25" s="11">
        <v>1433</v>
      </c>
    </row>
    <row r="26" spans="1:5" ht="24.75" customHeight="1" x14ac:dyDescent="0.4">
      <c r="A26" s="11">
        <v>8</v>
      </c>
      <c r="B26" s="11" t="s">
        <v>1380</v>
      </c>
      <c r="C26" s="11">
        <v>4910</v>
      </c>
      <c r="D26" s="11">
        <v>2298</v>
      </c>
      <c r="E26" s="11">
        <v>2612</v>
      </c>
    </row>
    <row r="27" spans="1:5" ht="24.75" customHeight="1" x14ac:dyDescent="0.4">
      <c r="A27" s="11">
        <v>9</v>
      </c>
      <c r="B27" s="11" t="s">
        <v>1381</v>
      </c>
      <c r="C27" s="11">
        <v>2456</v>
      </c>
      <c r="D27" s="11">
        <v>1151</v>
      </c>
      <c r="E27" s="11">
        <v>1305</v>
      </c>
    </row>
    <row r="28" spans="1:5" ht="24.75" customHeight="1" x14ac:dyDescent="0.4">
      <c r="A28" s="11">
        <v>10</v>
      </c>
      <c r="B28" s="11" t="s">
        <v>1382</v>
      </c>
      <c r="C28" s="11">
        <v>7549</v>
      </c>
      <c r="D28" s="11">
        <v>3561</v>
      </c>
      <c r="E28" s="11">
        <v>3988</v>
      </c>
    </row>
    <row r="29" spans="1:5" ht="24.75" customHeight="1" x14ac:dyDescent="0.4">
      <c r="A29" s="11">
        <v>11</v>
      </c>
      <c r="B29" s="11" t="s">
        <v>1383</v>
      </c>
      <c r="C29" s="11">
        <v>1282</v>
      </c>
      <c r="D29" s="11">
        <v>620</v>
      </c>
      <c r="E29" s="11">
        <v>662</v>
      </c>
    </row>
    <row r="30" spans="1:5" ht="24.75" customHeight="1" x14ac:dyDescent="0.4">
      <c r="A30" s="11">
        <v>12</v>
      </c>
      <c r="B30" s="11" t="s">
        <v>1384</v>
      </c>
      <c r="C30" s="11">
        <v>2083</v>
      </c>
      <c r="D30" s="11">
        <v>973</v>
      </c>
      <c r="E30" s="11">
        <v>1110</v>
      </c>
    </row>
    <row r="31" spans="1:5" ht="24.75" customHeight="1" x14ac:dyDescent="0.4">
      <c r="A31" s="11">
        <v>13</v>
      </c>
      <c r="B31" s="11" t="s">
        <v>1385</v>
      </c>
      <c r="C31" s="11">
        <v>1035</v>
      </c>
      <c r="D31" s="11">
        <v>487</v>
      </c>
      <c r="E31" s="11">
        <v>548</v>
      </c>
    </row>
    <row r="32" spans="1:5" ht="24.75" customHeight="1" x14ac:dyDescent="0.4">
      <c r="A32" s="11">
        <v>14</v>
      </c>
      <c r="B32" s="11" t="s">
        <v>1386</v>
      </c>
      <c r="C32" s="11">
        <v>5708</v>
      </c>
      <c r="D32" s="11">
        <v>3113</v>
      </c>
      <c r="E32" s="11">
        <v>2595</v>
      </c>
    </row>
    <row r="33" spans="1:5" ht="24.75" customHeight="1" x14ac:dyDescent="0.4">
      <c r="A33" s="11">
        <v>15</v>
      </c>
      <c r="B33" s="11" t="s">
        <v>1387</v>
      </c>
      <c r="C33" s="11">
        <v>6220</v>
      </c>
      <c r="D33" s="11">
        <v>3545</v>
      </c>
      <c r="E33" s="11">
        <v>2675</v>
      </c>
    </row>
    <row r="34" spans="1:5" ht="24.75" customHeight="1" x14ac:dyDescent="0.4">
      <c r="A34" s="11">
        <v>16</v>
      </c>
      <c r="B34" s="11" t="s">
        <v>1388</v>
      </c>
      <c r="C34" s="11">
        <v>3353</v>
      </c>
      <c r="D34" s="11">
        <v>1741</v>
      </c>
      <c r="E34" s="11">
        <v>1612</v>
      </c>
    </row>
    <row r="35" spans="1:5" ht="24.75" customHeight="1" x14ac:dyDescent="0.4">
      <c r="A35" s="11">
        <v>17</v>
      </c>
      <c r="B35" s="11" t="s">
        <v>1389</v>
      </c>
      <c r="C35" s="11">
        <v>2332</v>
      </c>
      <c r="D35" s="11">
        <v>1222</v>
      </c>
      <c r="E35" s="11">
        <v>1110</v>
      </c>
    </row>
    <row r="36" spans="1:5" ht="24.75" customHeight="1" x14ac:dyDescent="0.4">
      <c r="A36" s="11">
        <v>18</v>
      </c>
      <c r="B36" s="11" t="s">
        <v>874</v>
      </c>
      <c r="C36" s="11">
        <v>2713</v>
      </c>
      <c r="D36" s="11">
        <v>1324</v>
      </c>
      <c r="E36" s="11">
        <v>1389</v>
      </c>
    </row>
    <row r="37" spans="1:5" ht="24.75" customHeight="1" x14ac:dyDescent="0.4">
      <c r="A37" s="11">
        <v>19</v>
      </c>
      <c r="B37" s="11" t="s">
        <v>1390</v>
      </c>
      <c r="C37" s="11">
        <v>2973</v>
      </c>
      <c r="D37" s="11">
        <v>1484</v>
      </c>
      <c r="E37" s="11">
        <v>1489</v>
      </c>
    </row>
    <row r="38" spans="1:5" ht="24.75" customHeight="1" x14ac:dyDescent="0.4">
      <c r="A38" s="11">
        <v>20</v>
      </c>
      <c r="B38" s="11" t="s">
        <v>1391</v>
      </c>
      <c r="C38" s="11">
        <v>499</v>
      </c>
      <c r="D38" s="11">
        <v>233</v>
      </c>
      <c r="E38" s="11">
        <v>266</v>
      </c>
    </row>
    <row r="39" spans="1:5" ht="24.75" customHeight="1" x14ac:dyDescent="0.4">
      <c r="A39" s="11">
        <v>21</v>
      </c>
      <c r="B39" s="11" t="s">
        <v>1392</v>
      </c>
      <c r="C39" s="11">
        <v>2241</v>
      </c>
      <c r="D39" s="11">
        <v>1043</v>
      </c>
      <c r="E39" s="11">
        <v>1198</v>
      </c>
    </row>
    <row r="40" spans="1:5" ht="24.75" customHeight="1" x14ac:dyDescent="0.4">
      <c r="A40" s="11">
        <v>22</v>
      </c>
      <c r="B40" s="11" t="s">
        <v>1393</v>
      </c>
      <c r="C40" s="11">
        <v>1353</v>
      </c>
      <c r="D40" s="11">
        <v>652</v>
      </c>
      <c r="E40" s="11">
        <v>701</v>
      </c>
    </row>
    <row r="41" spans="1:5" ht="24.75" customHeight="1" x14ac:dyDescent="0.4">
      <c r="A41" s="11">
        <v>23</v>
      </c>
      <c r="B41" s="11" t="s">
        <v>1394</v>
      </c>
      <c r="C41" s="11">
        <v>2572</v>
      </c>
      <c r="D41" s="11">
        <v>1345</v>
      </c>
      <c r="E41" s="11">
        <v>1227</v>
      </c>
    </row>
    <row r="42" spans="1:5" ht="24.75" customHeight="1" x14ac:dyDescent="0.4">
      <c r="A42" s="11">
        <v>24</v>
      </c>
      <c r="B42" s="11" t="s">
        <v>1395</v>
      </c>
      <c r="C42" s="11">
        <v>718</v>
      </c>
      <c r="D42" s="11">
        <v>342</v>
      </c>
      <c r="E42" s="11">
        <v>376</v>
      </c>
    </row>
    <row r="43" spans="1:5" ht="24.75" customHeight="1" x14ac:dyDescent="0.4">
      <c r="A43" s="11">
        <v>25</v>
      </c>
      <c r="B43" s="11" t="s">
        <v>1396</v>
      </c>
      <c r="C43" s="11">
        <v>1137</v>
      </c>
      <c r="D43" s="11">
        <v>537</v>
      </c>
      <c r="E43" s="11">
        <v>600</v>
      </c>
    </row>
    <row r="44" spans="1:5" ht="24.75" customHeight="1" x14ac:dyDescent="0.4">
      <c r="A44" s="11">
        <v>26</v>
      </c>
      <c r="B44" s="11" t="s">
        <v>1397</v>
      </c>
      <c r="C44" s="11">
        <v>1039</v>
      </c>
      <c r="D44" s="11">
        <v>502</v>
      </c>
      <c r="E44" s="11">
        <v>537</v>
      </c>
    </row>
    <row r="45" spans="1:5" ht="24.75" customHeight="1" x14ac:dyDescent="0.4">
      <c r="A45" s="11">
        <v>27</v>
      </c>
      <c r="B45" s="11" t="s">
        <v>1044</v>
      </c>
      <c r="C45" s="11">
        <v>910</v>
      </c>
      <c r="D45" s="11">
        <v>417</v>
      </c>
      <c r="E45" s="11">
        <v>493</v>
      </c>
    </row>
    <row r="46" spans="1:5" ht="24.75" customHeight="1" x14ac:dyDescent="0.4">
      <c r="A46" s="11">
        <v>28</v>
      </c>
      <c r="B46" s="11" t="s">
        <v>1398</v>
      </c>
      <c r="C46" s="11">
        <v>584</v>
      </c>
      <c r="D46" s="11">
        <v>270</v>
      </c>
      <c r="E46" s="11">
        <v>314</v>
      </c>
    </row>
    <row r="47" spans="1:5" ht="24.75" customHeight="1" x14ac:dyDescent="0.4">
      <c r="A47" s="11">
        <v>29</v>
      </c>
      <c r="B47" s="11" t="s">
        <v>417</v>
      </c>
      <c r="C47" s="11">
        <v>3555</v>
      </c>
      <c r="D47" s="11">
        <v>1906</v>
      </c>
      <c r="E47" s="11">
        <v>1649</v>
      </c>
    </row>
    <row r="48" spans="1:5" ht="24.75" customHeight="1" x14ac:dyDescent="0.4">
      <c r="A48" s="11">
        <v>30</v>
      </c>
      <c r="B48" s="11" t="s">
        <v>1399</v>
      </c>
      <c r="C48" s="11">
        <v>5889</v>
      </c>
      <c r="D48" s="11">
        <v>2931</v>
      </c>
      <c r="E48" s="11">
        <v>2958</v>
      </c>
    </row>
    <row r="49" spans="1:5" ht="24.75" customHeight="1" x14ac:dyDescent="0.4">
      <c r="A49" s="11">
        <v>31</v>
      </c>
      <c r="B49" s="11" t="s">
        <v>721</v>
      </c>
      <c r="C49" s="11">
        <v>1091</v>
      </c>
      <c r="D49" s="11">
        <v>507</v>
      </c>
      <c r="E49" s="11">
        <v>584</v>
      </c>
    </row>
    <row r="50" spans="1:5" ht="24.75" customHeight="1" x14ac:dyDescent="0.4">
      <c r="A50" s="11">
        <v>32</v>
      </c>
      <c r="B50" s="11" t="s">
        <v>1400</v>
      </c>
      <c r="C50" s="11">
        <v>1294</v>
      </c>
      <c r="D50" s="11">
        <v>597</v>
      </c>
      <c r="E50" s="11">
        <v>697</v>
      </c>
    </row>
    <row r="51" spans="1:5" ht="24.75" customHeight="1" x14ac:dyDescent="0.4">
      <c r="A51" s="11">
        <v>33</v>
      </c>
      <c r="B51" s="11" t="s">
        <v>1401</v>
      </c>
      <c r="C51" s="11">
        <v>767</v>
      </c>
      <c r="D51" s="11">
        <v>377</v>
      </c>
      <c r="E51" s="11">
        <v>390</v>
      </c>
    </row>
    <row r="52" spans="1:5" ht="24.75" customHeight="1" x14ac:dyDescent="0.4">
      <c r="A52" s="11">
        <v>34</v>
      </c>
      <c r="B52" s="11" t="s">
        <v>1402</v>
      </c>
      <c r="C52" s="11">
        <v>1912</v>
      </c>
      <c r="D52" s="11">
        <v>949</v>
      </c>
      <c r="E52" s="11">
        <v>963</v>
      </c>
    </row>
    <row r="53" spans="1:5" ht="24.75" customHeight="1" x14ac:dyDescent="0.4">
      <c r="A53" s="11">
        <v>35</v>
      </c>
      <c r="B53" s="11" t="s">
        <v>1403</v>
      </c>
      <c r="C53" s="11">
        <v>3580</v>
      </c>
      <c r="D53" s="11">
        <v>1725</v>
      </c>
      <c r="E53" s="11">
        <v>1855</v>
      </c>
    </row>
    <row r="54" spans="1:5" ht="24.75" customHeight="1" x14ac:dyDescent="0.4">
      <c r="A54" s="11">
        <v>36</v>
      </c>
      <c r="B54" s="11" t="s">
        <v>1404</v>
      </c>
      <c r="C54" s="11">
        <v>3903</v>
      </c>
      <c r="D54" s="11">
        <v>1832</v>
      </c>
      <c r="E54" s="11">
        <v>2071</v>
      </c>
    </row>
    <row r="55" spans="1:5" ht="24.75" customHeight="1" x14ac:dyDescent="0.4">
      <c r="A55" s="11">
        <v>37</v>
      </c>
      <c r="B55" s="11" t="s">
        <v>1405</v>
      </c>
      <c r="C55" s="11">
        <v>3296</v>
      </c>
      <c r="D55" s="11">
        <v>1585</v>
      </c>
      <c r="E55" s="11">
        <v>1711</v>
      </c>
    </row>
    <row r="56" spans="1:5" ht="24.75" customHeight="1" x14ac:dyDescent="0.4">
      <c r="A56" s="11">
        <v>38</v>
      </c>
      <c r="B56" s="11" t="s">
        <v>1406</v>
      </c>
      <c r="C56" s="11">
        <v>2207</v>
      </c>
      <c r="D56" s="11">
        <v>1068</v>
      </c>
      <c r="E56" s="11">
        <v>1139</v>
      </c>
    </row>
    <row r="57" spans="1:5" ht="24.75" customHeight="1" x14ac:dyDescent="0.4">
      <c r="A57" s="11">
        <v>39</v>
      </c>
      <c r="B57" s="11" t="s">
        <v>1407</v>
      </c>
      <c r="C57" s="11">
        <v>3687</v>
      </c>
      <c r="D57" s="11">
        <v>1746</v>
      </c>
      <c r="E57" s="11">
        <v>1941</v>
      </c>
    </row>
    <row r="58" spans="1:5" ht="24.75" customHeight="1" x14ac:dyDescent="0.4">
      <c r="A58" s="11">
        <v>40</v>
      </c>
      <c r="B58" s="11" t="s">
        <v>1408</v>
      </c>
      <c r="C58" s="11">
        <v>3990</v>
      </c>
      <c r="D58" s="11">
        <v>1941</v>
      </c>
      <c r="E58" s="11">
        <v>2049</v>
      </c>
    </row>
    <row r="59" spans="1:5" ht="24.75" customHeight="1" x14ac:dyDescent="0.4">
      <c r="A59" s="11">
        <v>41</v>
      </c>
      <c r="B59" s="11" t="s">
        <v>1409</v>
      </c>
      <c r="C59" s="11">
        <v>2208</v>
      </c>
      <c r="D59" s="11">
        <v>1237</v>
      </c>
      <c r="E59" s="11">
        <v>971</v>
      </c>
    </row>
    <row r="60" spans="1:5" ht="24.75" customHeight="1" x14ac:dyDescent="0.4">
      <c r="A60" s="11">
        <v>42</v>
      </c>
      <c r="B60" s="11" t="s">
        <v>1262</v>
      </c>
      <c r="C60" s="11">
        <v>2408</v>
      </c>
      <c r="D60" s="11">
        <v>1129</v>
      </c>
      <c r="E60" s="11">
        <v>1279</v>
      </c>
    </row>
    <row r="61" spans="1:5" ht="24.75" customHeight="1" x14ac:dyDescent="0.4">
      <c r="A61" s="11">
        <v>43</v>
      </c>
      <c r="B61" s="11" t="s">
        <v>1410</v>
      </c>
      <c r="C61" s="11">
        <v>2851</v>
      </c>
      <c r="D61" s="11">
        <v>1359</v>
      </c>
      <c r="E61" s="11">
        <v>1492</v>
      </c>
    </row>
    <row r="62" spans="1:5" ht="24.75" customHeight="1" x14ac:dyDescent="0.4">
      <c r="A62" s="11">
        <v>44</v>
      </c>
      <c r="B62" s="11" t="s">
        <v>1411</v>
      </c>
      <c r="C62" s="11">
        <v>2894</v>
      </c>
      <c r="D62" s="11">
        <v>1558</v>
      </c>
      <c r="E62" s="11">
        <v>1336</v>
      </c>
    </row>
    <row r="63" spans="1:5" ht="24.75" customHeight="1" x14ac:dyDescent="0.4">
      <c r="A63" s="11">
        <v>45</v>
      </c>
      <c r="B63" s="11" t="s">
        <v>1412</v>
      </c>
      <c r="C63" s="11">
        <v>19379</v>
      </c>
      <c r="D63" s="11">
        <v>10234</v>
      </c>
      <c r="E63" s="11">
        <v>9145</v>
      </c>
    </row>
    <row r="64" spans="1:5" ht="24.75" customHeight="1" x14ac:dyDescent="0.4">
      <c r="A64" s="11">
        <v>46</v>
      </c>
      <c r="B64" s="11" t="s">
        <v>909</v>
      </c>
      <c r="C64" s="11">
        <v>4463</v>
      </c>
      <c r="D64" s="11">
        <v>2491</v>
      </c>
      <c r="E64" s="11">
        <v>1972</v>
      </c>
    </row>
    <row r="65" spans="1:5" ht="24.75" customHeight="1" x14ac:dyDescent="0.4">
      <c r="A65" s="11">
        <v>47</v>
      </c>
      <c r="B65" s="11" t="s">
        <v>1013</v>
      </c>
      <c r="C65" s="11">
        <v>9832</v>
      </c>
      <c r="D65" s="11">
        <v>5927</v>
      </c>
      <c r="E65" s="11">
        <v>3905</v>
      </c>
    </row>
    <row r="66" spans="1:5" ht="24.75" customHeight="1" x14ac:dyDescent="0.4">
      <c r="A66" s="11">
        <v>48</v>
      </c>
      <c r="B66" s="11" t="s">
        <v>1413</v>
      </c>
      <c r="C66" s="11">
        <v>4147</v>
      </c>
      <c r="D66" s="11">
        <v>2355</v>
      </c>
      <c r="E66" s="11">
        <v>1792</v>
      </c>
    </row>
    <row r="67" spans="1:5" ht="24.75" customHeight="1" x14ac:dyDescent="0.4">
      <c r="A67" s="11">
        <v>49</v>
      </c>
      <c r="B67" s="11" t="s">
        <v>1414</v>
      </c>
      <c r="C67" s="11">
        <v>1828</v>
      </c>
      <c r="D67" s="11">
        <v>1133</v>
      </c>
      <c r="E67" s="11">
        <v>695</v>
      </c>
    </row>
    <row r="68" spans="1:5" ht="24.75" customHeight="1" x14ac:dyDescent="0.4">
      <c r="A68" s="11">
        <v>50</v>
      </c>
      <c r="B68" s="11" t="s">
        <v>1415</v>
      </c>
      <c r="C68" s="11">
        <v>1538</v>
      </c>
      <c r="D68" s="11">
        <v>836</v>
      </c>
      <c r="E68" s="11">
        <v>702</v>
      </c>
    </row>
    <row r="69" spans="1:5" ht="24.75" customHeight="1" x14ac:dyDescent="0.4">
      <c r="A69" s="11">
        <v>51</v>
      </c>
      <c r="B69" s="11" t="s">
        <v>1416</v>
      </c>
      <c r="C69" s="11">
        <v>5992</v>
      </c>
      <c r="D69" s="11">
        <v>3384</v>
      </c>
      <c r="E69" s="11">
        <v>2608</v>
      </c>
    </row>
    <row r="70" spans="1:5" ht="24.75" customHeight="1" x14ac:dyDescent="0.4">
      <c r="A70" s="11">
        <v>52</v>
      </c>
      <c r="B70" s="11" t="s">
        <v>1417</v>
      </c>
      <c r="C70" s="11">
        <v>868</v>
      </c>
      <c r="D70" s="11">
        <v>523</v>
      </c>
      <c r="E70" s="11">
        <v>345</v>
      </c>
    </row>
    <row r="71" spans="1:5" ht="24.75" customHeight="1" x14ac:dyDescent="0.4">
      <c r="A71" s="11">
        <v>53</v>
      </c>
      <c r="B71" s="11" t="s">
        <v>1418</v>
      </c>
      <c r="C71" s="11">
        <v>1332</v>
      </c>
      <c r="D71" s="11">
        <v>622</v>
      </c>
      <c r="E71" s="11">
        <v>710</v>
      </c>
    </row>
    <row r="72" spans="1:5" ht="24.75" customHeight="1" x14ac:dyDescent="0.4">
      <c r="A72" s="11">
        <v>54</v>
      </c>
      <c r="B72" s="11" t="s">
        <v>1419</v>
      </c>
      <c r="C72" s="11">
        <v>6750</v>
      </c>
      <c r="D72" s="11">
        <v>3824</v>
      </c>
      <c r="E72" s="11">
        <v>2926</v>
      </c>
    </row>
    <row r="73" spans="1:5" ht="24.75" customHeight="1" x14ac:dyDescent="0.4">
      <c r="A73" s="11">
        <v>55</v>
      </c>
      <c r="B73" s="11" t="s">
        <v>1420</v>
      </c>
      <c r="C73" s="11">
        <v>2155</v>
      </c>
      <c r="D73" s="11">
        <v>1156</v>
      </c>
      <c r="E73" s="11">
        <v>999</v>
      </c>
    </row>
    <row r="74" spans="1:5" ht="24.75" customHeight="1" x14ac:dyDescent="0.4">
      <c r="A74" s="11">
        <v>56</v>
      </c>
      <c r="B74" s="11" t="s">
        <v>1421</v>
      </c>
      <c r="C74" s="11">
        <v>1416</v>
      </c>
      <c r="D74" s="11">
        <v>663</v>
      </c>
      <c r="E74" s="11">
        <v>753</v>
      </c>
    </row>
    <row r="75" spans="1:5" ht="24.75" customHeight="1" x14ac:dyDescent="0.4">
      <c r="A75" s="11">
        <v>57</v>
      </c>
      <c r="B75" s="11" t="s">
        <v>1422</v>
      </c>
      <c r="C75" s="11">
        <v>5699</v>
      </c>
      <c r="D75" s="11">
        <v>3361</v>
      </c>
      <c r="E75" s="11">
        <v>2338</v>
      </c>
    </row>
    <row r="76" spans="1:5" ht="24.75" customHeight="1" x14ac:dyDescent="0.4">
      <c r="A76" s="11">
        <v>58</v>
      </c>
      <c r="B76" s="11" t="s">
        <v>1423</v>
      </c>
      <c r="C76" s="11">
        <v>6031</v>
      </c>
      <c r="D76" s="11">
        <v>3466</v>
      </c>
      <c r="E76" s="11">
        <v>2565</v>
      </c>
    </row>
    <row r="77" spans="1:5" ht="24.75" customHeight="1" x14ac:dyDescent="0.4">
      <c r="A77" s="11">
        <v>59</v>
      </c>
      <c r="B77" s="11" t="s">
        <v>1096</v>
      </c>
      <c r="C77" s="11">
        <v>8222</v>
      </c>
      <c r="D77" s="11">
        <v>4644</v>
      </c>
      <c r="E77" s="11">
        <v>3578</v>
      </c>
    </row>
    <row r="78" spans="1:5" ht="24.75" customHeight="1" x14ac:dyDescent="0.4">
      <c r="A78" s="11">
        <v>60</v>
      </c>
      <c r="B78" s="11" t="s">
        <v>1424</v>
      </c>
      <c r="C78" s="11">
        <v>4390</v>
      </c>
      <c r="D78" s="11">
        <v>2603</v>
      </c>
      <c r="E78" s="11">
        <v>1787</v>
      </c>
    </row>
    <row r="79" spans="1:5" ht="24.75" customHeight="1" x14ac:dyDescent="0.4">
      <c r="A79" s="11">
        <v>61</v>
      </c>
      <c r="B79" s="11" t="s">
        <v>1425</v>
      </c>
      <c r="C79" s="11">
        <v>5020</v>
      </c>
      <c r="D79" s="11">
        <v>2330</v>
      </c>
      <c r="E79" s="11">
        <v>2690</v>
      </c>
    </row>
    <row r="80" spans="1:5" ht="24.75" customHeight="1" x14ac:dyDescent="0.4">
      <c r="A80" s="11">
        <v>62</v>
      </c>
      <c r="B80" s="11" t="s">
        <v>1426</v>
      </c>
      <c r="C80" s="11">
        <v>560</v>
      </c>
      <c r="D80" s="11">
        <v>297</v>
      </c>
      <c r="E80" s="11">
        <v>263</v>
      </c>
    </row>
    <row r="81" spans="1:5" ht="24.75" customHeight="1" x14ac:dyDescent="0.4">
      <c r="A81" s="11">
        <v>63</v>
      </c>
      <c r="B81" s="11" t="s">
        <v>1427</v>
      </c>
      <c r="C81" s="11">
        <v>2762</v>
      </c>
      <c r="D81" s="11">
        <v>1374</v>
      </c>
      <c r="E81" s="11">
        <v>1388</v>
      </c>
    </row>
    <row r="82" spans="1:5" ht="24.75" customHeight="1" x14ac:dyDescent="0.4">
      <c r="A82" s="11">
        <v>64</v>
      </c>
      <c r="B82" s="11" t="s">
        <v>1428</v>
      </c>
      <c r="C82" s="11">
        <v>1324</v>
      </c>
      <c r="D82" s="11">
        <v>730</v>
      </c>
      <c r="E82" s="11">
        <v>594</v>
      </c>
    </row>
    <row r="83" spans="1:5" ht="24.75" customHeight="1" x14ac:dyDescent="0.4">
      <c r="A83" s="11">
        <v>65</v>
      </c>
      <c r="B83" s="11" t="s">
        <v>1429</v>
      </c>
      <c r="C83" s="11">
        <v>2387</v>
      </c>
      <c r="D83" s="11">
        <v>1375</v>
      </c>
      <c r="E83" s="11">
        <v>1012</v>
      </c>
    </row>
    <row r="84" spans="1:5" ht="24.75" customHeight="1" x14ac:dyDescent="0.4">
      <c r="A84" s="11">
        <v>66</v>
      </c>
      <c r="B84" s="11" t="s">
        <v>1430</v>
      </c>
      <c r="C84" s="11">
        <v>963</v>
      </c>
      <c r="D84" s="11">
        <v>498</v>
      </c>
      <c r="E84" s="11">
        <v>465</v>
      </c>
    </row>
    <row r="85" spans="1:5" ht="24.75" customHeight="1" x14ac:dyDescent="0.4">
      <c r="A85" s="11">
        <v>67</v>
      </c>
      <c r="B85" s="11" t="s">
        <v>1431</v>
      </c>
      <c r="C85" s="11">
        <v>1728</v>
      </c>
      <c r="D85" s="11">
        <v>815</v>
      </c>
      <c r="E85" s="11">
        <v>913</v>
      </c>
    </row>
    <row r="86" spans="1:5" ht="24.75" customHeight="1" x14ac:dyDescent="0.4">
      <c r="A86" s="11">
        <v>68</v>
      </c>
      <c r="B86" s="11" t="s">
        <v>1432</v>
      </c>
      <c r="C86" s="11">
        <v>1411</v>
      </c>
      <c r="D86" s="11">
        <v>855</v>
      </c>
      <c r="E86" s="11">
        <v>556</v>
      </c>
    </row>
    <row r="87" spans="1:5" ht="24.75" customHeight="1" x14ac:dyDescent="0.4">
      <c r="A87" s="11">
        <v>69</v>
      </c>
      <c r="B87" s="11" t="s">
        <v>1433</v>
      </c>
      <c r="C87" s="11">
        <v>648</v>
      </c>
      <c r="D87" s="11">
        <v>350</v>
      </c>
      <c r="E87" s="11">
        <v>298</v>
      </c>
    </row>
    <row r="88" spans="1:5" ht="24.75" customHeight="1" x14ac:dyDescent="0.4">
      <c r="A88" s="11">
        <v>70</v>
      </c>
      <c r="B88" s="11" t="s">
        <v>1434</v>
      </c>
      <c r="C88" s="11">
        <v>2569</v>
      </c>
      <c r="D88" s="11">
        <v>1244</v>
      </c>
      <c r="E88" s="11">
        <v>1325</v>
      </c>
    </row>
    <row r="89" spans="1:5" ht="24.75" customHeight="1" x14ac:dyDescent="0.4">
      <c r="A89" s="11">
        <v>71</v>
      </c>
      <c r="B89" s="11" t="s">
        <v>1435</v>
      </c>
      <c r="C89" s="11">
        <v>2065</v>
      </c>
      <c r="D89" s="11">
        <v>936</v>
      </c>
      <c r="E89" s="11">
        <v>1129</v>
      </c>
    </row>
    <row r="90" spans="1:5" ht="24.75" customHeight="1" x14ac:dyDescent="0.4">
      <c r="A90" s="11">
        <v>72</v>
      </c>
      <c r="B90" s="11" t="s">
        <v>1436</v>
      </c>
      <c r="C90" s="11">
        <v>4107</v>
      </c>
      <c r="D90" s="11">
        <v>1929</v>
      </c>
      <c r="E90" s="11">
        <v>2178</v>
      </c>
    </row>
    <row r="91" spans="1:5" ht="24.75" customHeight="1" x14ac:dyDescent="0.4">
      <c r="A91" s="11">
        <v>73</v>
      </c>
      <c r="B91" s="11" t="s">
        <v>1400</v>
      </c>
      <c r="C91" s="11">
        <v>2181</v>
      </c>
      <c r="D91" s="11">
        <v>1005</v>
      </c>
      <c r="E91" s="11">
        <v>1176</v>
      </c>
    </row>
    <row r="92" spans="1:5" ht="24.75" customHeight="1" x14ac:dyDescent="0.4">
      <c r="A92" s="11">
        <v>74</v>
      </c>
      <c r="B92" s="11" t="s">
        <v>1437</v>
      </c>
      <c r="C92" s="11">
        <v>1163</v>
      </c>
      <c r="D92" s="11">
        <v>572</v>
      </c>
      <c r="E92" s="11">
        <v>591</v>
      </c>
    </row>
    <row r="93" spans="1:5" ht="24.75" customHeight="1" x14ac:dyDescent="0.4">
      <c r="A93" s="11">
        <v>75</v>
      </c>
      <c r="B93" s="11" t="s">
        <v>1438</v>
      </c>
      <c r="C93" s="11">
        <v>916</v>
      </c>
      <c r="D93" s="11">
        <v>495</v>
      </c>
      <c r="E93" s="11">
        <v>421</v>
      </c>
    </row>
    <row r="94" spans="1:5" ht="24.75" customHeight="1" x14ac:dyDescent="0.4">
      <c r="A94" s="12">
        <v>76</v>
      </c>
      <c r="B94" s="12" t="s">
        <v>1439</v>
      </c>
      <c r="C94" s="12">
        <v>1556</v>
      </c>
      <c r="D94" s="12">
        <v>763</v>
      </c>
      <c r="E94" s="12">
        <v>793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Hkamti  District , Homalin Township"/>
  </hyperlinks>
  <pageMargins left="0.75" right="0.5" top="0.5" bottom="0.25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workbookViewId="0">
      <selection sqref="A1:E1"/>
    </sheetView>
  </sheetViews>
  <sheetFormatPr defaultRowHeight="24.75" customHeight="1" x14ac:dyDescent="0.4"/>
  <cols>
    <col min="1" max="1" width="9.140625" style="2"/>
    <col min="2" max="2" width="31.85546875" style="2" customWidth="1"/>
    <col min="3" max="5" width="15.7109375" style="2" customWidth="1"/>
    <col min="6" max="16384" width="9.140625" style="2"/>
  </cols>
  <sheetData>
    <row r="1" spans="1:5" ht="24.75" customHeight="1" x14ac:dyDescent="0.4">
      <c r="A1" s="67" t="s">
        <v>1759</v>
      </c>
      <c r="B1" s="67"/>
      <c r="C1" s="67"/>
      <c r="D1" s="67"/>
      <c r="E1" s="67"/>
    </row>
    <row r="2" spans="1:5" ht="24.75" customHeight="1" x14ac:dyDescent="0.4">
      <c r="B2" s="7"/>
      <c r="C2" s="7"/>
      <c r="D2" s="7"/>
      <c r="E2" s="56" t="s">
        <v>1722</v>
      </c>
    </row>
    <row r="3" spans="1:5" ht="24.75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4.75" customHeight="1" x14ac:dyDescent="0.4">
      <c r="A7" s="25"/>
      <c r="B7" s="9" t="s">
        <v>1772</v>
      </c>
      <c r="C7" s="25">
        <f>C9+C12</f>
        <v>9061</v>
      </c>
      <c r="D7" s="25">
        <f t="shared" ref="D7:E7" si="0">D9+D12</f>
        <v>4491</v>
      </c>
      <c r="E7" s="25">
        <f t="shared" si="0"/>
        <v>4570</v>
      </c>
    </row>
    <row r="8" spans="1:5" ht="10.5" customHeight="1" x14ac:dyDescent="0.4">
      <c r="A8" s="10"/>
      <c r="B8" s="42"/>
      <c r="C8" s="42"/>
      <c r="D8" s="42"/>
      <c r="E8" s="42"/>
    </row>
    <row r="9" spans="1:5" ht="24.75" customHeight="1" x14ac:dyDescent="0.4">
      <c r="A9" s="10"/>
      <c r="B9" s="10" t="s">
        <v>1725</v>
      </c>
      <c r="C9" s="10">
        <f>SUM(C10:C11)</f>
        <v>1705</v>
      </c>
      <c r="D9" s="10">
        <f t="shared" ref="D9:E9" si="1">SUM(D10:D11)</f>
        <v>885</v>
      </c>
      <c r="E9" s="10">
        <f t="shared" si="1"/>
        <v>820</v>
      </c>
    </row>
    <row r="10" spans="1:5" ht="24.75" customHeight="1" x14ac:dyDescent="0.4">
      <c r="A10" s="11">
        <v>1</v>
      </c>
      <c r="B10" s="11" t="s">
        <v>825</v>
      </c>
      <c r="C10" s="11">
        <v>484</v>
      </c>
      <c r="D10" s="11">
        <v>292</v>
      </c>
      <c r="E10" s="11">
        <v>192</v>
      </c>
    </row>
    <row r="11" spans="1:5" ht="24.75" customHeight="1" x14ac:dyDescent="0.4">
      <c r="A11" s="11">
        <v>2</v>
      </c>
      <c r="B11" s="11" t="s">
        <v>1440</v>
      </c>
      <c r="C11" s="11">
        <v>1221</v>
      </c>
      <c r="D11" s="11">
        <v>593</v>
      </c>
      <c r="E11" s="11">
        <v>628</v>
      </c>
    </row>
    <row r="12" spans="1:5" ht="24.75" customHeight="1" x14ac:dyDescent="0.4">
      <c r="A12" s="11"/>
      <c r="B12" s="10" t="s">
        <v>1773</v>
      </c>
      <c r="C12" s="10">
        <f>SUM(C13:C24)</f>
        <v>7356</v>
      </c>
      <c r="D12" s="10">
        <f t="shared" ref="D12:E12" si="2">SUM(D13:D24)</f>
        <v>3606</v>
      </c>
      <c r="E12" s="10">
        <f t="shared" si="2"/>
        <v>3750</v>
      </c>
    </row>
    <row r="13" spans="1:5" ht="24.75" customHeight="1" x14ac:dyDescent="0.4">
      <c r="A13" s="11">
        <v>1</v>
      </c>
      <c r="B13" s="11" t="s">
        <v>1441</v>
      </c>
      <c r="C13" s="11">
        <v>379</v>
      </c>
      <c r="D13" s="11">
        <v>202</v>
      </c>
      <c r="E13" s="11">
        <v>177</v>
      </c>
    </row>
    <row r="14" spans="1:5" ht="24.75" customHeight="1" x14ac:dyDescent="0.4">
      <c r="A14" s="11">
        <v>2</v>
      </c>
      <c r="B14" s="11" t="s">
        <v>1442</v>
      </c>
      <c r="C14" s="11">
        <v>295</v>
      </c>
      <c r="D14" s="11">
        <v>158</v>
      </c>
      <c r="E14" s="11">
        <v>137</v>
      </c>
    </row>
    <row r="15" spans="1:5" ht="24.75" customHeight="1" x14ac:dyDescent="0.4">
      <c r="A15" s="11">
        <v>3</v>
      </c>
      <c r="B15" s="11" t="s">
        <v>1443</v>
      </c>
      <c r="C15" s="11">
        <v>356</v>
      </c>
      <c r="D15" s="11">
        <v>177</v>
      </c>
      <c r="E15" s="11">
        <v>179</v>
      </c>
    </row>
    <row r="16" spans="1:5" ht="24.75" customHeight="1" x14ac:dyDescent="0.4">
      <c r="A16" s="11">
        <v>4</v>
      </c>
      <c r="B16" s="11" t="s">
        <v>1444</v>
      </c>
      <c r="C16" s="11">
        <v>782</v>
      </c>
      <c r="D16" s="11">
        <v>377</v>
      </c>
      <c r="E16" s="11">
        <v>405</v>
      </c>
    </row>
    <row r="17" spans="1:5" ht="24.75" customHeight="1" x14ac:dyDescent="0.4">
      <c r="A17" s="11">
        <v>5</v>
      </c>
      <c r="B17" s="11" t="s">
        <v>1445</v>
      </c>
      <c r="C17" s="11">
        <v>630</v>
      </c>
      <c r="D17" s="11">
        <v>337</v>
      </c>
      <c r="E17" s="11">
        <v>293</v>
      </c>
    </row>
    <row r="18" spans="1:5" ht="24.75" customHeight="1" x14ac:dyDescent="0.4">
      <c r="A18" s="11">
        <v>6</v>
      </c>
      <c r="B18" s="11" t="s">
        <v>1446</v>
      </c>
      <c r="C18" s="11">
        <v>853</v>
      </c>
      <c r="D18" s="11">
        <v>433</v>
      </c>
      <c r="E18" s="11">
        <v>420</v>
      </c>
    </row>
    <row r="19" spans="1:5" ht="24.75" customHeight="1" x14ac:dyDescent="0.4">
      <c r="A19" s="11">
        <v>7</v>
      </c>
      <c r="B19" s="11" t="s">
        <v>1447</v>
      </c>
      <c r="C19" s="11">
        <v>207</v>
      </c>
      <c r="D19" s="11">
        <v>110</v>
      </c>
      <c r="E19" s="11">
        <v>97</v>
      </c>
    </row>
    <row r="20" spans="1:5" ht="24.75" customHeight="1" x14ac:dyDescent="0.4">
      <c r="A20" s="11">
        <v>8</v>
      </c>
      <c r="B20" s="11" t="s">
        <v>1448</v>
      </c>
      <c r="C20" s="11">
        <v>959</v>
      </c>
      <c r="D20" s="11">
        <v>489</v>
      </c>
      <c r="E20" s="11">
        <v>470</v>
      </c>
    </row>
    <row r="21" spans="1:5" ht="24.75" customHeight="1" x14ac:dyDescent="0.4">
      <c r="A21" s="11">
        <v>9</v>
      </c>
      <c r="B21" s="11" t="s">
        <v>1449</v>
      </c>
      <c r="C21" s="11">
        <v>241</v>
      </c>
      <c r="D21" s="11">
        <v>125</v>
      </c>
      <c r="E21" s="11">
        <v>116</v>
      </c>
    </row>
    <row r="22" spans="1:5" ht="24.75" customHeight="1" x14ac:dyDescent="0.4">
      <c r="A22" s="11">
        <v>10</v>
      </c>
      <c r="B22" s="11" t="s">
        <v>1450</v>
      </c>
      <c r="C22" s="11">
        <v>1723</v>
      </c>
      <c r="D22" s="11">
        <v>747</v>
      </c>
      <c r="E22" s="11">
        <v>976</v>
      </c>
    </row>
    <row r="23" spans="1:5" ht="24.75" customHeight="1" x14ac:dyDescent="0.4">
      <c r="A23" s="11">
        <v>11</v>
      </c>
      <c r="B23" s="11" t="s">
        <v>1451</v>
      </c>
      <c r="C23" s="11">
        <v>422</v>
      </c>
      <c r="D23" s="11">
        <v>207</v>
      </c>
      <c r="E23" s="11">
        <v>215</v>
      </c>
    </row>
    <row r="24" spans="1:5" ht="24.75" customHeight="1" x14ac:dyDescent="0.4">
      <c r="A24" s="11">
        <v>12</v>
      </c>
      <c r="B24" s="12" t="s">
        <v>1452</v>
      </c>
      <c r="C24" s="12">
        <v>509</v>
      </c>
      <c r="D24" s="12">
        <v>244</v>
      </c>
      <c r="E24" s="12">
        <v>265</v>
      </c>
    </row>
    <row r="25" spans="1:5" ht="24.75" customHeight="1" x14ac:dyDescent="0.4">
      <c r="A25" s="18"/>
      <c r="B25" s="18"/>
      <c r="C25" s="18"/>
      <c r="D25" s="18"/>
      <c r="E25" s="18"/>
    </row>
    <row r="26" spans="1:5" ht="24.75" customHeight="1" x14ac:dyDescent="0.4">
      <c r="A26" s="20"/>
      <c r="B26" s="20"/>
      <c r="C26" s="20"/>
      <c r="D26" s="20"/>
      <c r="E26" s="20"/>
    </row>
    <row r="27" spans="1:5" ht="24.75" customHeight="1" x14ac:dyDescent="0.4">
      <c r="A27" s="20"/>
      <c r="B27" s="20"/>
      <c r="C27" s="20"/>
      <c r="D27" s="20"/>
      <c r="E27" s="20"/>
    </row>
    <row r="28" spans="1:5" ht="24.75" customHeight="1" x14ac:dyDescent="0.4">
      <c r="A28" s="20"/>
      <c r="B28" s="20"/>
      <c r="C28" s="20"/>
      <c r="D28" s="20"/>
      <c r="E28" s="20"/>
    </row>
    <row r="29" spans="1:5" ht="24.75" customHeight="1" x14ac:dyDescent="0.4">
      <c r="A29" s="20"/>
      <c r="B29" s="20"/>
      <c r="C29" s="20"/>
      <c r="D29" s="20"/>
      <c r="E29" s="20"/>
    </row>
    <row r="30" spans="1:5" ht="24.75" customHeight="1" x14ac:dyDescent="0.4">
      <c r="A30" s="20"/>
      <c r="B30" s="20"/>
      <c r="C30" s="20"/>
      <c r="D30" s="20"/>
      <c r="E30" s="20"/>
    </row>
    <row r="31" spans="1:5" ht="24.75" customHeight="1" x14ac:dyDescent="0.4">
      <c r="A31" s="20"/>
      <c r="B31" s="20"/>
      <c r="C31" s="20"/>
      <c r="D31" s="20"/>
      <c r="E31" s="20"/>
    </row>
    <row r="32" spans="1:5" ht="24.75" customHeight="1" x14ac:dyDescent="0.4">
      <c r="A32" s="20"/>
      <c r="B32" s="20"/>
      <c r="C32" s="20"/>
      <c r="D32" s="20"/>
      <c r="E32" s="20"/>
    </row>
    <row r="33" spans="1:5" ht="24.75" customHeight="1" x14ac:dyDescent="0.4">
      <c r="A33" s="20"/>
      <c r="B33" s="20"/>
      <c r="C33" s="20"/>
      <c r="D33" s="20"/>
      <c r="E33" s="20"/>
    </row>
    <row r="34" spans="1:5" ht="24.75" customHeight="1" x14ac:dyDescent="0.4">
      <c r="A34" s="20"/>
      <c r="B34" s="20"/>
      <c r="C34" s="20"/>
      <c r="D34" s="20"/>
      <c r="E34" s="20"/>
    </row>
    <row r="35" spans="1:5" ht="24.75" customHeight="1" x14ac:dyDescent="0.4">
      <c r="A35" s="20"/>
      <c r="B35" s="20"/>
      <c r="C35" s="20"/>
      <c r="D35" s="20"/>
      <c r="E35" s="20"/>
    </row>
    <row r="36" spans="1:5" ht="24.75" customHeight="1" x14ac:dyDescent="0.4">
      <c r="A36" s="20"/>
      <c r="B36" s="20"/>
      <c r="C36" s="20"/>
      <c r="D36" s="20"/>
      <c r="E36" s="20"/>
    </row>
    <row r="37" spans="1:5" ht="24.75" customHeight="1" x14ac:dyDescent="0.4">
      <c r="A37" s="20"/>
      <c r="B37" s="20"/>
      <c r="C37" s="20"/>
      <c r="D37" s="20"/>
      <c r="E37" s="20"/>
    </row>
    <row r="38" spans="1:5" ht="24.75" customHeight="1" x14ac:dyDescent="0.4">
      <c r="A38" s="20"/>
      <c r="B38" s="20"/>
      <c r="C38" s="20"/>
      <c r="D38" s="20"/>
      <c r="E38" s="20"/>
    </row>
    <row r="39" spans="1:5" ht="24.75" customHeight="1" x14ac:dyDescent="0.4">
      <c r="A39" s="20"/>
      <c r="B39" s="20"/>
      <c r="C39" s="20"/>
      <c r="D39" s="20"/>
      <c r="E39" s="20"/>
    </row>
    <row r="40" spans="1:5" ht="24.75" customHeight="1" x14ac:dyDescent="0.4">
      <c r="A40" s="20"/>
      <c r="B40" s="20"/>
      <c r="C40" s="20"/>
      <c r="D40" s="20"/>
      <c r="E40" s="20"/>
    </row>
    <row r="41" spans="1:5" ht="24.75" customHeight="1" x14ac:dyDescent="0.4">
      <c r="A41" s="20"/>
      <c r="B41" s="20"/>
      <c r="C41" s="20"/>
      <c r="D41" s="20"/>
      <c r="E41" s="20"/>
    </row>
    <row r="42" spans="1:5" ht="24.75" customHeight="1" x14ac:dyDescent="0.4">
      <c r="A42" s="20"/>
      <c r="B42" s="20"/>
      <c r="C42" s="20"/>
      <c r="D42" s="20"/>
      <c r="E42" s="20"/>
    </row>
    <row r="43" spans="1:5" ht="24.75" customHeight="1" x14ac:dyDescent="0.4">
      <c r="A43" s="20"/>
      <c r="B43" s="20"/>
      <c r="C43" s="20"/>
      <c r="D43" s="20"/>
      <c r="E43" s="20"/>
    </row>
    <row r="44" spans="1:5" ht="24.75" customHeight="1" x14ac:dyDescent="0.4">
      <c r="A44" s="20"/>
      <c r="B44" s="20"/>
      <c r="C44" s="20"/>
      <c r="D44" s="20"/>
      <c r="E44" s="20"/>
    </row>
    <row r="45" spans="1:5" ht="24.75" customHeight="1" x14ac:dyDescent="0.4">
      <c r="A45" s="20"/>
      <c r="B45" s="20"/>
      <c r="C45" s="20"/>
      <c r="D45" s="20"/>
      <c r="E45" s="20"/>
    </row>
    <row r="46" spans="1:5" ht="24.75" customHeight="1" x14ac:dyDescent="0.4">
      <c r="A46" s="20"/>
      <c r="B46" s="20"/>
      <c r="C46" s="20"/>
      <c r="D46" s="20"/>
      <c r="E46" s="20"/>
    </row>
    <row r="47" spans="1:5" ht="24.75" customHeight="1" x14ac:dyDescent="0.4">
      <c r="A47" s="20"/>
      <c r="B47" s="20"/>
      <c r="C47" s="20"/>
      <c r="D47" s="20"/>
      <c r="E47" s="20"/>
    </row>
    <row r="48" spans="1:5" ht="24.75" customHeight="1" x14ac:dyDescent="0.4">
      <c r="A48" s="20"/>
      <c r="B48" s="20"/>
      <c r="C48" s="20"/>
      <c r="D48" s="20"/>
      <c r="E48" s="20"/>
    </row>
    <row r="49" spans="1:5" ht="24.75" customHeight="1" x14ac:dyDescent="0.4">
      <c r="A49" s="20"/>
      <c r="B49" s="20"/>
      <c r="C49" s="20"/>
      <c r="D49" s="20"/>
      <c r="E49" s="20"/>
    </row>
    <row r="50" spans="1:5" ht="24.75" customHeight="1" x14ac:dyDescent="0.4">
      <c r="A50" s="20"/>
      <c r="B50" s="20"/>
      <c r="C50" s="20"/>
      <c r="D50" s="20"/>
      <c r="E50" s="20"/>
    </row>
    <row r="51" spans="1:5" ht="24.75" customHeight="1" x14ac:dyDescent="0.4">
      <c r="A51" s="20"/>
      <c r="B51" s="20"/>
      <c r="C51" s="20"/>
      <c r="D51" s="20"/>
      <c r="E51" s="20"/>
    </row>
    <row r="52" spans="1:5" ht="24.75" customHeight="1" x14ac:dyDescent="0.4">
      <c r="A52" s="20"/>
      <c r="B52" s="20"/>
      <c r="C52" s="20"/>
      <c r="D52" s="20"/>
      <c r="E52" s="20"/>
    </row>
    <row r="53" spans="1:5" ht="24.75" customHeight="1" x14ac:dyDescent="0.4">
      <c r="A53" s="20"/>
      <c r="B53" s="20"/>
      <c r="C53" s="20"/>
      <c r="D53" s="20"/>
      <c r="E53" s="20"/>
    </row>
    <row r="54" spans="1:5" ht="24.75" customHeight="1" x14ac:dyDescent="0.4">
      <c r="A54" s="20"/>
      <c r="B54" s="20"/>
      <c r="C54" s="20"/>
      <c r="D54" s="20"/>
      <c r="E54" s="20"/>
    </row>
    <row r="55" spans="1:5" ht="24.75" customHeight="1" x14ac:dyDescent="0.4">
      <c r="A55" s="20"/>
      <c r="B55" s="20"/>
      <c r="C55" s="20"/>
      <c r="D55" s="20"/>
      <c r="E55" s="20"/>
    </row>
    <row r="56" spans="1:5" ht="24.75" customHeight="1" x14ac:dyDescent="0.4">
      <c r="A56" s="20"/>
      <c r="B56" s="20"/>
      <c r="C56" s="20"/>
      <c r="D56" s="20"/>
      <c r="E56" s="20"/>
    </row>
    <row r="57" spans="1:5" ht="24.75" customHeight="1" x14ac:dyDescent="0.4">
      <c r="A57" s="20"/>
      <c r="B57" s="20"/>
      <c r="C57" s="20"/>
      <c r="D57" s="20"/>
      <c r="E57" s="20"/>
    </row>
    <row r="58" spans="1:5" ht="24.75" customHeight="1" x14ac:dyDescent="0.4">
      <c r="A58" s="20"/>
      <c r="B58" s="20"/>
      <c r="C58" s="20"/>
      <c r="D58" s="20"/>
      <c r="E58" s="20"/>
    </row>
    <row r="59" spans="1:5" ht="24.75" customHeight="1" x14ac:dyDescent="0.4">
      <c r="A59" s="20"/>
      <c r="B59" s="20"/>
      <c r="C59" s="20"/>
      <c r="D59" s="20"/>
      <c r="E59" s="20"/>
    </row>
    <row r="60" spans="1:5" ht="24.75" customHeight="1" x14ac:dyDescent="0.4">
      <c r="A60" s="20"/>
      <c r="B60" s="20"/>
      <c r="C60" s="20"/>
      <c r="D60" s="20"/>
      <c r="E60" s="20"/>
    </row>
    <row r="61" spans="1:5" ht="24.75" customHeight="1" x14ac:dyDescent="0.4">
      <c r="A61" s="20"/>
      <c r="B61" s="20"/>
      <c r="C61" s="20"/>
      <c r="D61" s="20"/>
      <c r="E61" s="20"/>
    </row>
    <row r="62" spans="1:5" ht="24.75" customHeight="1" x14ac:dyDescent="0.4">
      <c r="A62" s="20"/>
      <c r="B62" s="20"/>
      <c r="C62" s="20"/>
      <c r="D62" s="20"/>
      <c r="E62" s="20"/>
    </row>
    <row r="63" spans="1:5" ht="24.75" customHeight="1" x14ac:dyDescent="0.4">
      <c r="A63" s="20"/>
      <c r="B63" s="20"/>
      <c r="C63" s="20"/>
      <c r="D63" s="20"/>
      <c r="E63" s="20"/>
    </row>
    <row r="64" spans="1:5" ht="24.75" customHeight="1" x14ac:dyDescent="0.4">
      <c r="A64" s="20"/>
      <c r="B64" s="20"/>
      <c r="C64" s="20"/>
      <c r="D64" s="20"/>
      <c r="E64" s="20"/>
    </row>
    <row r="65" spans="1:5" ht="24.75" customHeight="1" x14ac:dyDescent="0.4">
      <c r="A65" s="20"/>
      <c r="B65" s="20"/>
      <c r="C65" s="20"/>
      <c r="D65" s="20"/>
      <c r="E65" s="20"/>
    </row>
    <row r="66" spans="1:5" ht="24.75" customHeight="1" x14ac:dyDescent="0.4">
      <c r="A66" s="20"/>
      <c r="B66" s="20"/>
      <c r="C66" s="20"/>
      <c r="D66" s="20"/>
      <c r="E66" s="20"/>
    </row>
    <row r="67" spans="1:5" ht="24.75" customHeight="1" x14ac:dyDescent="0.4">
      <c r="A67" s="20"/>
      <c r="B67" s="20"/>
      <c r="C67" s="20"/>
      <c r="D67" s="20"/>
      <c r="E67" s="20"/>
    </row>
    <row r="68" spans="1:5" ht="24.75" customHeight="1" x14ac:dyDescent="0.4">
      <c r="A68" s="20"/>
      <c r="B68" s="20"/>
      <c r="C68" s="20"/>
      <c r="D68" s="20"/>
      <c r="E68" s="20"/>
    </row>
    <row r="69" spans="1:5" ht="24.75" customHeight="1" x14ac:dyDescent="0.4">
      <c r="A69" s="20"/>
      <c r="B69" s="20"/>
      <c r="C69" s="20"/>
      <c r="D69" s="20"/>
      <c r="E69" s="20"/>
    </row>
    <row r="70" spans="1:5" ht="24.75" customHeight="1" x14ac:dyDescent="0.4">
      <c r="A70" s="20"/>
      <c r="B70" s="20"/>
      <c r="C70" s="20"/>
      <c r="D70" s="20"/>
      <c r="E70" s="20"/>
    </row>
    <row r="71" spans="1:5" ht="24.75" customHeight="1" x14ac:dyDescent="0.4">
      <c r="A71" s="20"/>
      <c r="B71" s="20"/>
      <c r="C71" s="20"/>
      <c r="D71" s="20"/>
      <c r="E71" s="20"/>
    </row>
    <row r="72" spans="1:5" ht="24.75" customHeight="1" x14ac:dyDescent="0.4">
      <c r="A72" s="20"/>
      <c r="B72" s="20"/>
      <c r="C72" s="20"/>
      <c r="D72" s="20"/>
      <c r="E72" s="20"/>
    </row>
    <row r="73" spans="1:5" ht="24.75" customHeight="1" x14ac:dyDescent="0.4">
      <c r="A73" s="20"/>
      <c r="B73" s="20"/>
      <c r="C73" s="20"/>
      <c r="D73" s="20"/>
      <c r="E73" s="20"/>
    </row>
    <row r="74" spans="1:5" ht="24.75" customHeight="1" x14ac:dyDescent="0.4">
      <c r="A74" s="20"/>
      <c r="B74" s="20"/>
      <c r="C74" s="20"/>
      <c r="D74" s="20"/>
      <c r="E74" s="20"/>
    </row>
    <row r="75" spans="1:5" ht="24.75" customHeight="1" x14ac:dyDescent="0.4">
      <c r="A75" s="20"/>
      <c r="B75" s="20"/>
      <c r="C75" s="20"/>
      <c r="D75" s="20"/>
      <c r="E75" s="20"/>
    </row>
    <row r="76" spans="1:5" ht="24.75" customHeight="1" x14ac:dyDescent="0.4">
      <c r="A76" s="20"/>
      <c r="B76" s="20"/>
      <c r="C76" s="20"/>
      <c r="D76" s="20"/>
      <c r="E76" s="20"/>
    </row>
    <row r="77" spans="1:5" ht="24.75" customHeight="1" x14ac:dyDescent="0.4">
      <c r="A77" s="20"/>
      <c r="B77" s="20"/>
      <c r="C77" s="20"/>
      <c r="D77" s="20"/>
      <c r="E77" s="20"/>
    </row>
    <row r="78" spans="1:5" ht="24.75" customHeight="1" x14ac:dyDescent="0.4">
      <c r="A78" s="20"/>
      <c r="B78" s="20"/>
      <c r="C78" s="20"/>
      <c r="D78" s="20"/>
      <c r="E78" s="20"/>
    </row>
    <row r="79" spans="1:5" ht="24.75" customHeight="1" x14ac:dyDescent="0.4">
      <c r="A79" s="20"/>
      <c r="B79" s="20"/>
      <c r="C79" s="20"/>
      <c r="D79" s="20"/>
      <c r="E79" s="20"/>
    </row>
    <row r="80" spans="1:5" ht="24.75" customHeight="1" x14ac:dyDescent="0.4">
      <c r="A80" s="20"/>
      <c r="B80" s="20"/>
      <c r="C80" s="20"/>
      <c r="D80" s="20"/>
      <c r="E80" s="20"/>
    </row>
    <row r="81" spans="1:5" ht="24.75" customHeight="1" x14ac:dyDescent="0.4">
      <c r="A81" s="20"/>
      <c r="B81" s="20"/>
      <c r="C81" s="20"/>
      <c r="D81" s="20"/>
      <c r="E81" s="20"/>
    </row>
    <row r="82" spans="1:5" ht="24.75" customHeight="1" x14ac:dyDescent="0.4">
      <c r="A82" s="20"/>
      <c r="B82" s="20"/>
      <c r="C82" s="20"/>
      <c r="D82" s="20"/>
      <c r="E82" s="20"/>
    </row>
    <row r="83" spans="1:5" ht="24.75" customHeight="1" x14ac:dyDescent="0.4">
      <c r="A83" s="20"/>
      <c r="B83" s="20"/>
      <c r="C83" s="20"/>
      <c r="D83" s="20"/>
      <c r="E83" s="20"/>
    </row>
    <row r="84" spans="1:5" ht="24.75" customHeight="1" x14ac:dyDescent="0.4">
      <c r="A84" s="20"/>
      <c r="B84" s="20"/>
      <c r="C84" s="20"/>
      <c r="D84" s="20"/>
      <c r="E84" s="20"/>
    </row>
    <row r="85" spans="1:5" ht="24.75" customHeight="1" x14ac:dyDescent="0.4">
      <c r="A85" s="20"/>
      <c r="B85" s="20"/>
      <c r="C85" s="20"/>
      <c r="D85" s="20"/>
      <c r="E85" s="20"/>
    </row>
    <row r="86" spans="1:5" ht="24.75" customHeight="1" x14ac:dyDescent="0.4">
      <c r="A86" s="20"/>
      <c r="B86" s="20"/>
      <c r="C86" s="20"/>
      <c r="D86" s="20"/>
      <c r="E86" s="20"/>
    </row>
    <row r="87" spans="1:5" ht="24.75" customHeight="1" x14ac:dyDescent="0.4">
      <c r="A87" s="20"/>
      <c r="B87" s="20"/>
      <c r="C87" s="20"/>
      <c r="D87" s="20"/>
      <c r="E87" s="20"/>
    </row>
    <row r="88" spans="1:5" ht="24.75" customHeight="1" x14ac:dyDescent="0.4">
      <c r="A88" s="20"/>
      <c r="B88" s="20"/>
      <c r="C88" s="20"/>
      <c r="D88" s="20"/>
      <c r="E88" s="20"/>
    </row>
    <row r="89" spans="1:5" ht="24.75" customHeight="1" x14ac:dyDescent="0.4">
      <c r="A89" s="20"/>
      <c r="B89" s="20"/>
      <c r="C89" s="20"/>
      <c r="D89" s="20"/>
      <c r="E89" s="20"/>
    </row>
    <row r="90" spans="1:5" ht="24.75" customHeight="1" x14ac:dyDescent="0.4">
      <c r="A90" s="20"/>
      <c r="B90" s="20"/>
      <c r="C90" s="20"/>
      <c r="D90" s="20"/>
      <c r="E90" s="20"/>
    </row>
    <row r="91" spans="1:5" ht="24.75" customHeight="1" x14ac:dyDescent="0.4">
      <c r="A91" s="20"/>
      <c r="B91" s="20"/>
      <c r="C91" s="20"/>
      <c r="D91" s="20"/>
      <c r="E91" s="20"/>
    </row>
    <row r="92" spans="1:5" ht="24.75" customHeight="1" x14ac:dyDescent="0.4">
      <c r="A92" s="20"/>
      <c r="B92" s="20"/>
      <c r="C92" s="20"/>
      <c r="D92" s="20"/>
      <c r="E92" s="20"/>
    </row>
    <row r="93" spans="1:5" ht="24.75" customHeight="1" x14ac:dyDescent="0.4">
      <c r="A93" s="20"/>
      <c r="B93" s="20"/>
      <c r="C93" s="20"/>
      <c r="D93" s="20"/>
      <c r="E93" s="20"/>
    </row>
    <row r="94" spans="1:5" ht="24.75" customHeight="1" x14ac:dyDescent="0.4">
      <c r="A94" s="20"/>
      <c r="B94" s="20"/>
      <c r="C94" s="20"/>
      <c r="D94" s="20"/>
      <c r="E94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Hkamti  District , Leshi Township"/>
  </hyperlinks>
  <pageMargins left="0.75" right="0.5" top="0.5" bottom="0.2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sqref="A1:E1"/>
    </sheetView>
  </sheetViews>
  <sheetFormatPr defaultRowHeight="24.75" customHeight="1" x14ac:dyDescent="0.4"/>
  <cols>
    <col min="1" max="1" width="6.28515625" style="2" customWidth="1"/>
    <col min="2" max="2" width="34.140625" style="2" customWidth="1"/>
    <col min="3" max="5" width="15.7109375" style="2" customWidth="1"/>
    <col min="6" max="16384" width="9.140625" style="2"/>
  </cols>
  <sheetData>
    <row r="1" spans="1:5" ht="24.75" customHeight="1" x14ac:dyDescent="0.4">
      <c r="A1" s="67" t="s">
        <v>1760</v>
      </c>
      <c r="B1" s="67"/>
      <c r="C1" s="67"/>
      <c r="D1" s="67"/>
      <c r="E1" s="67"/>
    </row>
    <row r="2" spans="1:5" ht="24.75" customHeight="1" x14ac:dyDescent="0.4">
      <c r="B2" s="7"/>
      <c r="C2" s="7"/>
      <c r="D2" s="7"/>
      <c r="E2" s="56" t="s">
        <v>1722</v>
      </c>
    </row>
    <row r="3" spans="1:5" ht="24.75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4.75" customHeight="1" x14ac:dyDescent="0.4">
      <c r="A7" s="9"/>
      <c r="B7" s="9" t="s">
        <v>1772</v>
      </c>
      <c r="C7" s="9">
        <f>C9+C14</f>
        <v>43191</v>
      </c>
      <c r="D7" s="9">
        <f t="shared" ref="D7:E7" si="0">D9+D14</f>
        <v>21443</v>
      </c>
      <c r="E7" s="9">
        <f t="shared" si="0"/>
        <v>21748</v>
      </c>
    </row>
    <row r="8" spans="1:5" ht="10.5" customHeight="1" x14ac:dyDescent="0.4">
      <c r="A8" s="10"/>
      <c r="B8" s="42"/>
      <c r="C8" s="42"/>
      <c r="D8" s="42"/>
      <c r="E8" s="42"/>
    </row>
    <row r="9" spans="1:5" ht="24.75" customHeight="1" x14ac:dyDescent="0.4">
      <c r="A9" s="10"/>
      <c r="B9" s="10" t="s">
        <v>1725</v>
      </c>
      <c r="C9" s="10">
        <f>SUM(C10:C13)</f>
        <v>3141</v>
      </c>
      <c r="D9" s="10">
        <f t="shared" ref="D9:E9" si="1">SUM(D10:D13)</f>
        <v>1700</v>
      </c>
      <c r="E9" s="10">
        <f t="shared" si="1"/>
        <v>1441</v>
      </c>
    </row>
    <row r="10" spans="1:5" ht="24.75" customHeight="1" x14ac:dyDescent="0.4">
      <c r="A10" s="11">
        <v>1</v>
      </c>
      <c r="B10" s="11" t="s">
        <v>1453</v>
      </c>
      <c r="C10" s="11">
        <v>781</v>
      </c>
      <c r="D10" s="11">
        <v>389</v>
      </c>
      <c r="E10" s="11">
        <v>392</v>
      </c>
    </row>
    <row r="11" spans="1:5" ht="24.75" customHeight="1" x14ac:dyDescent="0.4">
      <c r="A11" s="11">
        <v>2</v>
      </c>
      <c r="B11" s="11" t="s">
        <v>1454</v>
      </c>
      <c r="C11" s="11">
        <v>1549</v>
      </c>
      <c r="D11" s="11">
        <v>875</v>
      </c>
      <c r="E11" s="11">
        <v>674</v>
      </c>
    </row>
    <row r="12" spans="1:5" ht="24.75" customHeight="1" x14ac:dyDescent="0.4">
      <c r="A12" s="11">
        <v>3</v>
      </c>
      <c r="B12" s="11" t="s">
        <v>1455</v>
      </c>
      <c r="C12" s="11">
        <v>420</v>
      </c>
      <c r="D12" s="11">
        <v>238</v>
      </c>
      <c r="E12" s="11">
        <v>182</v>
      </c>
    </row>
    <row r="13" spans="1:5" ht="24.75" customHeight="1" x14ac:dyDescent="0.4">
      <c r="A13" s="11">
        <v>4</v>
      </c>
      <c r="B13" s="11" t="s">
        <v>1456</v>
      </c>
      <c r="C13" s="11">
        <v>391</v>
      </c>
      <c r="D13" s="11">
        <v>198</v>
      </c>
      <c r="E13" s="11">
        <v>193</v>
      </c>
    </row>
    <row r="14" spans="1:5" ht="24.75" customHeight="1" x14ac:dyDescent="0.4">
      <c r="A14" s="11"/>
      <c r="B14" s="10" t="s">
        <v>1773</v>
      </c>
      <c r="C14" s="10">
        <f>SUM(C15:C45)</f>
        <v>40050</v>
      </c>
      <c r="D14" s="10">
        <f t="shared" ref="D14:E14" si="2">SUM(D15:D45)</f>
        <v>19743</v>
      </c>
      <c r="E14" s="10">
        <f t="shared" si="2"/>
        <v>20307</v>
      </c>
    </row>
    <row r="15" spans="1:5" ht="24.75" customHeight="1" x14ac:dyDescent="0.4">
      <c r="A15" s="11">
        <v>1</v>
      </c>
      <c r="B15" s="11" t="s">
        <v>1457</v>
      </c>
      <c r="C15" s="11">
        <v>7477</v>
      </c>
      <c r="D15" s="11">
        <v>3796</v>
      </c>
      <c r="E15" s="11">
        <v>3681</v>
      </c>
    </row>
    <row r="16" spans="1:5" ht="24.75" customHeight="1" x14ac:dyDescent="0.4">
      <c r="A16" s="11">
        <v>2</v>
      </c>
      <c r="B16" s="11" t="s">
        <v>1458</v>
      </c>
      <c r="C16" s="11">
        <v>4145</v>
      </c>
      <c r="D16" s="11">
        <v>2082</v>
      </c>
      <c r="E16" s="11">
        <v>2063</v>
      </c>
    </row>
    <row r="17" spans="1:5" ht="24.75" customHeight="1" x14ac:dyDescent="0.4">
      <c r="A17" s="11">
        <v>3</v>
      </c>
      <c r="B17" s="11" t="s">
        <v>1459</v>
      </c>
      <c r="C17" s="11">
        <v>986</v>
      </c>
      <c r="D17" s="11">
        <v>448</v>
      </c>
      <c r="E17" s="11">
        <v>538</v>
      </c>
    </row>
    <row r="18" spans="1:5" ht="24.75" customHeight="1" x14ac:dyDescent="0.4">
      <c r="A18" s="11">
        <v>4</v>
      </c>
      <c r="B18" s="11" t="s">
        <v>1460</v>
      </c>
      <c r="C18" s="11">
        <v>1737</v>
      </c>
      <c r="D18" s="11">
        <v>877</v>
      </c>
      <c r="E18" s="11">
        <v>860</v>
      </c>
    </row>
    <row r="19" spans="1:5" ht="24.75" customHeight="1" x14ac:dyDescent="0.4">
      <c r="A19" s="11">
        <v>5</v>
      </c>
      <c r="B19" s="11" t="s">
        <v>1461</v>
      </c>
      <c r="C19" s="11">
        <v>1255</v>
      </c>
      <c r="D19" s="11">
        <v>591</v>
      </c>
      <c r="E19" s="11">
        <v>664</v>
      </c>
    </row>
    <row r="20" spans="1:5" ht="24.75" customHeight="1" x14ac:dyDescent="0.4">
      <c r="A20" s="11">
        <v>6</v>
      </c>
      <c r="B20" s="11" t="s">
        <v>1462</v>
      </c>
      <c r="C20" s="11">
        <v>1457</v>
      </c>
      <c r="D20" s="11">
        <v>704</v>
      </c>
      <c r="E20" s="11">
        <v>753</v>
      </c>
    </row>
    <row r="21" spans="1:5" ht="24.75" customHeight="1" x14ac:dyDescent="0.4">
      <c r="A21" s="11">
        <v>7</v>
      </c>
      <c r="B21" s="11" t="s">
        <v>1463</v>
      </c>
      <c r="C21" s="11">
        <v>762</v>
      </c>
      <c r="D21" s="11">
        <v>353</v>
      </c>
      <c r="E21" s="11">
        <v>409</v>
      </c>
    </row>
    <row r="22" spans="1:5" ht="24.75" customHeight="1" x14ac:dyDescent="0.4">
      <c r="A22" s="11">
        <v>8</v>
      </c>
      <c r="B22" s="11" t="s">
        <v>1464</v>
      </c>
      <c r="C22" s="11">
        <v>501</v>
      </c>
      <c r="D22" s="11">
        <v>247</v>
      </c>
      <c r="E22" s="11">
        <v>254</v>
      </c>
    </row>
    <row r="23" spans="1:5" ht="24.75" customHeight="1" x14ac:dyDescent="0.4">
      <c r="A23" s="11">
        <v>9</v>
      </c>
      <c r="B23" s="11" t="s">
        <v>1465</v>
      </c>
      <c r="C23" s="11">
        <v>2921</v>
      </c>
      <c r="D23" s="11">
        <v>1470</v>
      </c>
      <c r="E23" s="11">
        <v>1451</v>
      </c>
    </row>
    <row r="24" spans="1:5" ht="24.75" customHeight="1" x14ac:dyDescent="0.4">
      <c r="A24" s="11">
        <v>10</v>
      </c>
      <c r="B24" s="11" t="s">
        <v>1466</v>
      </c>
      <c r="C24" s="11">
        <v>1051</v>
      </c>
      <c r="D24" s="11">
        <v>518</v>
      </c>
      <c r="E24" s="11">
        <v>533</v>
      </c>
    </row>
    <row r="25" spans="1:5" ht="24.75" customHeight="1" x14ac:dyDescent="0.4">
      <c r="A25" s="11">
        <v>11</v>
      </c>
      <c r="B25" s="11" t="s">
        <v>1467</v>
      </c>
      <c r="C25" s="11">
        <v>673</v>
      </c>
      <c r="D25" s="11">
        <v>345</v>
      </c>
      <c r="E25" s="11">
        <v>328</v>
      </c>
    </row>
    <row r="26" spans="1:5" ht="24.75" customHeight="1" x14ac:dyDescent="0.4">
      <c r="A26" s="11">
        <v>12</v>
      </c>
      <c r="B26" s="11" t="s">
        <v>1468</v>
      </c>
      <c r="C26" s="11">
        <v>659</v>
      </c>
      <c r="D26" s="11">
        <v>338</v>
      </c>
      <c r="E26" s="11">
        <v>321</v>
      </c>
    </row>
    <row r="27" spans="1:5" ht="24.75" customHeight="1" x14ac:dyDescent="0.4">
      <c r="A27" s="11">
        <v>13</v>
      </c>
      <c r="B27" s="11" t="s">
        <v>1469</v>
      </c>
      <c r="C27" s="11">
        <v>1517</v>
      </c>
      <c r="D27" s="11">
        <v>736</v>
      </c>
      <c r="E27" s="11">
        <v>781</v>
      </c>
    </row>
    <row r="28" spans="1:5" ht="24.75" customHeight="1" x14ac:dyDescent="0.4">
      <c r="A28" s="11">
        <v>14</v>
      </c>
      <c r="B28" s="11" t="s">
        <v>1470</v>
      </c>
      <c r="C28" s="11">
        <v>1058</v>
      </c>
      <c r="D28" s="11">
        <v>497</v>
      </c>
      <c r="E28" s="11">
        <v>561</v>
      </c>
    </row>
    <row r="29" spans="1:5" ht="24.75" customHeight="1" x14ac:dyDescent="0.4">
      <c r="A29" s="11">
        <v>15</v>
      </c>
      <c r="B29" s="11" t="s">
        <v>1471</v>
      </c>
      <c r="C29" s="11">
        <v>428</v>
      </c>
      <c r="D29" s="11">
        <v>211</v>
      </c>
      <c r="E29" s="11">
        <v>217</v>
      </c>
    </row>
    <row r="30" spans="1:5" ht="24.75" customHeight="1" x14ac:dyDescent="0.4">
      <c r="A30" s="11">
        <v>16</v>
      </c>
      <c r="B30" s="11" t="s">
        <v>1472</v>
      </c>
      <c r="C30" s="11">
        <v>1340</v>
      </c>
      <c r="D30" s="11">
        <v>643</v>
      </c>
      <c r="E30" s="11">
        <v>697</v>
      </c>
    </row>
    <row r="31" spans="1:5" ht="24.75" customHeight="1" x14ac:dyDescent="0.4">
      <c r="A31" s="11">
        <v>17</v>
      </c>
      <c r="B31" s="11" t="s">
        <v>1473</v>
      </c>
      <c r="C31" s="11">
        <v>1198</v>
      </c>
      <c r="D31" s="11">
        <v>565</v>
      </c>
      <c r="E31" s="11">
        <v>633</v>
      </c>
    </row>
    <row r="32" spans="1:5" ht="24.75" customHeight="1" x14ac:dyDescent="0.4">
      <c r="A32" s="11">
        <v>18</v>
      </c>
      <c r="B32" s="11" t="s">
        <v>1474</v>
      </c>
      <c r="C32" s="11">
        <v>1107</v>
      </c>
      <c r="D32" s="11">
        <v>514</v>
      </c>
      <c r="E32" s="11">
        <v>593</v>
      </c>
    </row>
    <row r="33" spans="1:5" ht="24.75" customHeight="1" x14ac:dyDescent="0.4">
      <c r="A33" s="11">
        <v>19</v>
      </c>
      <c r="B33" s="11" t="s">
        <v>1475</v>
      </c>
      <c r="C33" s="11">
        <v>190</v>
      </c>
      <c r="D33" s="11">
        <v>85</v>
      </c>
      <c r="E33" s="11">
        <v>105</v>
      </c>
    </row>
    <row r="34" spans="1:5" ht="24.75" customHeight="1" x14ac:dyDescent="0.4">
      <c r="A34" s="11">
        <v>20</v>
      </c>
      <c r="B34" s="11" t="s">
        <v>1476</v>
      </c>
      <c r="C34" s="11">
        <v>1032</v>
      </c>
      <c r="D34" s="11">
        <v>492</v>
      </c>
      <c r="E34" s="11">
        <v>540</v>
      </c>
    </row>
    <row r="35" spans="1:5" ht="24.75" customHeight="1" x14ac:dyDescent="0.4">
      <c r="A35" s="11">
        <v>21</v>
      </c>
      <c r="B35" s="11" t="s">
        <v>1477</v>
      </c>
      <c r="C35" s="11">
        <v>939</v>
      </c>
      <c r="D35" s="11">
        <v>445</v>
      </c>
      <c r="E35" s="11">
        <v>494</v>
      </c>
    </row>
    <row r="36" spans="1:5" ht="24.75" customHeight="1" x14ac:dyDescent="0.4">
      <c r="A36" s="11">
        <v>22</v>
      </c>
      <c r="B36" s="11" t="s">
        <v>1478</v>
      </c>
      <c r="C36" s="11">
        <v>1348</v>
      </c>
      <c r="D36" s="11">
        <v>680</v>
      </c>
      <c r="E36" s="11">
        <v>668</v>
      </c>
    </row>
    <row r="37" spans="1:5" ht="24.75" customHeight="1" x14ac:dyDescent="0.4">
      <c r="A37" s="11">
        <v>23</v>
      </c>
      <c r="B37" s="11" t="s">
        <v>1479</v>
      </c>
      <c r="C37" s="11">
        <v>1340</v>
      </c>
      <c r="D37" s="11">
        <v>635</v>
      </c>
      <c r="E37" s="11">
        <v>705</v>
      </c>
    </row>
    <row r="38" spans="1:5" ht="24.75" customHeight="1" x14ac:dyDescent="0.4">
      <c r="A38" s="11">
        <v>24</v>
      </c>
      <c r="B38" s="11" t="s">
        <v>1480</v>
      </c>
      <c r="C38" s="11">
        <v>606</v>
      </c>
      <c r="D38" s="11">
        <v>301</v>
      </c>
      <c r="E38" s="11">
        <v>305</v>
      </c>
    </row>
    <row r="39" spans="1:5" ht="24.75" customHeight="1" x14ac:dyDescent="0.4">
      <c r="A39" s="11">
        <v>25</v>
      </c>
      <c r="B39" s="11" t="s">
        <v>1481</v>
      </c>
      <c r="C39" s="11">
        <v>916</v>
      </c>
      <c r="D39" s="11">
        <v>463</v>
      </c>
      <c r="E39" s="11">
        <v>453</v>
      </c>
    </row>
    <row r="40" spans="1:5" ht="24.75" customHeight="1" x14ac:dyDescent="0.4">
      <c r="A40" s="11">
        <v>26</v>
      </c>
      <c r="B40" s="11" t="s">
        <v>1482</v>
      </c>
      <c r="C40" s="11">
        <v>663</v>
      </c>
      <c r="D40" s="11">
        <v>337</v>
      </c>
      <c r="E40" s="11">
        <v>326</v>
      </c>
    </row>
    <row r="41" spans="1:5" ht="24.75" customHeight="1" x14ac:dyDescent="0.4">
      <c r="A41" s="11">
        <v>27</v>
      </c>
      <c r="B41" s="11" t="s">
        <v>1483</v>
      </c>
      <c r="C41" s="11">
        <v>1022</v>
      </c>
      <c r="D41" s="11">
        <v>512</v>
      </c>
      <c r="E41" s="11">
        <v>510</v>
      </c>
    </row>
    <row r="42" spans="1:5" ht="24.75" customHeight="1" x14ac:dyDescent="0.4">
      <c r="A42" s="11">
        <v>28</v>
      </c>
      <c r="B42" s="11" t="s">
        <v>1484</v>
      </c>
      <c r="C42" s="11">
        <v>61</v>
      </c>
      <c r="D42" s="11">
        <v>25</v>
      </c>
      <c r="E42" s="11">
        <v>36</v>
      </c>
    </row>
    <row r="43" spans="1:5" ht="24.75" customHeight="1" x14ac:dyDescent="0.4">
      <c r="A43" s="11">
        <v>29</v>
      </c>
      <c r="B43" s="11" t="s">
        <v>1485</v>
      </c>
      <c r="C43" s="11">
        <v>397</v>
      </c>
      <c r="D43" s="11">
        <v>219</v>
      </c>
      <c r="E43" s="11">
        <v>178</v>
      </c>
    </row>
    <row r="44" spans="1:5" ht="24.75" customHeight="1" x14ac:dyDescent="0.4">
      <c r="A44" s="11">
        <v>30</v>
      </c>
      <c r="B44" s="11" t="s">
        <v>1486</v>
      </c>
      <c r="C44" s="11">
        <v>469</v>
      </c>
      <c r="D44" s="11">
        <v>227</v>
      </c>
      <c r="E44" s="11">
        <v>242</v>
      </c>
    </row>
    <row r="45" spans="1:5" ht="24.75" customHeight="1" x14ac:dyDescent="0.4">
      <c r="A45" s="12">
        <v>31</v>
      </c>
      <c r="B45" s="12" t="s">
        <v>1487</v>
      </c>
      <c r="C45" s="12">
        <v>795</v>
      </c>
      <c r="D45" s="12">
        <v>387</v>
      </c>
      <c r="E45" s="12">
        <v>408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Hkamti  District , Lahe Township"/>
  </hyperlinks>
  <pageMargins left="0.75" right="0.5" top="0.5" bottom="0.25" header="0.3" footer="0.3"/>
  <pageSetup paperSize="9"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sqref="A1:E1"/>
    </sheetView>
  </sheetViews>
  <sheetFormatPr defaultRowHeight="24.75" customHeight="1" x14ac:dyDescent="0.4"/>
  <cols>
    <col min="1" max="1" width="5.7109375" style="2" customWidth="1"/>
    <col min="2" max="2" width="34.42578125" style="2" customWidth="1"/>
    <col min="3" max="5" width="15.7109375" style="2" customWidth="1"/>
    <col min="6" max="16384" width="9.140625" style="2"/>
  </cols>
  <sheetData>
    <row r="1" spans="1:5" ht="24.75" customHeight="1" x14ac:dyDescent="0.4">
      <c r="A1" s="67" t="s">
        <v>1761</v>
      </c>
      <c r="B1" s="67"/>
      <c r="C1" s="67"/>
      <c r="D1" s="67"/>
      <c r="E1" s="67"/>
    </row>
    <row r="2" spans="1:5" ht="24.75" customHeight="1" x14ac:dyDescent="0.4">
      <c r="B2" s="7"/>
      <c r="C2" s="7"/>
      <c r="D2" s="7"/>
      <c r="E2" s="56" t="s">
        <v>1722</v>
      </c>
    </row>
    <row r="3" spans="1:5" ht="24.75" customHeight="1" x14ac:dyDescent="0.4">
      <c r="B3" s="7"/>
      <c r="C3" s="7"/>
      <c r="D3" s="7"/>
      <c r="E3" s="56"/>
    </row>
    <row r="4" spans="1:5" ht="11.25" customHeight="1" x14ac:dyDescent="0.4">
      <c r="B4" s="7"/>
      <c r="C4" s="7"/>
      <c r="D4" s="7"/>
      <c r="E4" s="7"/>
    </row>
    <row r="5" spans="1:5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4.7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4.75" customHeight="1" x14ac:dyDescent="0.4">
      <c r="A7" s="9"/>
      <c r="B7" s="9" t="s">
        <v>1772</v>
      </c>
      <c r="C7" s="9">
        <f>C9+C13</f>
        <v>10514</v>
      </c>
      <c r="D7" s="9">
        <f t="shared" ref="D7:E7" si="0">D9+D13</f>
        <v>5794</v>
      </c>
      <c r="E7" s="9">
        <f t="shared" si="0"/>
        <v>4720</v>
      </c>
    </row>
    <row r="8" spans="1:5" ht="11.25" customHeight="1" x14ac:dyDescent="0.4">
      <c r="A8" s="10"/>
      <c r="B8" s="42"/>
      <c r="C8" s="42"/>
      <c r="D8" s="42"/>
      <c r="E8" s="42"/>
    </row>
    <row r="9" spans="1:5" ht="24.75" customHeight="1" x14ac:dyDescent="0.4">
      <c r="A9" s="10"/>
      <c r="B9" s="10" t="s">
        <v>1725</v>
      </c>
      <c r="C9" s="10">
        <f>SUM(C10:C12)</f>
        <v>2444</v>
      </c>
      <c r="D9" s="10">
        <f t="shared" ref="D9:E9" si="1">SUM(D10:D12)</f>
        <v>1396</v>
      </c>
      <c r="E9" s="10">
        <f t="shared" si="1"/>
        <v>1048</v>
      </c>
    </row>
    <row r="10" spans="1:5" ht="24.75" customHeight="1" x14ac:dyDescent="0.4">
      <c r="A10" s="11">
        <v>1</v>
      </c>
      <c r="B10" s="11" t="s">
        <v>1488</v>
      </c>
      <c r="C10" s="11">
        <v>1055</v>
      </c>
      <c r="D10" s="11">
        <v>640</v>
      </c>
      <c r="E10" s="11">
        <v>415</v>
      </c>
    </row>
    <row r="11" spans="1:5" ht="24.75" customHeight="1" x14ac:dyDescent="0.4">
      <c r="A11" s="11">
        <v>2</v>
      </c>
      <c r="B11" s="11" t="s">
        <v>825</v>
      </c>
      <c r="C11" s="11">
        <v>1118</v>
      </c>
      <c r="D11" s="11">
        <v>611</v>
      </c>
      <c r="E11" s="11">
        <v>507</v>
      </c>
    </row>
    <row r="12" spans="1:5" ht="24.75" customHeight="1" x14ac:dyDescent="0.4">
      <c r="A12" s="11">
        <v>3</v>
      </c>
      <c r="B12" s="11" t="s">
        <v>1489</v>
      </c>
      <c r="C12" s="11">
        <v>271</v>
      </c>
      <c r="D12" s="11">
        <v>145</v>
      </c>
      <c r="E12" s="11">
        <v>126</v>
      </c>
    </row>
    <row r="13" spans="1:5" ht="24.75" customHeight="1" x14ac:dyDescent="0.4">
      <c r="A13" s="11"/>
      <c r="B13" s="10" t="s">
        <v>1773</v>
      </c>
      <c r="C13" s="10">
        <f>SUM(C14:C29)</f>
        <v>8070</v>
      </c>
      <c r="D13" s="10">
        <f t="shared" ref="D13:E13" si="2">SUM(D14:D29)</f>
        <v>4398</v>
      </c>
      <c r="E13" s="10">
        <f t="shared" si="2"/>
        <v>3672</v>
      </c>
    </row>
    <row r="14" spans="1:5" ht="24.75" customHeight="1" x14ac:dyDescent="0.4">
      <c r="A14" s="11">
        <v>1</v>
      </c>
      <c r="B14" s="11" t="s">
        <v>1490</v>
      </c>
      <c r="C14" s="11">
        <v>1000</v>
      </c>
      <c r="D14" s="11">
        <v>501</v>
      </c>
      <c r="E14" s="11">
        <v>499</v>
      </c>
    </row>
    <row r="15" spans="1:5" ht="24.75" customHeight="1" x14ac:dyDescent="0.4">
      <c r="A15" s="11">
        <v>2</v>
      </c>
      <c r="B15" s="11" t="s">
        <v>1491</v>
      </c>
      <c r="C15" s="11">
        <v>507</v>
      </c>
      <c r="D15" s="11">
        <v>271</v>
      </c>
      <c r="E15" s="11">
        <v>236</v>
      </c>
    </row>
    <row r="16" spans="1:5" ht="24.75" customHeight="1" x14ac:dyDescent="0.4">
      <c r="A16" s="11">
        <v>3</v>
      </c>
      <c r="B16" s="11" t="s">
        <v>1492</v>
      </c>
      <c r="C16" s="11">
        <v>283</v>
      </c>
      <c r="D16" s="11">
        <v>147</v>
      </c>
      <c r="E16" s="11">
        <v>136</v>
      </c>
    </row>
    <row r="17" spans="1:5" ht="24.75" customHeight="1" x14ac:dyDescent="0.4">
      <c r="A17" s="11">
        <v>4</v>
      </c>
      <c r="B17" s="11" t="s">
        <v>1493</v>
      </c>
      <c r="C17" s="11">
        <v>269</v>
      </c>
      <c r="D17" s="11">
        <v>146</v>
      </c>
      <c r="E17" s="11">
        <v>123</v>
      </c>
    </row>
    <row r="18" spans="1:5" ht="24.75" customHeight="1" x14ac:dyDescent="0.4">
      <c r="A18" s="11">
        <v>5</v>
      </c>
      <c r="B18" s="11" t="s">
        <v>1494</v>
      </c>
      <c r="C18" s="11">
        <v>152</v>
      </c>
      <c r="D18" s="11">
        <v>69</v>
      </c>
      <c r="E18" s="11">
        <v>83</v>
      </c>
    </row>
    <row r="19" spans="1:5" ht="24.75" customHeight="1" x14ac:dyDescent="0.4">
      <c r="A19" s="11">
        <v>6</v>
      </c>
      <c r="B19" s="11" t="s">
        <v>1495</v>
      </c>
      <c r="C19" s="11">
        <v>461</v>
      </c>
      <c r="D19" s="11">
        <v>231</v>
      </c>
      <c r="E19" s="11">
        <v>230</v>
      </c>
    </row>
    <row r="20" spans="1:5" ht="24.75" customHeight="1" x14ac:dyDescent="0.4">
      <c r="A20" s="11">
        <v>7</v>
      </c>
      <c r="B20" s="11" t="s">
        <v>1496</v>
      </c>
      <c r="C20" s="11">
        <v>70</v>
      </c>
      <c r="D20" s="11">
        <v>34</v>
      </c>
      <c r="E20" s="11">
        <v>36</v>
      </c>
    </row>
    <row r="21" spans="1:5" ht="24.75" customHeight="1" x14ac:dyDescent="0.4">
      <c r="A21" s="11">
        <v>8</v>
      </c>
      <c r="B21" s="11" t="s">
        <v>1497</v>
      </c>
      <c r="C21" s="11">
        <v>3201</v>
      </c>
      <c r="D21" s="11">
        <v>1893</v>
      </c>
      <c r="E21" s="11">
        <v>1308</v>
      </c>
    </row>
    <row r="22" spans="1:5" ht="24.75" customHeight="1" x14ac:dyDescent="0.4">
      <c r="A22" s="11">
        <v>9</v>
      </c>
      <c r="B22" s="11" t="s">
        <v>1498</v>
      </c>
      <c r="C22" s="11">
        <v>150</v>
      </c>
      <c r="D22" s="11">
        <v>86</v>
      </c>
      <c r="E22" s="11">
        <v>64</v>
      </c>
    </row>
    <row r="23" spans="1:5" ht="24.75" customHeight="1" x14ac:dyDescent="0.4">
      <c r="A23" s="11">
        <v>10</v>
      </c>
      <c r="B23" s="11" t="s">
        <v>1499</v>
      </c>
      <c r="C23" s="11">
        <v>151</v>
      </c>
      <c r="D23" s="11">
        <v>81</v>
      </c>
      <c r="E23" s="11">
        <v>70</v>
      </c>
    </row>
    <row r="24" spans="1:5" ht="24.75" customHeight="1" x14ac:dyDescent="0.4">
      <c r="A24" s="11">
        <v>11</v>
      </c>
      <c r="B24" s="11" t="s">
        <v>1500</v>
      </c>
      <c r="C24" s="11">
        <v>344</v>
      </c>
      <c r="D24" s="11">
        <v>187</v>
      </c>
      <c r="E24" s="11">
        <v>157</v>
      </c>
    </row>
    <row r="25" spans="1:5" ht="24.75" customHeight="1" x14ac:dyDescent="0.4">
      <c r="A25" s="11">
        <v>12</v>
      </c>
      <c r="B25" s="11" t="s">
        <v>1501</v>
      </c>
      <c r="C25" s="11">
        <v>463</v>
      </c>
      <c r="D25" s="11">
        <v>244</v>
      </c>
      <c r="E25" s="11">
        <v>219</v>
      </c>
    </row>
    <row r="26" spans="1:5" ht="24.75" customHeight="1" x14ac:dyDescent="0.4">
      <c r="A26" s="11">
        <v>13</v>
      </c>
      <c r="B26" s="11" t="s">
        <v>1502</v>
      </c>
      <c r="C26" s="11">
        <v>245</v>
      </c>
      <c r="D26" s="11">
        <v>114</v>
      </c>
      <c r="E26" s="11">
        <v>131</v>
      </c>
    </row>
    <row r="27" spans="1:5" ht="24.75" customHeight="1" x14ac:dyDescent="0.4">
      <c r="A27" s="11">
        <v>14</v>
      </c>
      <c r="B27" s="11" t="s">
        <v>1503</v>
      </c>
      <c r="C27" s="11">
        <v>107</v>
      </c>
      <c r="D27" s="11">
        <v>59</v>
      </c>
      <c r="E27" s="11">
        <v>48</v>
      </c>
    </row>
    <row r="28" spans="1:5" ht="24.75" customHeight="1" x14ac:dyDescent="0.4">
      <c r="A28" s="11">
        <v>15</v>
      </c>
      <c r="B28" s="11" t="s">
        <v>1504</v>
      </c>
      <c r="C28" s="11">
        <v>222</v>
      </c>
      <c r="D28" s="11">
        <v>116</v>
      </c>
      <c r="E28" s="11">
        <v>106</v>
      </c>
    </row>
    <row r="29" spans="1:5" ht="24.75" customHeight="1" x14ac:dyDescent="0.4">
      <c r="A29" s="12">
        <v>16</v>
      </c>
      <c r="B29" s="12" t="s">
        <v>1505</v>
      </c>
      <c r="C29" s="12">
        <v>445</v>
      </c>
      <c r="D29" s="12">
        <v>219</v>
      </c>
      <c r="E29" s="12">
        <v>226</v>
      </c>
    </row>
    <row r="30" spans="1:5" ht="24.75" customHeight="1" x14ac:dyDescent="0.4">
      <c r="A30" s="20"/>
      <c r="B30" s="20"/>
      <c r="C30" s="20"/>
      <c r="D30" s="20"/>
      <c r="E30" s="20"/>
    </row>
    <row r="31" spans="1:5" ht="24.75" customHeight="1" x14ac:dyDescent="0.4">
      <c r="A31" s="20"/>
      <c r="B31" s="20"/>
      <c r="C31" s="20"/>
      <c r="D31" s="20"/>
      <c r="E31" s="20"/>
    </row>
    <row r="32" spans="1:5" ht="24.75" customHeight="1" x14ac:dyDescent="0.4">
      <c r="A32" s="20"/>
      <c r="B32" s="20"/>
      <c r="C32" s="20"/>
      <c r="D32" s="20"/>
      <c r="E32" s="20"/>
    </row>
    <row r="33" spans="1:5" ht="24.75" customHeight="1" x14ac:dyDescent="0.4">
      <c r="A33" s="20"/>
      <c r="B33" s="20"/>
      <c r="C33" s="20"/>
      <c r="D33" s="20"/>
      <c r="E33" s="20"/>
    </row>
    <row r="34" spans="1:5" ht="24.75" customHeight="1" x14ac:dyDescent="0.4">
      <c r="A34" s="20"/>
      <c r="B34" s="20"/>
      <c r="C34" s="20"/>
      <c r="D34" s="20"/>
      <c r="E34" s="20"/>
    </row>
    <row r="35" spans="1:5" ht="24.75" customHeight="1" x14ac:dyDescent="0.4">
      <c r="A35" s="20"/>
      <c r="B35" s="20"/>
      <c r="C35" s="20"/>
      <c r="D35" s="20"/>
      <c r="E35" s="20"/>
    </row>
    <row r="36" spans="1:5" ht="24.75" customHeight="1" x14ac:dyDescent="0.4">
      <c r="A36" s="20"/>
      <c r="B36" s="20"/>
      <c r="C36" s="20"/>
      <c r="D36" s="20"/>
      <c r="E36" s="20"/>
    </row>
    <row r="37" spans="1:5" ht="24.75" customHeight="1" x14ac:dyDescent="0.4">
      <c r="A37" s="20"/>
      <c r="B37" s="20"/>
      <c r="C37" s="20"/>
      <c r="D37" s="20"/>
      <c r="E37" s="20"/>
    </row>
    <row r="38" spans="1:5" ht="24.75" customHeight="1" x14ac:dyDescent="0.4">
      <c r="A38" s="20"/>
      <c r="B38" s="20"/>
      <c r="C38" s="20"/>
      <c r="D38" s="20"/>
      <c r="E38" s="20"/>
    </row>
    <row r="39" spans="1:5" ht="24.75" customHeight="1" x14ac:dyDescent="0.4">
      <c r="A39" s="20"/>
      <c r="B39" s="20"/>
      <c r="C39" s="20"/>
      <c r="D39" s="20"/>
      <c r="E39" s="20"/>
    </row>
    <row r="40" spans="1:5" ht="24.75" customHeight="1" x14ac:dyDescent="0.4">
      <c r="A40" s="20"/>
      <c r="B40" s="20"/>
      <c r="C40" s="20"/>
      <c r="D40" s="20"/>
      <c r="E40" s="20"/>
    </row>
    <row r="41" spans="1:5" ht="24.75" customHeight="1" x14ac:dyDescent="0.4">
      <c r="A41" s="20"/>
      <c r="B41" s="20"/>
      <c r="C41" s="20"/>
      <c r="D41" s="20"/>
      <c r="E41" s="20"/>
    </row>
    <row r="42" spans="1:5" ht="24.75" customHeight="1" x14ac:dyDescent="0.4">
      <c r="A42" s="20"/>
      <c r="B42" s="20"/>
      <c r="C42" s="20"/>
      <c r="D42" s="20"/>
      <c r="E42" s="20"/>
    </row>
    <row r="43" spans="1:5" ht="24.75" customHeight="1" x14ac:dyDescent="0.4">
      <c r="A43" s="20"/>
      <c r="B43" s="20"/>
      <c r="C43" s="20"/>
      <c r="D43" s="20"/>
      <c r="E43" s="20"/>
    </row>
    <row r="44" spans="1:5" ht="24.75" customHeight="1" x14ac:dyDescent="0.4">
      <c r="A44" s="20"/>
      <c r="B44" s="20"/>
      <c r="C44" s="20"/>
      <c r="D44" s="20"/>
      <c r="E44" s="20"/>
    </row>
    <row r="45" spans="1:5" ht="24.75" customHeight="1" x14ac:dyDescent="0.4">
      <c r="A45" s="20"/>
      <c r="B45" s="20"/>
      <c r="C45" s="20"/>
      <c r="D45" s="20"/>
      <c r="E45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Hkamti  District , Nanyun Township"/>
  </hyperlinks>
  <pageMargins left="0.75" right="0.5" top="0.5" bottom="0.25" header="0.3" footer="0.3"/>
  <pageSetup paperSize="9" orientation="portrait" horizontalDpi="1200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sqref="A1:E1"/>
    </sheetView>
  </sheetViews>
  <sheetFormatPr defaultRowHeight="26.25" customHeight="1" x14ac:dyDescent="0.4"/>
  <cols>
    <col min="1" max="1" width="9.140625" style="2"/>
    <col min="2" max="2" width="31.140625" style="2" customWidth="1"/>
    <col min="3" max="5" width="15.7109375" style="2" customWidth="1"/>
    <col min="6" max="16384" width="9.140625" style="2"/>
  </cols>
  <sheetData>
    <row r="1" spans="1:5" ht="26.25" customHeight="1" x14ac:dyDescent="0.4">
      <c r="A1" s="67" t="s">
        <v>1762</v>
      </c>
      <c r="B1" s="67"/>
      <c r="C1" s="67"/>
      <c r="D1" s="67"/>
      <c r="E1" s="67"/>
    </row>
    <row r="2" spans="1:5" ht="26.25" customHeight="1" x14ac:dyDescent="0.4">
      <c r="B2" s="7"/>
      <c r="C2" s="7"/>
      <c r="D2" s="7"/>
      <c r="E2" s="56" t="s">
        <v>1722</v>
      </c>
    </row>
    <row r="3" spans="1:5" ht="26.25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6.2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6.2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6.25" customHeight="1" x14ac:dyDescent="0.4">
      <c r="A7" s="9"/>
      <c r="B7" s="9" t="s">
        <v>1772</v>
      </c>
      <c r="C7" s="9">
        <f>SUM(C9+C12)</f>
        <v>1430</v>
      </c>
      <c r="D7" s="9">
        <f t="shared" ref="D7:E7" si="0">SUM(D9+D12)</f>
        <v>713</v>
      </c>
      <c r="E7" s="9">
        <f t="shared" si="0"/>
        <v>717</v>
      </c>
    </row>
    <row r="8" spans="1:5" ht="10.5" customHeight="1" x14ac:dyDescent="0.4">
      <c r="A8" s="10"/>
      <c r="B8" s="42"/>
      <c r="C8" s="42"/>
      <c r="D8" s="42"/>
      <c r="E8" s="42"/>
    </row>
    <row r="9" spans="1:5" ht="26.25" customHeight="1" x14ac:dyDescent="0.4">
      <c r="A9" s="10"/>
      <c r="B9" s="10" t="s">
        <v>1725</v>
      </c>
      <c r="C9" s="10">
        <f>SUM(C10:C11)</f>
        <v>987</v>
      </c>
      <c r="D9" s="10">
        <f t="shared" ref="D9:E9" si="1">SUM(D10:D11)</f>
        <v>497</v>
      </c>
      <c r="E9" s="10">
        <f t="shared" si="1"/>
        <v>490</v>
      </c>
    </row>
    <row r="10" spans="1:5" ht="26.25" customHeight="1" x14ac:dyDescent="0.4">
      <c r="A10" s="11">
        <v>1</v>
      </c>
      <c r="B10" s="11" t="s">
        <v>203</v>
      </c>
      <c r="C10" s="11">
        <v>595</v>
      </c>
      <c r="D10" s="11">
        <v>276</v>
      </c>
      <c r="E10" s="11">
        <v>319</v>
      </c>
    </row>
    <row r="11" spans="1:5" ht="26.25" customHeight="1" x14ac:dyDescent="0.4">
      <c r="A11" s="11">
        <v>2</v>
      </c>
      <c r="B11" s="11" t="s">
        <v>204</v>
      </c>
      <c r="C11" s="11">
        <v>392</v>
      </c>
      <c r="D11" s="11">
        <v>221</v>
      </c>
      <c r="E11" s="11">
        <v>171</v>
      </c>
    </row>
    <row r="12" spans="1:5" ht="26.25" customHeight="1" x14ac:dyDescent="0.4">
      <c r="A12" s="11"/>
      <c r="B12" s="10" t="s">
        <v>1773</v>
      </c>
      <c r="C12" s="10">
        <f>SUM(C13:C15)</f>
        <v>443</v>
      </c>
      <c r="D12" s="10">
        <f t="shared" ref="D12:E12" si="2">SUM(D13:D15)</f>
        <v>216</v>
      </c>
      <c r="E12" s="10">
        <f t="shared" si="2"/>
        <v>227</v>
      </c>
    </row>
    <row r="13" spans="1:5" ht="26.25" customHeight="1" x14ac:dyDescent="0.4">
      <c r="A13" s="11">
        <v>1</v>
      </c>
      <c r="B13" s="11" t="s">
        <v>1506</v>
      </c>
      <c r="C13" s="11">
        <v>201</v>
      </c>
      <c r="D13" s="11">
        <v>98</v>
      </c>
      <c r="E13" s="11">
        <v>103</v>
      </c>
    </row>
    <row r="14" spans="1:5" ht="26.25" customHeight="1" x14ac:dyDescent="0.4">
      <c r="A14" s="11">
        <v>2</v>
      </c>
      <c r="B14" s="11" t="s">
        <v>1507</v>
      </c>
      <c r="C14" s="11">
        <v>110</v>
      </c>
      <c r="D14" s="11">
        <v>57</v>
      </c>
      <c r="E14" s="11">
        <v>53</v>
      </c>
    </row>
    <row r="15" spans="1:5" ht="26.25" customHeight="1" x14ac:dyDescent="0.4">
      <c r="A15" s="11">
        <v>3</v>
      </c>
      <c r="B15" s="12" t="s">
        <v>1508</v>
      </c>
      <c r="C15" s="12">
        <v>132</v>
      </c>
      <c r="D15" s="12">
        <v>61</v>
      </c>
      <c r="E15" s="12">
        <v>71</v>
      </c>
    </row>
    <row r="16" spans="1:5" ht="26.25" customHeight="1" x14ac:dyDescent="0.4">
      <c r="A16" s="18"/>
      <c r="B16" s="19"/>
      <c r="C16" s="19"/>
      <c r="D16" s="19"/>
      <c r="E16" s="19"/>
    </row>
    <row r="17" spans="1:5" ht="26.25" customHeight="1" x14ac:dyDescent="0.4">
      <c r="A17" s="20"/>
      <c r="B17" s="21"/>
      <c r="C17" s="21"/>
      <c r="D17" s="21"/>
      <c r="E17" s="21"/>
    </row>
    <row r="18" spans="1:5" ht="26.25" customHeight="1" x14ac:dyDescent="0.4">
      <c r="A18" s="20"/>
      <c r="B18" s="21"/>
      <c r="C18" s="21"/>
      <c r="D18" s="21"/>
      <c r="E18" s="21"/>
    </row>
    <row r="19" spans="1:5" ht="26.25" customHeight="1" x14ac:dyDescent="0.4">
      <c r="A19" s="20"/>
      <c r="B19" s="21"/>
      <c r="C19" s="21"/>
      <c r="D19" s="21"/>
      <c r="E19" s="21"/>
    </row>
    <row r="20" spans="1:5" ht="26.25" customHeight="1" x14ac:dyDescent="0.4">
      <c r="A20" s="20"/>
      <c r="B20" s="21"/>
      <c r="C20" s="21"/>
      <c r="D20" s="21"/>
      <c r="E20" s="21"/>
    </row>
    <row r="21" spans="1:5" ht="26.25" customHeight="1" x14ac:dyDescent="0.4">
      <c r="A21" s="20"/>
      <c r="B21" s="21"/>
      <c r="C21" s="21"/>
      <c r="D21" s="21"/>
      <c r="E21" s="21"/>
    </row>
    <row r="22" spans="1:5" ht="26.25" customHeight="1" x14ac:dyDescent="0.4">
      <c r="A22" s="20"/>
      <c r="B22" s="21"/>
      <c r="C22" s="21"/>
      <c r="D22" s="21"/>
      <c r="E22" s="21"/>
    </row>
    <row r="23" spans="1:5" ht="26.25" customHeight="1" x14ac:dyDescent="0.4">
      <c r="A23" s="20"/>
      <c r="B23" s="21"/>
      <c r="C23" s="21"/>
      <c r="D23" s="21"/>
      <c r="E23" s="21"/>
    </row>
    <row r="24" spans="1:5" ht="26.25" customHeight="1" x14ac:dyDescent="0.4">
      <c r="A24" s="20"/>
      <c r="B24" s="21"/>
      <c r="C24" s="21"/>
      <c r="D24" s="21"/>
      <c r="E24" s="21"/>
    </row>
    <row r="25" spans="1:5" ht="26.25" customHeight="1" x14ac:dyDescent="0.4">
      <c r="A25" s="20"/>
      <c r="B25" s="21"/>
      <c r="C25" s="21"/>
      <c r="D25" s="21"/>
      <c r="E25" s="21"/>
    </row>
    <row r="26" spans="1:5" ht="26.25" customHeight="1" x14ac:dyDescent="0.4">
      <c r="A26" s="20"/>
      <c r="B26" s="21"/>
      <c r="C26" s="21"/>
      <c r="D26" s="21"/>
      <c r="E26" s="21"/>
    </row>
    <row r="27" spans="1:5" ht="26.25" customHeight="1" x14ac:dyDescent="0.4">
      <c r="A27" s="20"/>
      <c r="B27" s="21"/>
      <c r="C27" s="21"/>
      <c r="D27" s="21"/>
      <c r="E27" s="21"/>
    </row>
    <row r="28" spans="1:5" ht="26.25" customHeight="1" x14ac:dyDescent="0.4">
      <c r="A28" s="20"/>
      <c r="B28" s="21"/>
      <c r="C28" s="21"/>
      <c r="D28" s="21"/>
      <c r="E28" s="21"/>
    </row>
    <row r="29" spans="1:5" ht="26.25" customHeight="1" x14ac:dyDescent="0.4">
      <c r="A29" s="20"/>
      <c r="B29" s="21"/>
      <c r="C29" s="21"/>
      <c r="D29" s="21"/>
      <c r="E29" s="21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Hkamti  District , Mobaingluk Sub-Township"/>
  </hyperlinks>
  <pageMargins left="0.75" right="0.5" top="0.5" bottom="0.25" header="0.3" footer="0.3"/>
  <pageSetup paperSize="9"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sqref="A1:E1"/>
    </sheetView>
  </sheetViews>
  <sheetFormatPr defaultRowHeight="25.5" customHeight="1" x14ac:dyDescent="0.4"/>
  <cols>
    <col min="1" max="1" width="5.85546875" style="41" customWidth="1"/>
    <col min="2" max="2" width="30.5703125" style="41" customWidth="1"/>
    <col min="3" max="5" width="16" style="41" customWidth="1"/>
    <col min="6" max="7" width="9.140625" style="41"/>
    <col min="8" max="16384" width="9.140625" style="2"/>
  </cols>
  <sheetData>
    <row r="1" spans="1:7" ht="25.5" customHeight="1" x14ac:dyDescent="0.4">
      <c r="A1" s="67" t="s">
        <v>1763</v>
      </c>
      <c r="B1" s="67"/>
      <c r="C1" s="67"/>
      <c r="D1" s="67"/>
      <c r="E1" s="67"/>
      <c r="F1" s="43"/>
      <c r="G1" s="43"/>
    </row>
    <row r="2" spans="1:7" ht="25.5" customHeight="1" x14ac:dyDescent="0.4">
      <c r="A2" s="2"/>
      <c r="B2" s="7"/>
      <c r="C2" s="7"/>
      <c r="D2" s="7"/>
      <c r="E2" s="56" t="s">
        <v>1722</v>
      </c>
      <c r="F2" s="44"/>
      <c r="G2" s="44"/>
    </row>
    <row r="3" spans="1:7" ht="25.5" customHeight="1" x14ac:dyDescent="0.4">
      <c r="A3" s="2"/>
      <c r="B3" s="7"/>
      <c r="C3" s="7"/>
      <c r="D3" s="7"/>
      <c r="E3" s="56"/>
      <c r="F3" s="44"/>
      <c r="G3" s="44"/>
    </row>
    <row r="4" spans="1:7" ht="10.5" customHeight="1" x14ac:dyDescent="0.4">
      <c r="A4" s="2"/>
      <c r="B4" s="7"/>
      <c r="C4" s="7"/>
      <c r="D4" s="7"/>
      <c r="E4" s="7"/>
      <c r="F4" s="44"/>
      <c r="G4" s="44"/>
    </row>
    <row r="5" spans="1:7" ht="25.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  <c r="F5" s="37"/>
      <c r="G5" s="45"/>
    </row>
    <row r="6" spans="1:7" ht="25.5" customHeight="1" x14ac:dyDescent="0.4">
      <c r="A6" s="65"/>
      <c r="B6" s="65"/>
      <c r="C6" s="38" t="s">
        <v>0</v>
      </c>
      <c r="D6" s="38" t="s">
        <v>1</v>
      </c>
      <c r="E6" s="38" t="s">
        <v>2</v>
      </c>
      <c r="F6" s="37"/>
      <c r="G6" s="45"/>
    </row>
    <row r="7" spans="1:7" ht="25.5" customHeight="1" x14ac:dyDescent="0.4">
      <c r="A7" s="9"/>
      <c r="B7" s="9" t="s">
        <v>1772</v>
      </c>
      <c r="C7" s="22">
        <f>C9+C13</f>
        <v>5831</v>
      </c>
      <c r="D7" s="22">
        <f t="shared" ref="D7:E7" si="0">D9+D13</f>
        <v>2746</v>
      </c>
      <c r="E7" s="22">
        <f t="shared" si="0"/>
        <v>3085</v>
      </c>
      <c r="F7" s="14"/>
      <c r="G7" s="14"/>
    </row>
    <row r="8" spans="1:7" ht="10.5" customHeight="1" x14ac:dyDescent="0.4">
      <c r="A8" s="10"/>
      <c r="B8" s="42"/>
      <c r="C8" s="42"/>
      <c r="D8" s="42"/>
      <c r="E8" s="42"/>
      <c r="F8" s="44"/>
      <c r="G8" s="14"/>
    </row>
    <row r="9" spans="1:7" ht="25.5" customHeight="1" x14ac:dyDescent="0.4">
      <c r="A9" s="10"/>
      <c r="B9" s="10" t="s">
        <v>1725</v>
      </c>
      <c r="C9" s="24">
        <f>SUM(C10:C12)</f>
        <v>1484</v>
      </c>
      <c r="D9" s="24">
        <f t="shared" ref="D9:E9" si="1">SUM(D10:D12)</f>
        <v>705</v>
      </c>
      <c r="E9" s="24">
        <f t="shared" si="1"/>
        <v>779</v>
      </c>
      <c r="F9" s="14"/>
      <c r="G9" s="14"/>
    </row>
    <row r="10" spans="1:7" ht="25.5" customHeight="1" x14ac:dyDescent="0.4">
      <c r="A10" s="11">
        <v>1</v>
      </c>
      <c r="B10" s="23" t="s">
        <v>203</v>
      </c>
      <c r="C10" s="23">
        <v>515</v>
      </c>
      <c r="D10" s="23">
        <v>242</v>
      </c>
      <c r="E10" s="23">
        <v>273</v>
      </c>
      <c r="F10" s="20"/>
      <c r="G10" s="14"/>
    </row>
    <row r="11" spans="1:7" ht="25.5" customHeight="1" x14ac:dyDescent="0.4">
      <c r="A11" s="11">
        <v>2</v>
      </c>
      <c r="B11" s="23" t="s">
        <v>204</v>
      </c>
      <c r="C11" s="23">
        <v>467</v>
      </c>
      <c r="D11" s="23">
        <v>236</v>
      </c>
      <c r="E11" s="23">
        <v>231</v>
      </c>
      <c r="F11" s="20"/>
      <c r="G11" s="14"/>
    </row>
    <row r="12" spans="1:7" ht="25.5" customHeight="1" x14ac:dyDescent="0.4">
      <c r="A12" s="11">
        <v>3</v>
      </c>
      <c r="B12" s="23" t="s">
        <v>205</v>
      </c>
      <c r="C12" s="23">
        <v>502</v>
      </c>
      <c r="D12" s="23">
        <v>227</v>
      </c>
      <c r="E12" s="23">
        <v>275</v>
      </c>
      <c r="F12" s="14"/>
      <c r="G12" s="14"/>
    </row>
    <row r="13" spans="1:7" ht="25.5" customHeight="1" x14ac:dyDescent="0.4">
      <c r="A13" s="11"/>
      <c r="B13" s="10" t="s">
        <v>1773</v>
      </c>
      <c r="C13" s="24">
        <f>SUM(C14:C17)</f>
        <v>4347</v>
      </c>
      <c r="D13" s="24">
        <f t="shared" ref="D13:E13" si="2">SUM(D14:D17)</f>
        <v>2041</v>
      </c>
      <c r="E13" s="24">
        <f t="shared" si="2"/>
        <v>2306</v>
      </c>
      <c r="F13" s="20"/>
      <c r="G13" s="14"/>
    </row>
    <row r="14" spans="1:7" ht="25.5" customHeight="1" x14ac:dyDescent="0.4">
      <c r="A14" s="11">
        <v>1</v>
      </c>
      <c r="B14" s="23" t="s">
        <v>1509</v>
      </c>
      <c r="C14" s="23">
        <v>1299</v>
      </c>
      <c r="D14" s="23">
        <v>621</v>
      </c>
      <c r="E14" s="23">
        <v>678</v>
      </c>
      <c r="F14" s="20"/>
      <c r="G14" s="14"/>
    </row>
    <row r="15" spans="1:7" ht="25.5" customHeight="1" x14ac:dyDescent="0.4">
      <c r="A15" s="11">
        <v>2</v>
      </c>
      <c r="B15" s="23" t="s">
        <v>1510</v>
      </c>
      <c r="C15" s="23">
        <v>922</v>
      </c>
      <c r="D15" s="23">
        <v>427</v>
      </c>
      <c r="E15" s="23">
        <v>495</v>
      </c>
      <c r="F15" s="20"/>
      <c r="G15" s="14"/>
    </row>
    <row r="16" spans="1:7" ht="25.5" customHeight="1" x14ac:dyDescent="0.4">
      <c r="A16" s="11">
        <v>3</v>
      </c>
      <c r="B16" s="23" t="s">
        <v>1511</v>
      </c>
      <c r="C16" s="23">
        <v>538</v>
      </c>
      <c r="D16" s="23">
        <v>259</v>
      </c>
      <c r="E16" s="23">
        <v>279</v>
      </c>
      <c r="G16" s="14"/>
    </row>
    <row r="17" spans="1:7" ht="25.5" customHeight="1" x14ac:dyDescent="0.4">
      <c r="A17" s="12">
        <v>4</v>
      </c>
      <c r="B17" s="30" t="s">
        <v>1512</v>
      </c>
      <c r="C17" s="30">
        <v>1588</v>
      </c>
      <c r="D17" s="30">
        <v>734</v>
      </c>
      <c r="E17" s="30">
        <v>854</v>
      </c>
      <c r="G17" s="14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Hkamti  District , Sonemara Sub-Township"/>
  </hyperlinks>
  <pageMargins left="0.75" right="0.5" top="0.5" bottom="0.25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sqref="A1:E1"/>
    </sheetView>
  </sheetViews>
  <sheetFormatPr defaultRowHeight="26.25" customHeight="1" x14ac:dyDescent="0.4"/>
  <cols>
    <col min="1" max="1" width="7.28515625" style="2" customWidth="1"/>
    <col min="2" max="2" width="29.7109375" style="2" customWidth="1"/>
    <col min="3" max="5" width="15.7109375" style="2" customWidth="1"/>
    <col min="6" max="16384" width="9.140625" style="2"/>
  </cols>
  <sheetData>
    <row r="1" spans="1:5" ht="26.25" customHeight="1" x14ac:dyDescent="0.4">
      <c r="A1" s="67" t="s">
        <v>1764</v>
      </c>
      <c r="B1" s="67"/>
      <c r="C1" s="67"/>
      <c r="D1" s="67"/>
      <c r="E1" s="67"/>
    </row>
    <row r="2" spans="1:5" ht="26.25" customHeight="1" x14ac:dyDescent="0.4">
      <c r="B2" s="7"/>
      <c r="C2" s="7"/>
      <c r="D2" s="7"/>
      <c r="E2" s="56" t="s">
        <v>1722</v>
      </c>
    </row>
    <row r="3" spans="1:5" ht="26.25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6.2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6.25" customHeight="1" x14ac:dyDescent="0.4">
      <c r="A6" s="65"/>
      <c r="B6" s="65"/>
      <c r="C6" s="38" t="s">
        <v>0</v>
      </c>
      <c r="D6" s="38" t="s">
        <v>1</v>
      </c>
      <c r="E6" s="38" t="s">
        <v>2</v>
      </c>
    </row>
    <row r="7" spans="1:5" ht="24.95" customHeight="1" x14ac:dyDescent="0.4">
      <c r="A7" s="9"/>
      <c r="B7" s="9" t="s">
        <v>1772</v>
      </c>
      <c r="C7" s="22">
        <f>C9+C11</f>
        <v>5335</v>
      </c>
      <c r="D7" s="22">
        <f t="shared" ref="D7:E7" si="0">D9+D11</f>
        <v>2836</v>
      </c>
      <c r="E7" s="22">
        <f t="shared" si="0"/>
        <v>2499</v>
      </c>
    </row>
    <row r="8" spans="1:5" ht="11.25" customHeight="1" x14ac:dyDescent="0.4">
      <c r="A8" s="10"/>
      <c r="B8" s="42"/>
      <c r="C8" s="42"/>
      <c r="D8" s="42"/>
      <c r="E8" s="42"/>
    </row>
    <row r="9" spans="1:5" ht="24.95" customHeight="1" x14ac:dyDescent="0.4">
      <c r="A9" s="10"/>
      <c r="B9" s="10" t="s">
        <v>1725</v>
      </c>
      <c r="C9" s="24">
        <f>SUM(C10)</f>
        <v>988</v>
      </c>
      <c r="D9" s="24">
        <f t="shared" ref="D9:E9" si="1">SUM(D10)</f>
        <v>594</v>
      </c>
      <c r="E9" s="24">
        <f t="shared" si="1"/>
        <v>394</v>
      </c>
    </row>
    <row r="10" spans="1:5" ht="24.95" customHeight="1" x14ac:dyDescent="0.4">
      <c r="A10" s="11">
        <v>1</v>
      </c>
      <c r="B10" s="23" t="s">
        <v>1513</v>
      </c>
      <c r="C10" s="23">
        <v>988</v>
      </c>
      <c r="D10" s="23">
        <v>594</v>
      </c>
      <c r="E10" s="23">
        <v>394</v>
      </c>
    </row>
    <row r="11" spans="1:5" ht="24.95" customHeight="1" x14ac:dyDescent="0.4">
      <c r="A11" s="11"/>
      <c r="B11" s="10" t="s">
        <v>1773</v>
      </c>
      <c r="C11" s="24">
        <f>SUM(C12:C15)</f>
        <v>4347</v>
      </c>
      <c r="D11" s="24">
        <f t="shared" ref="D11:E11" si="2">SUM(D12:D15)</f>
        <v>2242</v>
      </c>
      <c r="E11" s="24">
        <f t="shared" si="2"/>
        <v>2105</v>
      </c>
    </row>
    <row r="12" spans="1:5" ht="24.95" customHeight="1" x14ac:dyDescent="0.4">
      <c r="A12" s="11">
        <v>1</v>
      </c>
      <c r="B12" s="23" t="s">
        <v>1514</v>
      </c>
      <c r="C12" s="23">
        <v>406</v>
      </c>
      <c r="D12" s="23">
        <v>219</v>
      </c>
      <c r="E12" s="23">
        <v>187</v>
      </c>
    </row>
    <row r="13" spans="1:5" ht="24.95" customHeight="1" x14ac:dyDescent="0.4">
      <c r="A13" s="11">
        <v>2</v>
      </c>
      <c r="B13" s="23" t="s">
        <v>1515</v>
      </c>
      <c r="C13" s="23">
        <v>1026</v>
      </c>
      <c r="D13" s="23">
        <v>532</v>
      </c>
      <c r="E13" s="23">
        <v>494</v>
      </c>
    </row>
    <row r="14" spans="1:5" ht="24.95" customHeight="1" x14ac:dyDescent="0.4">
      <c r="A14" s="11">
        <v>3</v>
      </c>
      <c r="B14" s="23" t="s">
        <v>1516</v>
      </c>
      <c r="C14" s="23">
        <v>1715</v>
      </c>
      <c r="D14" s="23">
        <v>867</v>
      </c>
      <c r="E14" s="23">
        <v>848</v>
      </c>
    </row>
    <row r="15" spans="1:5" ht="24.95" customHeight="1" x14ac:dyDescent="0.4">
      <c r="A15" s="17">
        <v>4</v>
      </c>
      <c r="B15" s="46" t="s">
        <v>1517</v>
      </c>
      <c r="C15" s="46">
        <v>1200</v>
      </c>
      <c r="D15" s="46">
        <v>624</v>
      </c>
      <c r="E15" s="46">
        <v>576</v>
      </c>
    </row>
    <row r="16" spans="1:5" ht="26.25" customHeight="1" x14ac:dyDescent="0.4">
      <c r="A16" s="18"/>
      <c r="B16" s="33"/>
      <c r="C16" s="33"/>
      <c r="D16" s="33"/>
      <c r="E16" s="33"/>
    </row>
    <row r="17" spans="1:5" ht="26.25" customHeight="1" x14ac:dyDescent="0.4">
      <c r="A17" s="20"/>
      <c r="B17" s="32"/>
      <c r="C17" s="32"/>
      <c r="D17" s="32"/>
      <c r="E17" s="32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Hkamti  District , Htanparkway Sub-Township"/>
  </hyperlinks>
  <pageMargins left="0.75" right="0.5" top="0.5" bottom="0.25" header="0.3" footer="0.3"/>
  <pageSetup paperSize="9" orientation="portrait" horizontalDpi="1200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sqref="A1:E1"/>
    </sheetView>
  </sheetViews>
  <sheetFormatPr defaultRowHeight="27" customHeight="1" x14ac:dyDescent="0.4"/>
  <cols>
    <col min="1" max="1" width="7.28515625" style="2" customWidth="1"/>
    <col min="2" max="2" width="26.5703125" style="2" customWidth="1"/>
    <col min="3" max="5" width="15.7109375" style="2" customWidth="1"/>
    <col min="6" max="16384" width="9.140625" style="2"/>
  </cols>
  <sheetData>
    <row r="1" spans="1:5" ht="27" customHeight="1" x14ac:dyDescent="0.4">
      <c r="A1" s="67" t="s">
        <v>1765</v>
      </c>
      <c r="B1" s="67"/>
      <c r="C1" s="67"/>
      <c r="D1" s="67"/>
      <c r="E1" s="67"/>
    </row>
    <row r="2" spans="1:5" ht="27" customHeight="1" x14ac:dyDescent="0.4">
      <c r="B2" s="7"/>
      <c r="C2" s="7"/>
      <c r="D2" s="7"/>
      <c r="E2" s="56" t="s">
        <v>1722</v>
      </c>
    </row>
    <row r="3" spans="1:5" ht="27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7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7" customHeight="1" x14ac:dyDescent="0.4">
      <c r="A6" s="65"/>
      <c r="B6" s="65"/>
      <c r="C6" s="40" t="s">
        <v>0</v>
      </c>
      <c r="D6" s="40" t="s">
        <v>1</v>
      </c>
      <c r="E6" s="40" t="s">
        <v>2</v>
      </c>
    </row>
    <row r="7" spans="1:5" ht="27" customHeight="1" x14ac:dyDescent="0.4">
      <c r="A7" s="9"/>
      <c r="B7" s="9" t="s">
        <v>1772</v>
      </c>
      <c r="C7" s="9">
        <f>C9+C13</f>
        <v>15697</v>
      </c>
      <c r="D7" s="9">
        <f t="shared" ref="D7:E7" si="0">D9+D13</f>
        <v>8072</v>
      </c>
      <c r="E7" s="9">
        <f t="shared" si="0"/>
        <v>7625</v>
      </c>
    </row>
    <row r="8" spans="1:5" ht="10.5" customHeight="1" x14ac:dyDescent="0.4">
      <c r="A8" s="10"/>
      <c r="B8" s="42"/>
      <c r="C8" s="42"/>
      <c r="D8" s="42"/>
      <c r="E8" s="42"/>
    </row>
    <row r="9" spans="1:5" ht="21.75" x14ac:dyDescent="0.4">
      <c r="A9" s="10"/>
      <c r="B9" s="10" t="s">
        <v>1725</v>
      </c>
      <c r="C9" s="10">
        <f>SUM(C10:C12)</f>
        <v>2178</v>
      </c>
      <c r="D9" s="10">
        <f t="shared" ref="D9:E9" si="1">SUM(D10:D12)</f>
        <v>1094</v>
      </c>
      <c r="E9" s="10">
        <f t="shared" si="1"/>
        <v>1084</v>
      </c>
    </row>
    <row r="10" spans="1:5" ht="24.95" customHeight="1" x14ac:dyDescent="0.4">
      <c r="A10" s="11">
        <v>1</v>
      </c>
      <c r="B10" s="11" t="s">
        <v>1518</v>
      </c>
      <c r="C10" s="11">
        <v>1347</v>
      </c>
      <c r="D10" s="11">
        <v>682</v>
      </c>
      <c r="E10" s="11">
        <v>665</v>
      </c>
    </row>
    <row r="11" spans="1:5" ht="24.95" customHeight="1" x14ac:dyDescent="0.4">
      <c r="A11" s="11">
        <v>2</v>
      </c>
      <c r="B11" s="11" t="s">
        <v>689</v>
      </c>
      <c r="C11" s="11">
        <v>185</v>
      </c>
      <c r="D11" s="11">
        <v>95</v>
      </c>
      <c r="E11" s="11">
        <v>90</v>
      </c>
    </row>
    <row r="12" spans="1:5" ht="24.95" customHeight="1" x14ac:dyDescent="0.4">
      <c r="A12" s="11">
        <v>3</v>
      </c>
      <c r="B12" s="11" t="s">
        <v>1519</v>
      </c>
      <c r="C12" s="11">
        <v>646</v>
      </c>
      <c r="D12" s="11">
        <v>317</v>
      </c>
      <c r="E12" s="11">
        <v>329</v>
      </c>
    </row>
    <row r="13" spans="1:5" ht="24.95" customHeight="1" x14ac:dyDescent="0.4">
      <c r="A13" s="11"/>
      <c r="B13" s="10" t="s">
        <v>1773</v>
      </c>
      <c r="C13" s="10">
        <f>SUM(C14:C22)</f>
        <v>13519</v>
      </c>
      <c r="D13" s="10">
        <f t="shared" ref="D13:E13" si="2">SUM(D14:D22)</f>
        <v>6978</v>
      </c>
      <c r="E13" s="10">
        <f t="shared" si="2"/>
        <v>6541</v>
      </c>
    </row>
    <row r="14" spans="1:5" ht="24.95" customHeight="1" x14ac:dyDescent="0.4">
      <c r="A14" s="11">
        <v>1</v>
      </c>
      <c r="B14" s="11" t="s">
        <v>1520</v>
      </c>
      <c r="C14" s="11">
        <v>239</v>
      </c>
      <c r="D14" s="11">
        <v>123</v>
      </c>
      <c r="E14" s="11">
        <v>116</v>
      </c>
    </row>
    <row r="15" spans="1:5" ht="24.95" customHeight="1" x14ac:dyDescent="0.4">
      <c r="A15" s="11">
        <v>2</v>
      </c>
      <c r="B15" s="11" t="s">
        <v>1521</v>
      </c>
      <c r="C15" s="11">
        <v>1959</v>
      </c>
      <c r="D15" s="11">
        <v>1030</v>
      </c>
      <c r="E15" s="11">
        <v>929</v>
      </c>
    </row>
    <row r="16" spans="1:5" ht="24.95" customHeight="1" x14ac:dyDescent="0.4">
      <c r="A16" s="11">
        <v>3</v>
      </c>
      <c r="B16" s="11" t="s">
        <v>1522</v>
      </c>
      <c r="C16" s="11">
        <v>958</v>
      </c>
      <c r="D16" s="11">
        <v>491</v>
      </c>
      <c r="E16" s="11">
        <v>467</v>
      </c>
    </row>
    <row r="17" spans="1:5" ht="24.95" customHeight="1" x14ac:dyDescent="0.4">
      <c r="A17" s="11">
        <v>4</v>
      </c>
      <c r="B17" s="11" t="s">
        <v>1523</v>
      </c>
      <c r="C17" s="11">
        <v>332</v>
      </c>
      <c r="D17" s="11">
        <v>176</v>
      </c>
      <c r="E17" s="11">
        <v>156</v>
      </c>
    </row>
    <row r="18" spans="1:5" ht="24.95" customHeight="1" x14ac:dyDescent="0.4">
      <c r="A18" s="11">
        <v>5</v>
      </c>
      <c r="B18" s="11" t="s">
        <v>1524</v>
      </c>
      <c r="C18" s="11">
        <v>397</v>
      </c>
      <c r="D18" s="11">
        <v>226</v>
      </c>
      <c r="E18" s="11">
        <v>171</v>
      </c>
    </row>
    <row r="19" spans="1:5" ht="24.95" customHeight="1" x14ac:dyDescent="0.4">
      <c r="A19" s="11">
        <v>6</v>
      </c>
      <c r="B19" s="11" t="s">
        <v>1525</v>
      </c>
      <c r="C19" s="11">
        <v>1434</v>
      </c>
      <c r="D19" s="11">
        <v>722</v>
      </c>
      <c r="E19" s="11">
        <v>712</v>
      </c>
    </row>
    <row r="20" spans="1:5" ht="24.95" customHeight="1" x14ac:dyDescent="0.4">
      <c r="A20" s="11">
        <v>7</v>
      </c>
      <c r="B20" s="11" t="s">
        <v>1526</v>
      </c>
      <c r="C20" s="11">
        <v>2166</v>
      </c>
      <c r="D20" s="11">
        <v>1124</v>
      </c>
      <c r="E20" s="11">
        <v>1042</v>
      </c>
    </row>
    <row r="21" spans="1:5" ht="24.95" customHeight="1" x14ac:dyDescent="0.4">
      <c r="A21" s="11">
        <v>8</v>
      </c>
      <c r="B21" s="11" t="s">
        <v>1527</v>
      </c>
      <c r="C21" s="11">
        <v>1914</v>
      </c>
      <c r="D21" s="11">
        <v>997</v>
      </c>
      <c r="E21" s="11">
        <v>917</v>
      </c>
    </row>
    <row r="22" spans="1:5" ht="24.95" customHeight="1" x14ac:dyDescent="0.4">
      <c r="A22" s="12">
        <v>9</v>
      </c>
      <c r="B22" s="12" t="s">
        <v>1528</v>
      </c>
      <c r="C22" s="12">
        <v>4120</v>
      </c>
      <c r="D22" s="12">
        <v>2089</v>
      </c>
      <c r="E22" s="12">
        <v>2031</v>
      </c>
    </row>
  </sheetData>
  <mergeCells count="5">
    <mergeCell ref="A1:E1"/>
    <mergeCell ref="A5:A6"/>
    <mergeCell ref="B5:B6"/>
    <mergeCell ref="C5:E5"/>
    <mergeCell ref="E2:E3"/>
  </mergeCells>
  <hyperlinks>
    <hyperlink ref="A1:E1" location="'List of Township'!A1" display="Sagaing  Region, Hkamti  District , Pansaung Sub-Township"/>
  </hyperlinks>
  <pageMargins left="0.75" right="0.5" top="0.5" bottom="0.25" header="0.3" footer="0.3"/>
  <pageSetup paperSize="9"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selection sqref="A1:E1"/>
    </sheetView>
  </sheetViews>
  <sheetFormatPr defaultRowHeight="24.75" customHeight="1" x14ac:dyDescent="0.4"/>
  <cols>
    <col min="1" max="1" width="7.7109375" style="2" customWidth="1"/>
    <col min="2" max="2" width="30.7109375" style="2" customWidth="1"/>
    <col min="3" max="5" width="15.7109375" style="2" customWidth="1"/>
    <col min="6" max="16384" width="9.140625" style="2"/>
  </cols>
  <sheetData>
    <row r="1" spans="1:5" ht="24.75" customHeight="1" x14ac:dyDescent="0.4">
      <c r="A1" s="67" t="s">
        <v>1766</v>
      </c>
      <c r="B1" s="67"/>
      <c r="C1" s="67"/>
      <c r="D1" s="67"/>
      <c r="E1" s="67"/>
    </row>
    <row r="2" spans="1:5" ht="24.75" customHeight="1" x14ac:dyDescent="0.4">
      <c r="B2" s="7"/>
      <c r="C2" s="7"/>
      <c r="D2" s="7"/>
      <c r="E2" s="56" t="s">
        <v>1722</v>
      </c>
    </row>
    <row r="3" spans="1:5" ht="24.75" customHeight="1" x14ac:dyDescent="0.4">
      <c r="B3" s="7"/>
      <c r="C3" s="7"/>
      <c r="D3" s="7"/>
      <c r="E3" s="56"/>
    </row>
    <row r="4" spans="1:5" ht="10.5" customHeight="1" x14ac:dyDescent="0.4">
      <c r="B4" s="7"/>
      <c r="C4" s="7"/>
      <c r="D4" s="7"/>
      <c r="E4" s="7"/>
    </row>
    <row r="5" spans="1:5" ht="24.75" customHeight="1" x14ac:dyDescent="0.4">
      <c r="A5" s="65" t="s">
        <v>1723</v>
      </c>
      <c r="B5" s="65" t="s">
        <v>1775</v>
      </c>
      <c r="C5" s="64" t="s">
        <v>1724</v>
      </c>
      <c r="D5" s="64"/>
      <c r="E5" s="64"/>
    </row>
    <row r="6" spans="1:5" ht="24.75" customHeight="1" x14ac:dyDescent="0.4">
      <c r="A6" s="65"/>
      <c r="B6" s="65"/>
      <c r="C6" s="40" t="s">
        <v>0</v>
      </c>
      <c r="D6" s="40" t="s">
        <v>1</v>
      </c>
      <c r="E6" s="40" t="s">
        <v>2</v>
      </c>
    </row>
    <row r="7" spans="1:5" ht="24.75" customHeight="1" x14ac:dyDescent="0.4">
      <c r="A7" s="9"/>
      <c r="B7" s="9" t="s">
        <v>1772</v>
      </c>
      <c r="C7" s="9">
        <f>C9+C13</f>
        <v>25769</v>
      </c>
      <c r="D7" s="9">
        <f t="shared" ref="D7:E7" si="0">D9+D13</f>
        <v>12817</v>
      </c>
      <c r="E7" s="9">
        <f t="shared" si="0"/>
        <v>12952</v>
      </c>
    </row>
    <row r="8" spans="1:5" ht="10.5" customHeight="1" x14ac:dyDescent="0.4">
      <c r="A8" s="10"/>
      <c r="B8" s="42"/>
      <c r="C8" s="42"/>
      <c r="D8" s="42"/>
      <c r="E8" s="42"/>
    </row>
    <row r="9" spans="1:5" ht="21.75" x14ac:dyDescent="0.4">
      <c r="A9" s="10"/>
      <c r="B9" s="10" t="s">
        <v>1725</v>
      </c>
      <c r="C9" s="10">
        <f>SUM(C10:C12)</f>
        <v>1521</v>
      </c>
      <c r="D9" s="10">
        <f t="shared" ref="D9:E9" si="1">SUM(D10:D12)</f>
        <v>929</v>
      </c>
      <c r="E9" s="10">
        <f t="shared" si="1"/>
        <v>592</v>
      </c>
    </row>
    <row r="10" spans="1:5" ht="21.75" x14ac:dyDescent="0.4">
      <c r="A10" s="11">
        <v>1</v>
      </c>
      <c r="B10" s="11" t="s">
        <v>825</v>
      </c>
      <c r="C10" s="11">
        <v>578</v>
      </c>
      <c r="D10" s="11">
        <v>429</v>
      </c>
      <c r="E10" s="11">
        <v>149</v>
      </c>
    </row>
    <row r="11" spans="1:5" ht="21.75" x14ac:dyDescent="0.4">
      <c r="A11" s="11">
        <v>2</v>
      </c>
      <c r="B11" s="11" t="s">
        <v>1529</v>
      </c>
      <c r="C11" s="11">
        <v>332</v>
      </c>
      <c r="D11" s="11">
        <v>181</v>
      </c>
      <c r="E11" s="11">
        <v>151</v>
      </c>
    </row>
    <row r="12" spans="1:5" ht="21.75" x14ac:dyDescent="0.4">
      <c r="A12" s="11">
        <v>3</v>
      </c>
      <c r="B12" s="11" t="s">
        <v>1530</v>
      </c>
      <c r="C12" s="11">
        <v>611</v>
      </c>
      <c r="D12" s="11">
        <v>319</v>
      </c>
      <c r="E12" s="11">
        <v>292</v>
      </c>
    </row>
    <row r="13" spans="1:5" ht="21.75" x14ac:dyDescent="0.4">
      <c r="A13" s="11"/>
      <c r="B13" s="10" t="s">
        <v>1773</v>
      </c>
      <c r="C13" s="10">
        <f>SUM(C14:C45)</f>
        <v>24248</v>
      </c>
      <c r="D13" s="10">
        <f t="shared" ref="D13:E13" si="2">SUM(D14:D45)</f>
        <v>11888</v>
      </c>
      <c r="E13" s="10">
        <f t="shared" si="2"/>
        <v>12360</v>
      </c>
    </row>
    <row r="14" spans="1:5" ht="21.75" x14ac:dyDescent="0.4">
      <c r="A14" s="11">
        <v>1</v>
      </c>
      <c r="B14" s="11" t="s">
        <v>1531</v>
      </c>
      <c r="C14" s="11">
        <v>47</v>
      </c>
      <c r="D14" s="11">
        <v>22</v>
      </c>
      <c r="E14" s="11">
        <v>25</v>
      </c>
    </row>
    <row r="15" spans="1:5" ht="21.75" x14ac:dyDescent="0.4">
      <c r="A15" s="11">
        <v>2</v>
      </c>
      <c r="B15" s="11" t="s">
        <v>1532</v>
      </c>
      <c r="C15" s="11">
        <v>429</v>
      </c>
      <c r="D15" s="11">
        <v>219</v>
      </c>
      <c r="E15" s="11">
        <v>210</v>
      </c>
    </row>
    <row r="16" spans="1:5" ht="21.75" x14ac:dyDescent="0.4">
      <c r="A16" s="11">
        <v>3</v>
      </c>
      <c r="B16" s="11" t="s">
        <v>1533</v>
      </c>
      <c r="C16" s="11">
        <v>203</v>
      </c>
      <c r="D16" s="11">
        <v>99</v>
      </c>
      <c r="E16" s="11">
        <v>104</v>
      </c>
    </row>
    <row r="17" spans="1:5" ht="21.75" x14ac:dyDescent="0.4">
      <c r="A17" s="11">
        <v>4</v>
      </c>
      <c r="B17" s="11" t="s">
        <v>1534</v>
      </c>
      <c r="C17" s="11">
        <v>240</v>
      </c>
      <c r="D17" s="11">
        <v>118</v>
      </c>
      <c r="E17" s="11">
        <v>122</v>
      </c>
    </row>
    <row r="18" spans="1:5" ht="21.75" x14ac:dyDescent="0.4">
      <c r="A18" s="11">
        <v>5</v>
      </c>
      <c r="B18" s="11" t="s">
        <v>1535</v>
      </c>
      <c r="C18" s="11">
        <v>345</v>
      </c>
      <c r="D18" s="11">
        <v>180</v>
      </c>
      <c r="E18" s="11">
        <v>165</v>
      </c>
    </row>
    <row r="19" spans="1:5" ht="21.75" x14ac:dyDescent="0.4">
      <c r="A19" s="11">
        <v>6</v>
      </c>
      <c r="B19" s="11" t="s">
        <v>1536</v>
      </c>
      <c r="C19" s="11">
        <v>946</v>
      </c>
      <c r="D19" s="11">
        <v>470</v>
      </c>
      <c r="E19" s="11">
        <v>476</v>
      </c>
    </row>
    <row r="20" spans="1:5" ht="21.75" x14ac:dyDescent="0.4">
      <c r="A20" s="11">
        <v>7</v>
      </c>
      <c r="B20" s="11" t="s">
        <v>1537</v>
      </c>
      <c r="C20" s="11">
        <v>690</v>
      </c>
      <c r="D20" s="11">
        <v>317</v>
      </c>
      <c r="E20" s="11">
        <v>373</v>
      </c>
    </row>
    <row r="21" spans="1:5" ht="21.75" x14ac:dyDescent="0.4">
      <c r="A21" s="11">
        <v>8</v>
      </c>
      <c r="B21" s="11" t="s">
        <v>1538</v>
      </c>
      <c r="C21" s="11">
        <v>1784</v>
      </c>
      <c r="D21" s="11">
        <v>811</v>
      </c>
      <c r="E21" s="11">
        <v>973</v>
      </c>
    </row>
    <row r="22" spans="1:5" ht="21.75" x14ac:dyDescent="0.4">
      <c r="A22" s="11">
        <v>9</v>
      </c>
      <c r="B22" s="11" t="s">
        <v>1539</v>
      </c>
      <c r="C22" s="11">
        <v>540</v>
      </c>
      <c r="D22" s="11">
        <v>269</v>
      </c>
      <c r="E22" s="11">
        <v>271</v>
      </c>
    </row>
    <row r="23" spans="1:5" ht="21.75" x14ac:dyDescent="0.4">
      <c r="A23" s="11">
        <v>10</v>
      </c>
      <c r="B23" s="11" t="s">
        <v>1540</v>
      </c>
      <c r="C23" s="11">
        <v>327</v>
      </c>
      <c r="D23" s="11">
        <v>151</v>
      </c>
      <c r="E23" s="11">
        <v>176</v>
      </c>
    </row>
    <row r="24" spans="1:5" ht="21.75" x14ac:dyDescent="0.4">
      <c r="A24" s="11">
        <v>11</v>
      </c>
      <c r="B24" s="11" t="s">
        <v>1541</v>
      </c>
      <c r="C24" s="11">
        <v>563</v>
      </c>
      <c r="D24" s="11">
        <v>270</v>
      </c>
      <c r="E24" s="11">
        <v>293</v>
      </c>
    </row>
    <row r="25" spans="1:5" ht="21.75" x14ac:dyDescent="0.4">
      <c r="A25" s="11">
        <v>12</v>
      </c>
      <c r="B25" s="11" t="s">
        <v>1542</v>
      </c>
      <c r="C25" s="11">
        <v>271</v>
      </c>
      <c r="D25" s="11">
        <v>131</v>
      </c>
      <c r="E25" s="11">
        <v>140</v>
      </c>
    </row>
    <row r="26" spans="1:5" ht="21.75" x14ac:dyDescent="0.4">
      <c r="A26" s="11">
        <v>13</v>
      </c>
      <c r="B26" s="11" t="s">
        <v>1543</v>
      </c>
      <c r="C26" s="11">
        <v>203</v>
      </c>
      <c r="D26" s="11">
        <v>104</v>
      </c>
      <c r="E26" s="11">
        <v>99</v>
      </c>
    </row>
    <row r="27" spans="1:5" ht="21.75" x14ac:dyDescent="0.4">
      <c r="A27" s="11">
        <v>14</v>
      </c>
      <c r="B27" s="11" t="s">
        <v>1544</v>
      </c>
      <c r="C27" s="11">
        <v>342</v>
      </c>
      <c r="D27" s="11">
        <v>159</v>
      </c>
      <c r="E27" s="11">
        <v>183</v>
      </c>
    </row>
    <row r="28" spans="1:5" ht="21.75" x14ac:dyDescent="0.4">
      <c r="A28" s="11">
        <v>15</v>
      </c>
      <c r="B28" s="11" t="s">
        <v>1545</v>
      </c>
      <c r="C28" s="11">
        <v>462</v>
      </c>
      <c r="D28" s="11">
        <v>240</v>
      </c>
      <c r="E28" s="11">
        <v>222</v>
      </c>
    </row>
    <row r="29" spans="1:5" ht="21.75" x14ac:dyDescent="0.4">
      <c r="A29" s="11">
        <v>16</v>
      </c>
      <c r="B29" s="11" t="s">
        <v>1546</v>
      </c>
      <c r="C29" s="11">
        <v>951</v>
      </c>
      <c r="D29" s="11">
        <v>449</v>
      </c>
      <c r="E29" s="11">
        <v>502</v>
      </c>
    </row>
    <row r="30" spans="1:5" ht="21.75" x14ac:dyDescent="0.4">
      <c r="A30" s="11">
        <v>17</v>
      </c>
      <c r="B30" s="11" t="s">
        <v>1547</v>
      </c>
      <c r="C30" s="11">
        <v>831</v>
      </c>
      <c r="D30" s="11">
        <v>421</v>
      </c>
      <c r="E30" s="11">
        <v>410</v>
      </c>
    </row>
    <row r="31" spans="1:5" ht="21.75" x14ac:dyDescent="0.4">
      <c r="A31" s="11">
        <v>18</v>
      </c>
      <c r="B31" s="11" t="s">
        <v>1548</v>
      </c>
      <c r="C31" s="11">
        <v>270</v>
      </c>
      <c r="D31" s="11">
        <v>132</v>
      </c>
      <c r="E31" s="11">
        <v>138</v>
      </c>
    </row>
    <row r="32" spans="1:5" ht="21.75" x14ac:dyDescent="0.4">
      <c r="A32" s="11">
        <v>19</v>
      </c>
      <c r="B32" s="11" t="s">
        <v>1549</v>
      </c>
      <c r="C32" s="11">
        <v>1220</v>
      </c>
      <c r="D32" s="11">
        <v>615</v>
      </c>
      <c r="E32" s="11">
        <v>605</v>
      </c>
    </row>
    <row r="33" spans="1:5" ht="21.75" x14ac:dyDescent="0.4">
      <c r="A33" s="11">
        <v>20</v>
      </c>
      <c r="B33" s="11" t="s">
        <v>1550</v>
      </c>
      <c r="C33" s="11">
        <v>1436</v>
      </c>
      <c r="D33" s="11">
        <v>703</v>
      </c>
      <c r="E33" s="11">
        <v>733</v>
      </c>
    </row>
    <row r="34" spans="1:5" ht="21.75" x14ac:dyDescent="0.4">
      <c r="A34" s="11">
        <v>21</v>
      </c>
      <c r="B34" s="11" t="s">
        <v>1551</v>
      </c>
      <c r="C34" s="11">
        <v>652</v>
      </c>
      <c r="D34" s="11">
        <v>320</v>
      </c>
      <c r="E34" s="11">
        <v>332</v>
      </c>
    </row>
    <row r="35" spans="1:5" ht="21.75" x14ac:dyDescent="0.4">
      <c r="A35" s="11">
        <v>22</v>
      </c>
      <c r="B35" s="11" t="s">
        <v>1552</v>
      </c>
      <c r="C35" s="11">
        <v>1655</v>
      </c>
      <c r="D35" s="11">
        <v>807</v>
      </c>
      <c r="E35" s="11">
        <v>848</v>
      </c>
    </row>
    <row r="36" spans="1:5" ht="21.75" x14ac:dyDescent="0.4">
      <c r="A36" s="11">
        <v>23</v>
      </c>
      <c r="B36" s="11" t="s">
        <v>1553</v>
      </c>
      <c r="C36" s="11">
        <v>773</v>
      </c>
      <c r="D36" s="11">
        <v>398</v>
      </c>
      <c r="E36" s="11">
        <v>375</v>
      </c>
    </row>
    <row r="37" spans="1:5" ht="21.75" x14ac:dyDescent="0.4">
      <c r="A37" s="11">
        <v>24</v>
      </c>
      <c r="B37" s="53" t="s">
        <v>1554</v>
      </c>
      <c r="C37" s="11">
        <v>294</v>
      </c>
      <c r="D37" s="11">
        <v>144</v>
      </c>
      <c r="E37" s="11">
        <v>150</v>
      </c>
    </row>
    <row r="38" spans="1:5" ht="21.75" x14ac:dyDescent="0.4">
      <c r="A38" s="11">
        <v>25</v>
      </c>
      <c r="B38" s="11" t="s">
        <v>1555</v>
      </c>
      <c r="C38" s="11">
        <v>813</v>
      </c>
      <c r="D38" s="11">
        <v>430</v>
      </c>
      <c r="E38" s="11">
        <v>383</v>
      </c>
    </row>
    <row r="39" spans="1:5" ht="21.75" x14ac:dyDescent="0.4">
      <c r="A39" s="11">
        <v>26</v>
      </c>
      <c r="B39" s="11" t="s">
        <v>1556</v>
      </c>
      <c r="C39" s="11">
        <v>2177</v>
      </c>
      <c r="D39" s="11">
        <v>1082</v>
      </c>
      <c r="E39" s="11">
        <v>1095</v>
      </c>
    </row>
    <row r="40" spans="1:5" ht="21.75" x14ac:dyDescent="0.4">
      <c r="A40" s="11">
        <v>27</v>
      </c>
      <c r="B40" s="11" t="s">
        <v>1557</v>
      </c>
      <c r="C40" s="11">
        <v>1454</v>
      </c>
      <c r="D40" s="11">
        <v>709</v>
      </c>
      <c r="E40" s="11">
        <v>745</v>
      </c>
    </row>
    <row r="41" spans="1:5" ht="21.75" x14ac:dyDescent="0.4">
      <c r="A41" s="11">
        <v>28</v>
      </c>
      <c r="B41" s="11" t="s">
        <v>1558</v>
      </c>
      <c r="C41" s="11">
        <v>302</v>
      </c>
      <c r="D41" s="11">
        <v>151</v>
      </c>
      <c r="E41" s="11">
        <v>151</v>
      </c>
    </row>
    <row r="42" spans="1:5" ht="21.75" x14ac:dyDescent="0.4">
      <c r="A42" s="11">
        <v>29</v>
      </c>
      <c r="B42" s="11" t="s">
        <v>1559</v>
      </c>
      <c r="C42" s="11">
        <v>193</v>
      </c>
      <c r="D42" s="11">
        <v>87</v>
      </c>
      <c r="E42" s="11">
        <v>106</v>
      </c>
    </row>
    <row r="43" spans="1:5" ht="21.75" x14ac:dyDescent="0.4">
      <c r="A43" s="11">
        <v>30</v>
      </c>
      <c r="B43" s="11" t="s">
        <v>1560</v>
      </c>
      <c r="C43" s="11">
        <v>1273</v>
      </c>
      <c r="D43" s="11">
        <v>623</v>
      </c>
      <c r="E43" s="11">
        <v>650</v>
      </c>
    </row>
    <row r="44" spans="1:5" ht="21.75" x14ac:dyDescent="0.4">
      <c r="A44" s="11">
        <v>31</v>
      </c>
      <c r="B44" s="11" t="s">
        <v>1561</v>
      </c>
      <c r="C44" s="11">
        <v>776</v>
      </c>
      <c r="D44" s="11">
        <v>401</v>
      </c>
      <c r="E44" s="11">
        <v>375</v>
      </c>
    </row>
    <row r="45" spans="1:5" ht="21.75" x14ac:dyDescent="0.4">
      <c r="A45" s="12">
        <v>32</v>
      </c>
      <c r="B45" s="12" t="s">
        <v>1562</v>
      </c>
      <c r="C45" s="12">
        <v>1786</v>
      </c>
      <c r="D45" s="12">
        <v>856</v>
      </c>
      <c r="E45" s="12">
        <v>930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 Hkamti  District , Donhee Sub-Township"/>
  </hyperlinks>
  <pageMargins left="0.75" right="0.5" top="0.5" bottom="0.25" header="0.3" footer="0.3"/>
  <pageSetup paperSize="9" orientation="portrait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56"/>
  <sheetViews>
    <sheetView workbookViewId="0">
      <selection sqref="A1:E1"/>
    </sheetView>
  </sheetViews>
  <sheetFormatPr defaultRowHeight="15" x14ac:dyDescent="0.25"/>
  <cols>
    <col min="1" max="1" width="4.140625" style="3" customWidth="1"/>
    <col min="2" max="2" width="34.5703125" style="3" customWidth="1"/>
    <col min="3" max="5" width="15.7109375" style="3" customWidth="1"/>
    <col min="6" max="16384" width="9.140625" style="3"/>
  </cols>
  <sheetData>
    <row r="1" spans="1:5" ht="25.5" customHeight="1" x14ac:dyDescent="0.25">
      <c r="A1" s="67" t="s">
        <v>1767</v>
      </c>
      <c r="B1" s="67"/>
      <c r="C1" s="67"/>
      <c r="D1" s="67"/>
      <c r="E1" s="67"/>
    </row>
    <row r="2" spans="1:5" ht="25.5" customHeight="1" x14ac:dyDescent="0.4">
      <c r="A2" s="2"/>
      <c r="B2" s="7"/>
      <c r="C2" s="7"/>
      <c r="D2" s="7"/>
      <c r="E2" s="56" t="s">
        <v>1722</v>
      </c>
    </row>
    <row r="3" spans="1:5" ht="25.5" customHeight="1" x14ac:dyDescent="0.4">
      <c r="A3" s="2"/>
      <c r="B3" s="7"/>
      <c r="C3" s="7"/>
      <c r="D3" s="7"/>
      <c r="E3" s="56"/>
    </row>
    <row r="4" spans="1:5" ht="9.75" customHeight="1" x14ac:dyDescent="0.4">
      <c r="A4" s="2"/>
      <c r="B4" s="7"/>
      <c r="C4" s="7"/>
      <c r="D4" s="7"/>
      <c r="E4" s="7"/>
    </row>
    <row r="5" spans="1:5" ht="21.95" customHeight="1" x14ac:dyDescent="0.25">
      <c r="A5" s="65" t="s">
        <v>1723</v>
      </c>
      <c r="B5" s="65" t="s">
        <v>1775</v>
      </c>
      <c r="C5" s="64" t="s">
        <v>1724</v>
      </c>
      <c r="D5" s="64"/>
      <c r="E5" s="64"/>
    </row>
    <row r="6" spans="1:5" ht="21.95" customHeight="1" x14ac:dyDescent="0.25">
      <c r="A6" s="65"/>
      <c r="B6" s="65"/>
      <c r="C6" s="40" t="s">
        <v>0</v>
      </c>
      <c r="D6" s="40" t="s">
        <v>1</v>
      </c>
      <c r="E6" s="40" t="s">
        <v>2</v>
      </c>
    </row>
    <row r="7" spans="1:5" ht="21.95" customHeight="1" x14ac:dyDescent="0.25">
      <c r="A7" s="9"/>
      <c r="B7" s="9" t="s">
        <v>1772</v>
      </c>
      <c r="C7" s="9">
        <f>C9+C14</f>
        <v>141480</v>
      </c>
      <c r="D7" s="9">
        <f t="shared" ref="D7:E7" si="0">D9+D14</f>
        <v>65974</v>
      </c>
      <c r="E7" s="9">
        <f t="shared" si="0"/>
        <v>75506</v>
      </c>
    </row>
    <row r="8" spans="1:5" ht="10.5" customHeight="1" x14ac:dyDescent="0.25">
      <c r="A8" s="10"/>
      <c r="B8" s="23"/>
      <c r="C8" s="23"/>
      <c r="D8" s="23"/>
      <c r="E8" s="23"/>
    </row>
    <row r="9" spans="1:5" ht="21.95" customHeight="1" x14ac:dyDescent="0.25">
      <c r="A9" s="10"/>
      <c r="B9" s="10" t="s">
        <v>1725</v>
      </c>
      <c r="C9" s="24">
        <f>SUM(C10:C13)</f>
        <v>4806</v>
      </c>
      <c r="D9" s="24">
        <f t="shared" ref="D9:E9" si="1">SUM(D10:D13)</f>
        <v>2259</v>
      </c>
      <c r="E9" s="24">
        <f t="shared" si="1"/>
        <v>2547</v>
      </c>
    </row>
    <row r="10" spans="1:5" ht="21.95" customHeight="1" x14ac:dyDescent="0.25">
      <c r="A10" s="11">
        <v>1</v>
      </c>
      <c r="B10" s="11" t="s">
        <v>1563</v>
      </c>
      <c r="C10" s="11">
        <v>1193</v>
      </c>
      <c r="D10" s="11">
        <v>544</v>
      </c>
      <c r="E10" s="11">
        <v>649</v>
      </c>
    </row>
    <row r="11" spans="1:5" ht="21.95" customHeight="1" x14ac:dyDescent="0.25">
      <c r="A11" s="11">
        <v>2</v>
      </c>
      <c r="B11" s="11" t="s">
        <v>1564</v>
      </c>
      <c r="C11" s="11">
        <v>2282</v>
      </c>
      <c r="D11" s="11">
        <v>1089</v>
      </c>
      <c r="E11" s="11">
        <v>1193</v>
      </c>
    </row>
    <row r="12" spans="1:5" ht="21.95" customHeight="1" x14ac:dyDescent="0.25">
      <c r="A12" s="11">
        <v>3</v>
      </c>
      <c r="B12" s="11" t="s">
        <v>1565</v>
      </c>
      <c r="C12" s="11">
        <v>1055</v>
      </c>
      <c r="D12" s="11">
        <v>493</v>
      </c>
      <c r="E12" s="11">
        <v>562</v>
      </c>
    </row>
    <row r="13" spans="1:5" ht="21.95" customHeight="1" x14ac:dyDescent="0.25">
      <c r="A13" s="11">
        <v>4</v>
      </c>
      <c r="B13" s="11" t="s">
        <v>1566</v>
      </c>
      <c r="C13" s="11">
        <v>276</v>
      </c>
      <c r="D13" s="11">
        <v>133</v>
      </c>
      <c r="E13" s="11">
        <v>143</v>
      </c>
    </row>
    <row r="14" spans="1:5" ht="21.95" customHeight="1" x14ac:dyDescent="0.25">
      <c r="A14" s="11"/>
      <c r="B14" s="10" t="s">
        <v>1773</v>
      </c>
      <c r="C14" s="24">
        <f>SUM(C15:C56)</f>
        <v>136674</v>
      </c>
      <c r="D14" s="24">
        <f t="shared" ref="D14:E14" si="2">SUM(D15:D56)</f>
        <v>63715</v>
      </c>
      <c r="E14" s="24">
        <f t="shared" si="2"/>
        <v>72959</v>
      </c>
    </row>
    <row r="15" spans="1:5" ht="21.95" customHeight="1" x14ac:dyDescent="0.25">
      <c r="A15" s="11">
        <v>1</v>
      </c>
      <c r="B15" s="11" t="s">
        <v>1567</v>
      </c>
      <c r="C15" s="11">
        <v>1891</v>
      </c>
      <c r="D15" s="11">
        <v>864</v>
      </c>
      <c r="E15" s="11">
        <v>1027</v>
      </c>
    </row>
    <row r="16" spans="1:5" ht="21.95" customHeight="1" x14ac:dyDescent="0.25">
      <c r="A16" s="11">
        <v>2</v>
      </c>
      <c r="B16" s="11" t="s">
        <v>1568</v>
      </c>
      <c r="C16" s="11">
        <v>2515</v>
      </c>
      <c r="D16" s="11">
        <v>1174</v>
      </c>
      <c r="E16" s="11">
        <v>1341</v>
      </c>
    </row>
    <row r="17" spans="1:5" ht="21.95" customHeight="1" x14ac:dyDescent="0.25">
      <c r="A17" s="11">
        <v>3</v>
      </c>
      <c r="B17" s="11" t="s">
        <v>328</v>
      </c>
      <c r="C17" s="11">
        <v>1966</v>
      </c>
      <c r="D17" s="11">
        <v>992</v>
      </c>
      <c r="E17" s="11">
        <v>974</v>
      </c>
    </row>
    <row r="18" spans="1:5" ht="21.95" customHeight="1" x14ac:dyDescent="0.25">
      <c r="A18" s="11">
        <v>4</v>
      </c>
      <c r="B18" s="11" t="s">
        <v>551</v>
      </c>
      <c r="C18" s="11">
        <v>3280</v>
      </c>
      <c r="D18" s="11">
        <v>1497</v>
      </c>
      <c r="E18" s="11">
        <v>1783</v>
      </c>
    </row>
    <row r="19" spans="1:5" ht="21.95" customHeight="1" x14ac:dyDescent="0.25">
      <c r="A19" s="11">
        <v>5</v>
      </c>
      <c r="B19" s="11" t="s">
        <v>594</v>
      </c>
      <c r="C19" s="11">
        <v>2707</v>
      </c>
      <c r="D19" s="11">
        <v>1201</v>
      </c>
      <c r="E19" s="11">
        <v>1506</v>
      </c>
    </row>
    <row r="20" spans="1:5" ht="21.95" customHeight="1" x14ac:dyDescent="0.25">
      <c r="A20" s="11">
        <v>6</v>
      </c>
      <c r="B20" s="11" t="s">
        <v>1569</v>
      </c>
      <c r="C20" s="11">
        <v>2837</v>
      </c>
      <c r="D20" s="11">
        <v>1321</v>
      </c>
      <c r="E20" s="11">
        <v>1516</v>
      </c>
    </row>
    <row r="21" spans="1:5" ht="21.95" customHeight="1" x14ac:dyDescent="0.25">
      <c r="A21" s="11">
        <v>7</v>
      </c>
      <c r="B21" s="11" t="s">
        <v>1570</v>
      </c>
      <c r="C21" s="11">
        <v>3907</v>
      </c>
      <c r="D21" s="11">
        <v>1815</v>
      </c>
      <c r="E21" s="11">
        <v>2092</v>
      </c>
    </row>
    <row r="22" spans="1:5" ht="21.95" customHeight="1" x14ac:dyDescent="0.25">
      <c r="A22" s="11">
        <v>8</v>
      </c>
      <c r="B22" s="11" t="s">
        <v>1571</v>
      </c>
      <c r="C22" s="11">
        <v>2076</v>
      </c>
      <c r="D22" s="11">
        <v>947</v>
      </c>
      <c r="E22" s="11">
        <v>1129</v>
      </c>
    </row>
    <row r="23" spans="1:5" ht="21.95" customHeight="1" x14ac:dyDescent="0.25">
      <c r="A23" s="11">
        <v>9</v>
      </c>
      <c r="B23" s="11" t="s">
        <v>1572</v>
      </c>
      <c r="C23" s="11">
        <v>6670</v>
      </c>
      <c r="D23" s="11">
        <v>3074</v>
      </c>
      <c r="E23" s="11">
        <v>3596</v>
      </c>
    </row>
    <row r="24" spans="1:5" ht="21.95" customHeight="1" x14ac:dyDescent="0.25">
      <c r="A24" s="11">
        <v>10</v>
      </c>
      <c r="B24" s="11" t="s">
        <v>1573</v>
      </c>
      <c r="C24" s="11">
        <v>10886</v>
      </c>
      <c r="D24" s="11">
        <v>5185</v>
      </c>
      <c r="E24" s="11">
        <v>5701</v>
      </c>
    </row>
    <row r="25" spans="1:5" ht="21.95" customHeight="1" x14ac:dyDescent="0.25">
      <c r="A25" s="11">
        <v>11</v>
      </c>
      <c r="B25" s="11" t="s">
        <v>1574</v>
      </c>
      <c r="C25" s="11">
        <v>2051</v>
      </c>
      <c r="D25" s="11">
        <v>939</v>
      </c>
      <c r="E25" s="11">
        <v>1112</v>
      </c>
    </row>
    <row r="26" spans="1:5" ht="21.95" customHeight="1" x14ac:dyDescent="0.25">
      <c r="A26" s="11">
        <v>12</v>
      </c>
      <c r="B26" s="11" t="s">
        <v>1575</v>
      </c>
      <c r="C26" s="11">
        <v>5293</v>
      </c>
      <c r="D26" s="11">
        <v>2510</v>
      </c>
      <c r="E26" s="11">
        <v>2783</v>
      </c>
    </row>
    <row r="27" spans="1:5" ht="21.95" customHeight="1" x14ac:dyDescent="0.25">
      <c r="A27" s="11">
        <v>13</v>
      </c>
      <c r="B27" s="11" t="s">
        <v>1576</v>
      </c>
      <c r="C27" s="11">
        <v>2496</v>
      </c>
      <c r="D27" s="11">
        <v>1220</v>
      </c>
      <c r="E27" s="11">
        <v>1276</v>
      </c>
    </row>
    <row r="28" spans="1:5" ht="21.95" customHeight="1" x14ac:dyDescent="0.25">
      <c r="A28" s="11">
        <v>14</v>
      </c>
      <c r="B28" s="11" t="s">
        <v>1577</v>
      </c>
      <c r="C28" s="11">
        <v>1704</v>
      </c>
      <c r="D28" s="11">
        <v>798</v>
      </c>
      <c r="E28" s="11">
        <v>906</v>
      </c>
    </row>
    <row r="29" spans="1:5" ht="21.95" customHeight="1" x14ac:dyDescent="0.25">
      <c r="A29" s="11">
        <v>15</v>
      </c>
      <c r="B29" s="11" t="s">
        <v>1578</v>
      </c>
      <c r="C29" s="11">
        <v>4542</v>
      </c>
      <c r="D29" s="11">
        <v>2003</v>
      </c>
      <c r="E29" s="11">
        <v>2539</v>
      </c>
    </row>
    <row r="30" spans="1:5" ht="21.95" customHeight="1" x14ac:dyDescent="0.25">
      <c r="A30" s="11">
        <v>16</v>
      </c>
      <c r="B30" s="11" t="s">
        <v>1579</v>
      </c>
      <c r="C30" s="11">
        <v>1086</v>
      </c>
      <c r="D30" s="11">
        <v>504</v>
      </c>
      <c r="E30" s="11">
        <v>582</v>
      </c>
    </row>
    <row r="31" spans="1:5" ht="21.95" customHeight="1" x14ac:dyDescent="0.25">
      <c r="A31" s="11">
        <v>17</v>
      </c>
      <c r="B31" s="11" t="s">
        <v>1580</v>
      </c>
      <c r="C31" s="11">
        <v>2347</v>
      </c>
      <c r="D31" s="11">
        <v>1134</v>
      </c>
      <c r="E31" s="11">
        <v>1213</v>
      </c>
    </row>
    <row r="32" spans="1:5" ht="21.95" customHeight="1" x14ac:dyDescent="0.25">
      <c r="A32" s="11">
        <v>18</v>
      </c>
      <c r="B32" s="11" t="s">
        <v>1581</v>
      </c>
      <c r="C32" s="11">
        <v>1944</v>
      </c>
      <c r="D32" s="11">
        <v>904</v>
      </c>
      <c r="E32" s="11">
        <v>1040</v>
      </c>
    </row>
    <row r="33" spans="1:5" ht="21.95" customHeight="1" x14ac:dyDescent="0.25">
      <c r="A33" s="11">
        <v>19</v>
      </c>
      <c r="B33" s="11" t="s">
        <v>1582</v>
      </c>
      <c r="C33" s="11">
        <v>3446</v>
      </c>
      <c r="D33" s="11">
        <v>1629</v>
      </c>
      <c r="E33" s="11">
        <v>1817</v>
      </c>
    </row>
    <row r="34" spans="1:5" ht="21.95" customHeight="1" x14ac:dyDescent="0.25">
      <c r="A34" s="11">
        <v>20</v>
      </c>
      <c r="B34" s="11" t="s">
        <v>1583</v>
      </c>
      <c r="C34" s="11">
        <v>2898</v>
      </c>
      <c r="D34" s="11">
        <v>1365</v>
      </c>
      <c r="E34" s="11">
        <v>1533</v>
      </c>
    </row>
    <row r="35" spans="1:5" ht="21.95" customHeight="1" x14ac:dyDescent="0.25">
      <c r="A35" s="11">
        <v>21</v>
      </c>
      <c r="B35" s="11" t="s">
        <v>1584</v>
      </c>
      <c r="C35" s="11">
        <v>3256</v>
      </c>
      <c r="D35" s="11">
        <v>1607</v>
      </c>
      <c r="E35" s="11">
        <v>1649</v>
      </c>
    </row>
    <row r="36" spans="1:5" ht="21.95" customHeight="1" x14ac:dyDescent="0.25">
      <c r="A36" s="11">
        <v>22</v>
      </c>
      <c r="B36" s="11" t="s">
        <v>1585</v>
      </c>
      <c r="C36" s="11">
        <v>1008</v>
      </c>
      <c r="D36" s="11">
        <v>477</v>
      </c>
      <c r="E36" s="11">
        <v>531</v>
      </c>
    </row>
    <row r="37" spans="1:5" ht="21.95" customHeight="1" x14ac:dyDescent="0.25">
      <c r="A37" s="11">
        <v>23</v>
      </c>
      <c r="B37" s="11" t="s">
        <v>296</v>
      </c>
      <c r="C37" s="11">
        <v>904</v>
      </c>
      <c r="D37" s="11">
        <v>414</v>
      </c>
      <c r="E37" s="11">
        <v>490</v>
      </c>
    </row>
    <row r="38" spans="1:5" ht="21.95" customHeight="1" x14ac:dyDescent="0.25">
      <c r="A38" s="11">
        <v>24</v>
      </c>
      <c r="B38" s="11" t="s">
        <v>1586</v>
      </c>
      <c r="C38" s="11">
        <v>2257</v>
      </c>
      <c r="D38" s="11">
        <v>1034</v>
      </c>
      <c r="E38" s="11">
        <v>1223</v>
      </c>
    </row>
    <row r="39" spans="1:5" ht="21.95" customHeight="1" x14ac:dyDescent="0.25">
      <c r="A39" s="11">
        <v>25</v>
      </c>
      <c r="B39" s="11" t="s">
        <v>1587</v>
      </c>
      <c r="C39" s="11">
        <v>2523</v>
      </c>
      <c r="D39" s="11">
        <v>1169</v>
      </c>
      <c r="E39" s="11">
        <v>1354</v>
      </c>
    </row>
    <row r="40" spans="1:5" ht="21.95" customHeight="1" x14ac:dyDescent="0.25">
      <c r="A40" s="11">
        <v>26</v>
      </c>
      <c r="B40" s="11" t="s">
        <v>1588</v>
      </c>
      <c r="C40" s="11">
        <v>3135</v>
      </c>
      <c r="D40" s="11">
        <v>1401</v>
      </c>
      <c r="E40" s="11">
        <v>1734</v>
      </c>
    </row>
    <row r="41" spans="1:5" ht="21.95" customHeight="1" x14ac:dyDescent="0.25">
      <c r="A41" s="11">
        <v>27</v>
      </c>
      <c r="B41" s="11" t="s">
        <v>1589</v>
      </c>
      <c r="C41" s="11">
        <v>4084</v>
      </c>
      <c r="D41" s="11">
        <v>1887</v>
      </c>
      <c r="E41" s="11">
        <v>2197</v>
      </c>
    </row>
    <row r="42" spans="1:5" ht="21.95" customHeight="1" x14ac:dyDescent="0.25">
      <c r="A42" s="11">
        <v>28</v>
      </c>
      <c r="B42" s="11" t="s">
        <v>214</v>
      </c>
      <c r="C42" s="11">
        <v>1759</v>
      </c>
      <c r="D42" s="11">
        <v>796</v>
      </c>
      <c r="E42" s="11">
        <v>963</v>
      </c>
    </row>
    <row r="43" spans="1:5" ht="21.95" customHeight="1" x14ac:dyDescent="0.25">
      <c r="A43" s="11">
        <v>29</v>
      </c>
      <c r="B43" s="11" t="s">
        <v>1590</v>
      </c>
      <c r="C43" s="11">
        <v>4414</v>
      </c>
      <c r="D43" s="11">
        <v>2053</v>
      </c>
      <c r="E43" s="11">
        <v>2361</v>
      </c>
    </row>
    <row r="44" spans="1:5" ht="21.95" customHeight="1" x14ac:dyDescent="0.25">
      <c r="A44" s="11">
        <v>30</v>
      </c>
      <c r="B44" s="11" t="s">
        <v>1591</v>
      </c>
      <c r="C44" s="11">
        <v>2370</v>
      </c>
      <c r="D44" s="11">
        <v>1113</v>
      </c>
      <c r="E44" s="11">
        <v>1257</v>
      </c>
    </row>
    <row r="45" spans="1:5" ht="21.95" customHeight="1" x14ac:dyDescent="0.25">
      <c r="A45" s="11">
        <v>31</v>
      </c>
      <c r="B45" s="11" t="s">
        <v>1592</v>
      </c>
      <c r="C45" s="11">
        <v>4104</v>
      </c>
      <c r="D45" s="11">
        <v>1822</v>
      </c>
      <c r="E45" s="11">
        <v>2282</v>
      </c>
    </row>
    <row r="46" spans="1:5" ht="21.95" customHeight="1" x14ac:dyDescent="0.25">
      <c r="A46" s="11">
        <v>32</v>
      </c>
      <c r="B46" s="11" t="s">
        <v>884</v>
      </c>
      <c r="C46" s="11">
        <v>3310</v>
      </c>
      <c r="D46" s="11">
        <v>1495</v>
      </c>
      <c r="E46" s="11">
        <v>1815</v>
      </c>
    </row>
    <row r="47" spans="1:5" ht="21.95" customHeight="1" x14ac:dyDescent="0.25">
      <c r="A47" s="11">
        <v>33</v>
      </c>
      <c r="B47" s="11" t="s">
        <v>1593</v>
      </c>
      <c r="C47" s="11">
        <v>3583</v>
      </c>
      <c r="D47" s="11">
        <v>1626</v>
      </c>
      <c r="E47" s="11">
        <v>1957</v>
      </c>
    </row>
    <row r="48" spans="1:5" ht="21.95" customHeight="1" x14ac:dyDescent="0.25">
      <c r="A48" s="11">
        <v>34</v>
      </c>
      <c r="B48" s="11" t="s">
        <v>1594</v>
      </c>
      <c r="C48" s="11">
        <v>6043</v>
      </c>
      <c r="D48" s="11">
        <v>2862</v>
      </c>
      <c r="E48" s="11">
        <v>3181</v>
      </c>
    </row>
    <row r="49" spans="1:5" ht="21.95" customHeight="1" x14ac:dyDescent="0.25">
      <c r="A49" s="11">
        <v>35</v>
      </c>
      <c r="B49" s="11" t="s">
        <v>1595</v>
      </c>
      <c r="C49" s="11">
        <v>3019</v>
      </c>
      <c r="D49" s="11">
        <v>1422</v>
      </c>
      <c r="E49" s="11">
        <v>1597</v>
      </c>
    </row>
    <row r="50" spans="1:5" ht="21.95" customHeight="1" x14ac:dyDescent="0.25">
      <c r="A50" s="11">
        <v>36</v>
      </c>
      <c r="B50" s="11" t="s">
        <v>1596</v>
      </c>
      <c r="C50" s="11">
        <v>2786</v>
      </c>
      <c r="D50" s="11">
        <v>1325</v>
      </c>
      <c r="E50" s="11">
        <v>1461</v>
      </c>
    </row>
    <row r="51" spans="1:5" ht="21.95" customHeight="1" x14ac:dyDescent="0.25">
      <c r="A51" s="11">
        <v>37</v>
      </c>
      <c r="B51" s="11" t="s">
        <v>254</v>
      </c>
      <c r="C51" s="11">
        <v>2939</v>
      </c>
      <c r="D51" s="11">
        <v>1379</v>
      </c>
      <c r="E51" s="11">
        <v>1560</v>
      </c>
    </row>
    <row r="52" spans="1:5" ht="21.95" customHeight="1" x14ac:dyDescent="0.25">
      <c r="A52" s="11">
        <v>38</v>
      </c>
      <c r="B52" s="11" t="s">
        <v>939</v>
      </c>
      <c r="C52" s="11">
        <v>5294</v>
      </c>
      <c r="D52" s="11">
        <v>2372</v>
      </c>
      <c r="E52" s="11">
        <v>2922</v>
      </c>
    </row>
    <row r="53" spans="1:5" ht="21.95" customHeight="1" x14ac:dyDescent="0.25">
      <c r="A53" s="11">
        <v>39</v>
      </c>
      <c r="B53" s="11" t="s">
        <v>1597</v>
      </c>
      <c r="C53" s="11">
        <v>2087</v>
      </c>
      <c r="D53" s="11">
        <v>942</v>
      </c>
      <c r="E53" s="11">
        <v>1145</v>
      </c>
    </row>
    <row r="54" spans="1:5" ht="21.95" customHeight="1" x14ac:dyDescent="0.25">
      <c r="A54" s="11">
        <v>40</v>
      </c>
      <c r="B54" s="11" t="s">
        <v>1598</v>
      </c>
      <c r="C54" s="11">
        <v>5398</v>
      </c>
      <c r="D54" s="11">
        <v>2618</v>
      </c>
      <c r="E54" s="11">
        <v>2780</v>
      </c>
    </row>
    <row r="55" spans="1:5" ht="21.95" customHeight="1" x14ac:dyDescent="0.25">
      <c r="A55" s="11">
        <v>41</v>
      </c>
      <c r="B55" s="11" t="s">
        <v>1599</v>
      </c>
      <c r="C55" s="11">
        <v>1086</v>
      </c>
      <c r="D55" s="11">
        <v>519</v>
      </c>
      <c r="E55" s="11">
        <v>567</v>
      </c>
    </row>
    <row r="56" spans="1:5" ht="21.95" customHeight="1" x14ac:dyDescent="0.25">
      <c r="A56" s="12">
        <v>42</v>
      </c>
      <c r="B56" s="12" t="s">
        <v>1600</v>
      </c>
      <c r="C56" s="12">
        <v>4773</v>
      </c>
      <c r="D56" s="12">
        <v>2306</v>
      </c>
      <c r="E56" s="12">
        <v>2467</v>
      </c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Yinmarpin  District , Yinmarpin Township"/>
  </hyperlinks>
  <pageMargins left="0.75" right="0.5" top="0.5" bottom="0.2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selection sqref="A1:E1"/>
    </sheetView>
  </sheetViews>
  <sheetFormatPr defaultRowHeight="15" x14ac:dyDescent="0.25"/>
  <cols>
    <col min="1" max="1" width="9.140625" style="3"/>
    <col min="2" max="2" width="37" style="3" customWidth="1"/>
    <col min="3" max="5" width="15.7109375" style="3" customWidth="1"/>
    <col min="6" max="16384" width="9.140625" style="3"/>
  </cols>
  <sheetData>
    <row r="1" spans="1:5" ht="25.5" customHeight="1" x14ac:dyDescent="0.25">
      <c r="A1" s="67" t="s">
        <v>1768</v>
      </c>
      <c r="B1" s="67"/>
      <c r="C1" s="67"/>
      <c r="D1" s="67"/>
      <c r="E1" s="67"/>
    </row>
    <row r="2" spans="1:5" ht="25.5" customHeight="1" x14ac:dyDescent="0.4">
      <c r="A2" s="2"/>
      <c r="B2" s="7"/>
      <c r="C2" s="7"/>
      <c r="D2" s="7"/>
      <c r="E2" s="56" t="s">
        <v>1722</v>
      </c>
    </row>
    <row r="3" spans="1:5" ht="25.5" customHeight="1" x14ac:dyDescent="0.4">
      <c r="A3" s="2"/>
      <c r="B3" s="7"/>
      <c r="C3" s="7"/>
      <c r="D3" s="7"/>
      <c r="E3" s="56"/>
    </row>
    <row r="4" spans="1:5" ht="9.75" customHeight="1" x14ac:dyDescent="0.4">
      <c r="A4" s="2"/>
      <c r="B4" s="7"/>
      <c r="C4" s="7"/>
      <c r="D4" s="7"/>
      <c r="E4" s="7"/>
    </row>
    <row r="5" spans="1:5" ht="15.75" x14ac:dyDescent="0.25">
      <c r="A5" s="65" t="s">
        <v>1723</v>
      </c>
      <c r="B5" s="65" t="s">
        <v>1775</v>
      </c>
      <c r="C5" s="64" t="s">
        <v>1724</v>
      </c>
      <c r="D5" s="64"/>
      <c r="E5" s="64"/>
    </row>
    <row r="6" spans="1:5" ht="15.75" x14ac:dyDescent="0.25">
      <c r="A6" s="65"/>
      <c r="B6" s="65"/>
      <c r="C6" s="40" t="s">
        <v>0</v>
      </c>
      <c r="D6" s="40" t="s">
        <v>1</v>
      </c>
      <c r="E6" s="40" t="s">
        <v>2</v>
      </c>
    </row>
    <row r="7" spans="1:5" ht="21.95" customHeight="1" x14ac:dyDescent="0.25">
      <c r="A7" s="25"/>
      <c r="B7" s="9" t="s">
        <v>1772</v>
      </c>
      <c r="C7" s="25">
        <f>C9+C13</f>
        <v>121808</v>
      </c>
      <c r="D7" s="25">
        <f t="shared" ref="D7:E7" si="0">D9+D13</f>
        <v>55729</v>
      </c>
      <c r="E7" s="25">
        <f t="shared" si="0"/>
        <v>66079</v>
      </c>
    </row>
    <row r="8" spans="1:5" ht="10.5" customHeight="1" x14ac:dyDescent="0.25">
      <c r="A8" s="10"/>
      <c r="B8" s="23"/>
      <c r="C8" s="23"/>
      <c r="D8" s="23"/>
      <c r="E8" s="23"/>
    </row>
    <row r="9" spans="1:5" ht="21.95" customHeight="1" x14ac:dyDescent="0.25">
      <c r="A9" s="10"/>
      <c r="B9" s="10" t="s">
        <v>1725</v>
      </c>
      <c r="C9" s="24">
        <f>SUM(C10:C12)</f>
        <v>5553</v>
      </c>
      <c r="D9" s="24">
        <f t="shared" ref="D9:E9" si="1">SUM(D10:D12)</f>
        <v>2465</v>
      </c>
      <c r="E9" s="24">
        <f t="shared" si="1"/>
        <v>3088</v>
      </c>
    </row>
    <row r="10" spans="1:5" ht="21.95" customHeight="1" x14ac:dyDescent="0.25">
      <c r="A10" s="11">
        <v>1</v>
      </c>
      <c r="B10" s="11" t="s">
        <v>1601</v>
      </c>
      <c r="C10" s="11">
        <v>1832</v>
      </c>
      <c r="D10" s="11">
        <v>855</v>
      </c>
      <c r="E10" s="11">
        <v>977</v>
      </c>
    </row>
    <row r="11" spans="1:5" ht="21.95" customHeight="1" x14ac:dyDescent="0.25">
      <c r="A11" s="11">
        <v>2</v>
      </c>
      <c r="B11" s="11" t="s">
        <v>1602</v>
      </c>
      <c r="C11" s="11">
        <v>1501</v>
      </c>
      <c r="D11" s="11">
        <v>648</v>
      </c>
      <c r="E11" s="11">
        <v>853</v>
      </c>
    </row>
    <row r="12" spans="1:5" ht="21.95" customHeight="1" x14ac:dyDescent="0.25">
      <c r="A12" s="11">
        <v>3</v>
      </c>
      <c r="B12" s="11" t="s">
        <v>1603</v>
      </c>
      <c r="C12" s="11">
        <v>2220</v>
      </c>
      <c r="D12" s="11">
        <v>962</v>
      </c>
      <c r="E12" s="11">
        <v>1258</v>
      </c>
    </row>
    <row r="13" spans="1:5" ht="21.95" customHeight="1" x14ac:dyDescent="0.25">
      <c r="A13" s="11"/>
      <c r="B13" s="10" t="s">
        <v>1773</v>
      </c>
      <c r="C13" s="24">
        <f>SUM(C14:C52)</f>
        <v>116255</v>
      </c>
      <c r="D13" s="24">
        <f t="shared" ref="D13:E13" si="2">SUM(D14:D52)</f>
        <v>53264</v>
      </c>
      <c r="E13" s="24">
        <f t="shared" si="2"/>
        <v>62991</v>
      </c>
    </row>
    <row r="14" spans="1:5" ht="21.95" customHeight="1" x14ac:dyDescent="0.25">
      <c r="A14" s="11">
        <v>1</v>
      </c>
      <c r="B14" s="11" t="s">
        <v>1604</v>
      </c>
      <c r="C14" s="11">
        <v>1785</v>
      </c>
      <c r="D14" s="11">
        <v>868</v>
      </c>
      <c r="E14" s="11">
        <v>917</v>
      </c>
    </row>
    <row r="15" spans="1:5" ht="21.95" customHeight="1" x14ac:dyDescent="0.25">
      <c r="A15" s="11">
        <v>2</v>
      </c>
      <c r="B15" s="11" t="s">
        <v>1605</v>
      </c>
      <c r="C15" s="11">
        <v>3549</v>
      </c>
      <c r="D15" s="11">
        <v>1454</v>
      </c>
      <c r="E15" s="11">
        <v>2095</v>
      </c>
    </row>
    <row r="16" spans="1:5" ht="21.95" customHeight="1" x14ac:dyDescent="0.25">
      <c r="A16" s="11">
        <v>3</v>
      </c>
      <c r="B16" s="11" t="s">
        <v>1606</v>
      </c>
      <c r="C16" s="11">
        <v>1554</v>
      </c>
      <c r="D16" s="11">
        <v>611</v>
      </c>
      <c r="E16" s="11">
        <v>943</v>
      </c>
    </row>
    <row r="17" spans="1:5" ht="21.95" customHeight="1" x14ac:dyDescent="0.25">
      <c r="A17" s="11">
        <v>4</v>
      </c>
      <c r="B17" s="11" t="s">
        <v>1607</v>
      </c>
      <c r="C17" s="11">
        <v>4371</v>
      </c>
      <c r="D17" s="11">
        <v>1945</v>
      </c>
      <c r="E17" s="11">
        <v>2426</v>
      </c>
    </row>
    <row r="18" spans="1:5" ht="21.95" customHeight="1" x14ac:dyDescent="0.25">
      <c r="A18" s="11">
        <v>5</v>
      </c>
      <c r="B18" s="11" t="s">
        <v>1253</v>
      </c>
      <c r="C18" s="11">
        <v>2792</v>
      </c>
      <c r="D18" s="11">
        <v>1275</v>
      </c>
      <c r="E18" s="11">
        <v>1517</v>
      </c>
    </row>
    <row r="19" spans="1:5" ht="21.95" customHeight="1" x14ac:dyDescent="0.25">
      <c r="A19" s="11">
        <v>6</v>
      </c>
      <c r="B19" s="11" t="s">
        <v>1608</v>
      </c>
      <c r="C19" s="11">
        <v>3997</v>
      </c>
      <c r="D19" s="11">
        <v>1784</v>
      </c>
      <c r="E19" s="11">
        <v>2213</v>
      </c>
    </row>
    <row r="20" spans="1:5" ht="21.95" customHeight="1" x14ac:dyDescent="0.25">
      <c r="A20" s="11">
        <v>7</v>
      </c>
      <c r="B20" s="11" t="s">
        <v>566</v>
      </c>
      <c r="C20" s="11">
        <v>8464</v>
      </c>
      <c r="D20" s="11">
        <v>3882</v>
      </c>
      <c r="E20" s="11">
        <v>4582</v>
      </c>
    </row>
    <row r="21" spans="1:5" ht="21.95" customHeight="1" x14ac:dyDescent="0.25">
      <c r="A21" s="11">
        <v>8</v>
      </c>
      <c r="B21" s="11" t="s">
        <v>425</v>
      </c>
      <c r="C21" s="11">
        <v>6748</v>
      </c>
      <c r="D21" s="11">
        <v>3203</v>
      </c>
      <c r="E21" s="11">
        <v>3545</v>
      </c>
    </row>
    <row r="22" spans="1:5" ht="21.95" customHeight="1" x14ac:dyDescent="0.25">
      <c r="A22" s="11">
        <v>9</v>
      </c>
      <c r="B22" s="11" t="s">
        <v>1609</v>
      </c>
      <c r="C22" s="11">
        <v>5554</v>
      </c>
      <c r="D22" s="11">
        <v>2608</v>
      </c>
      <c r="E22" s="11">
        <v>2946</v>
      </c>
    </row>
    <row r="23" spans="1:5" ht="21.95" customHeight="1" x14ac:dyDescent="0.25">
      <c r="A23" s="11">
        <v>10</v>
      </c>
      <c r="B23" s="11" t="s">
        <v>1610</v>
      </c>
      <c r="C23" s="11">
        <v>6467</v>
      </c>
      <c r="D23" s="11">
        <v>3230</v>
      </c>
      <c r="E23" s="11">
        <v>3237</v>
      </c>
    </row>
    <row r="24" spans="1:5" ht="21.95" customHeight="1" x14ac:dyDescent="0.25">
      <c r="A24" s="11">
        <v>11</v>
      </c>
      <c r="B24" s="11" t="s">
        <v>1611</v>
      </c>
      <c r="C24" s="11">
        <v>1361</v>
      </c>
      <c r="D24" s="11">
        <v>650</v>
      </c>
      <c r="E24" s="11">
        <v>711</v>
      </c>
    </row>
    <row r="25" spans="1:5" ht="21.95" customHeight="1" x14ac:dyDescent="0.25">
      <c r="A25" s="11">
        <v>12</v>
      </c>
      <c r="B25" s="11" t="s">
        <v>1612</v>
      </c>
      <c r="C25" s="11">
        <v>7136</v>
      </c>
      <c r="D25" s="11">
        <v>3508</v>
      </c>
      <c r="E25" s="11">
        <v>3628</v>
      </c>
    </row>
    <row r="26" spans="1:5" ht="21.95" customHeight="1" x14ac:dyDescent="0.25">
      <c r="A26" s="11">
        <v>13</v>
      </c>
      <c r="B26" s="11" t="s">
        <v>1613</v>
      </c>
      <c r="C26" s="11">
        <v>7007</v>
      </c>
      <c r="D26" s="11">
        <v>3583</v>
      </c>
      <c r="E26" s="11">
        <v>3424</v>
      </c>
    </row>
    <row r="27" spans="1:5" ht="21.95" customHeight="1" x14ac:dyDescent="0.25">
      <c r="A27" s="11">
        <v>14</v>
      </c>
      <c r="B27" s="11" t="s">
        <v>1614</v>
      </c>
      <c r="C27" s="11">
        <v>1428</v>
      </c>
      <c r="D27" s="11">
        <v>660</v>
      </c>
      <c r="E27" s="11">
        <v>768</v>
      </c>
    </row>
    <row r="28" spans="1:5" ht="21.95" customHeight="1" x14ac:dyDescent="0.25">
      <c r="A28" s="11">
        <v>15</v>
      </c>
      <c r="B28" s="11" t="s">
        <v>1615</v>
      </c>
      <c r="C28" s="11">
        <v>1065</v>
      </c>
      <c r="D28" s="11">
        <v>494</v>
      </c>
      <c r="E28" s="11">
        <v>571</v>
      </c>
    </row>
    <row r="29" spans="1:5" ht="21.95" customHeight="1" x14ac:dyDescent="0.25">
      <c r="A29" s="11">
        <v>16</v>
      </c>
      <c r="B29" s="11" t="s">
        <v>1616</v>
      </c>
      <c r="C29" s="11">
        <v>2130</v>
      </c>
      <c r="D29" s="11">
        <v>988</v>
      </c>
      <c r="E29" s="11">
        <v>1142</v>
      </c>
    </row>
    <row r="30" spans="1:5" ht="21.95" customHeight="1" x14ac:dyDescent="0.25">
      <c r="A30" s="11">
        <v>17</v>
      </c>
      <c r="B30" s="11" t="s">
        <v>1617</v>
      </c>
      <c r="C30" s="11">
        <v>2540</v>
      </c>
      <c r="D30" s="11">
        <v>1153</v>
      </c>
      <c r="E30" s="11">
        <v>1387</v>
      </c>
    </row>
    <row r="31" spans="1:5" ht="21.95" customHeight="1" x14ac:dyDescent="0.25">
      <c r="A31" s="11">
        <v>18</v>
      </c>
      <c r="B31" s="11" t="s">
        <v>1618</v>
      </c>
      <c r="C31" s="11">
        <v>2473</v>
      </c>
      <c r="D31" s="11">
        <v>1078</v>
      </c>
      <c r="E31" s="11">
        <v>1395</v>
      </c>
    </row>
    <row r="32" spans="1:5" ht="21.95" customHeight="1" x14ac:dyDescent="0.25">
      <c r="A32" s="11">
        <v>19</v>
      </c>
      <c r="B32" s="11" t="s">
        <v>1619</v>
      </c>
      <c r="C32" s="11">
        <v>1702</v>
      </c>
      <c r="D32" s="11">
        <v>777</v>
      </c>
      <c r="E32" s="11">
        <v>925</v>
      </c>
    </row>
    <row r="33" spans="1:5" ht="21.95" customHeight="1" x14ac:dyDescent="0.25">
      <c r="A33" s="11">
        <v>20</v>
      </c>
      <c r="B33" s="11" t="s">
        <v>1620</v>
      </c>
      <c r="C33" s="11">
        <v>2985</v>
      </c>
      <c r="D33" s="11">
        <v>1319</v>
      </c>
      <c r="E33" s="11">
        <v>1666</v>
      </c>
    </row>
    <row r="34" spans="1:5" ht="21.95" customHeight="1" x14ac:dyDescent="0.25">
      <c r="A34" s="11">
        <v>21</v>
      </c>
      <c r="B34" s="11" t="s">
        <v>1621</v>
      </c>
      <c r="C34" s="11">
        <v>1308</v>
      </c>
      <c r="D34" s="11">
        <v>609</v>
      </c>
      <c r="E34" s="11">
        <v>699</v>
      </c>
    </row>
    <row r="35" spans="1:5" ht="21.95" customHeight="1" x14ac:dyDescent="0.25">
      <c r="A35" s="11">
        <v>22</v>
      </c>
      <c r="B35" s="11" t="s">
        <v>1622</v>
      </c>
      <c r="C35" s="11">
        <v>2140</v>
      </c>
      <c r="D35" s="11">
        <v>972</v>
      </c>
      <c r="E35" s="11">
        <v>1168</v>
      </c>
    </row>
    <row r="36" spans="1:5" ht="21.95" customHeight="1" x14ac:dyDescent="0.25">
      <c r="A36" s="11">
        <v>23</v>
      </c>
      <c r="B36" s="11" t="s">
        <v>1623</v>
      </c>
      <c r="C36" s="11">
        <v>3757</v>
      </c>
      <c r="D36" s="11">
        <v>1608</v>
      </c>
      <c r="E36" s="11">
        <v>2149</v>
      </c>
    </row>
    <row r="37" spans="1:5" ht="21.95" customHeight="1" x14ac:dyDescent="0.25">
      <c r="A37" s="11">
        <v>24</v>
      </c>
      <c r="B37" s="11" t="s">
        <v>1624</v>
      </c>
      <c r="C37" s="11">
        <v>1423</v>
      </c>
      <c r="D37" s="11">
        <v>591</v>
      </c>
      <c r="E37" s="11">
        <v>832</v>
      </c>
    </row>
    <row r="38" spans="1:5" ht="21.95" customHeight="1" x14ac:dyDescent="0.25">
      <c r="A38" s="11">
        <v>25</v>
      </c>
      <c r="B38" s="11" t="s">
        <v>1625</v>
      </c>
      <c r="C38" s="11">
        <v>1257</v>
      </c>
      <c r="D38" s="11">
        <v>547</v>
      </c>
      <c r="E38" s="11">
        <v>710</v>
      </c>
    </row>
    <row r="39" spans="1:5" ht="21.95" customHeight="1" x14ac:dyDescent="0.25">
      <c r="A39" s="11">
        <v>26</v>
      </c>
      <c r="B39" s="11" t="s">
        <v>1626</v>
      </c>
      <c r="C39" s="11">
        <v>1741</v>
      </c>
      <c r="D39" s="11">
        <v>770</v>
      </c>
      <c r="E39" s="11">
        <v>971</v>
      </c>
    </row>
    <row r="40" spans="1:5" ht="21.95" customHeight="1" x14ac:dyDescent="0.25">
      <c r="A40" s="11">
        <v>27</v>
      </c>
      <c r="B40" s="11" t="s">
        <v>1627</v>
      </c>
      <c r="C40" s="11">
        <v>1713</v>
      </c>
      <c r="D40" s="11">
        <v>759</v>
      </c>
      <c r="E40" s="11">
        <v>954</v>
      </c>
    </row>
    <row r="41" spans="1:5" ht="21.95" customHeight="1" x14ac:dyDescent="0.25">
      <c r="A41" s="11">
        <v>28</v>
      </c>
      <c r="B41" s="11" t="s">
        <v>1628</v>
      </c>
      <c r="C41" s="11">
        <v>3138</v>
      </c>
      <c r="D41" s="11">
        <v>1386</v>
      </c>
      <c r="E41" s="11">
        <v>1752</v>
      </c>
    </row>
    <row r="42" spans="1:5" ht="21.95" customHeight="1" x14ac:dyDescent="0.25">
      <c r="A42" s="11">
        <v>29</v>
      </c>
      <c r="B42" s="11" t="s">
        <v>1629</v>
      </c>
      <c r="C42" s="11">
        <v>2077</v>
      </c>
      <c r="D42" s="11">
        <v>866</v>
      </c>
      <c r="E42" s="11">
        <v>1211</v>
      </c>
    </row>
    <row r="43" spans="1:5" ht="21.95" customHeight="1" x14ac:dyDescent="0.25">
      <c r="A43" s="11">
        <v>30</v>
      </c>
      <c r="B43" s="11" t="s">
        <v>1630</v>
      </c>
      <c r="C43" s="11">
        <v>1712</v>
      </c>
      <c r="D43" s="11">
        <v>757</v>
      </c>
      <c r="E43" s="11">
        <v>955</v>
      </c>
    </row>
    <row r="44" spans="1:5" ht="21.95" customHeight="1" x14ac:dyDescent="0.25">
      <c r="A44" s="11">
        <v>31</v>
      </c>
      <c r="B44" s="11" t="s">
        <v>619</v>
      </c>
      <c r="C44" s="11">
        <v>465</v>
      </c>
      <c r="D44" s="11">
        <v>205</v>
      </c>
      <c r="E44" s="11">
        <v>260</v>
      </c>
    </row>
    <row r="45" spans="1:5" ht="21.95" customHeight="1" x14ac:dyDescent="0.25">
      <c r="A45" s="11">
        <v>32</v>
      </c>
      <c r="B45" s="11" t="s">
        <v>1631</v>
      </c>
      <c r="C45" s="11">
        <v>3256</v>
      </c>
      <c r="D45" s="11">
        <v>1441</v>
      </c>
      <c r="E45" s="11">
        <v>1815</v>
      </c>
    </row>
    <row r="46" spans="1:5" ht="21.95" customHeight="1" x14ac:dyDescent="0.25">
      <c r="A46" s="11">
        <v>33</v>
      </c>
      <c r="B46" s="11" t="s">
        <v>1632</v>
      </c>
      <c r="C46" s="11">
        <v>1749</v>
      </c>
      <c r="D46" s="11">
        <v>821</v>
      </c>
      <c r="E46" s="11">
        <v>928</v>
      </c>
    </row>
    <row r="47" spans="1:5" ht="21.95" customHeight="1" x14ac:dyDescent="0.25">
      <c r="A47" s="11">
        <v>34</v>
      </c>
      <c r="B47" s="11" t="s">
        <v>1633</v>
      </c>
      <c r="C47" s="11">
        <v>1458</v>
      </c>
      <c r="D47" s="11">
        <v>639</v>
      </c>
      <c r="E47" s="11">
        <v>819</v>
      </c>
    </row>
    <row r="48" spans="1:5" ht="21.95" customHeight="1" x14ac:dyDescent="0.25">
      <c r="A48" s="11">
        <v>35</v>
      </c>
      <c r="B48" s="11" t="s">
        <v>1634</v>
      </c>
      <c r="C48" s="11">
        <v>2146</v>
      </c>
      <c r="D48" s="11">
        <v>943</v>
      </c>
      <c r="E48" s="11">
        <v>1203</v>
      </c>
    </row>
    <row r="49" spans="1:5" ht="21.95" customHeight="1" x14ac:dyDescent="0.25">
      <c r="A49" s="11">
        <v>36</v>
      </c>
      <c r="B49" s="11" t="s">
        <v>1635</v>
      </c>
      <c r="C49" s="11">
        <v>3316</v>
      </c>
      <c r="D49" s="11">
        <v>1464</v>
      </c>
      <c r="E49" s="11">
        <v>1852</v>
      </c>
    </row>
    <row r="50" spans="1:5" ht="21.95" customHeight="1" x14ac:dyDescent="0.25">
      <c r="A50" s="11">
        <v>37</v>
      </c>
      <c r="B50" s="11" t="s">
        <v>1636</v>
      </c>
      <c r="C50" s="11">
        <v>2318</v>
      </c>
      <c r="D50" s="11">
        <v>1053</v>
      </c>
      <c r="E50" s="11">
        <v>1265</v>
      </c>
    </row>
    <row r="51" spans="1:5" ht="21.95" customHeight="1" x14ac:dyDescent="0.25">
      <c r="A51" s="11">
        <v>38</v>
      </c>
      <c r="B51" s="11" t="s">
        <v>1637</v>
      </c>
      <c r="C51" s="11">
        <v>3510</v>
      </c>
      <c r="D51" s="11">
        <v>1633</v>
      </c>
      <c r="E51" s="11">
        <v>1877</v>
      </c>
    </row>
    <row r="52" spans="1:5" ht="21.95" customHeight="1" x14ac:dyDescent="0.25">
      <c r="A52" s="12">
        <v>39</v>
      </c>
      <c r="B52" s="12" t="s">
        <v>1638</v>
      </c>
      <c r="C52" s="12">
        <v>2663</v>
      </c>
      <c r="D52" s="12">
        <v>1130</v>
      </c>
      <c r="E52" s="12">
        <v>1533</v>
      </c>
    </row>
    <row r="53" spans="1:5" ht="15.75" x14ac:dyDescent="0.25">
      <c r="A53" s="18"/>
      <c r="B53" s="18"/>
      <c r="C53" s="18"/>
      <c r="D53" s="18"/>
      <c r="E53" s="18"/>
    </row>
    <row r="54" spans="1:5" ht="15.75" x14ac:dyDescent="0.25">
      <c r="A54" s="20"/>
      <c r="B54" s="20"/>
      <c r="C54" s="20"/>
      <c r="D54" s="20"/>
      <c r="E54" s="20"/>
    </row>
    <row r="55" spans="1:5" ht="15.75" x14ac:dyDescent="0.25">
      <c r="A55" s="20"/>
      <c r="B55" s="20"/>
      <c r="C55" s="20"/>
      <c r="D55" s="20"/>
      <c r="E55" s="20"/>
    </row>
    <row r="56" spans="1:5" ht="15.75" x14ac:dyDescent="0.25">
      <c r="A56" s="20"/>
      <c r="B56" s="20"/>
      <c r="C56" s="20"/>
      <c r="D56" s="20"/>
      <c r="E56" s="20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Yinmarpin  District , Salingyi  Township"/>
  </hyperlinks>
  <pageMargins left="0.75" right="0.5" top="0.5" bottom="0.2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workbookViewId="0">
      <selection sqref="A1:E1"/>
    </sheetView>
  </sheetViews>
  <sheetFormatPr defaultRowHeight="15" x14ac:dyDescent="0.25"/>
  <cols>
    <col min="1" max="1" width="5.5703125" style="3" customWidth="1"/>
    <col min="2" max="2" width="39.7109375" style="3" customWidth="1"/>
    <col min="3" max="5" width="15.7109375" style="3" customWidth="1"/>
    <col min="6" max="7" width="9.140625" style="3"/>
    <col min="8" max="8" width="20" style="6" customWidth="1"/>
    <col min="9" max="9" width="9.140625" style="6"/>
    <col min="10" max="10" width="10.85546875" style="6" customWidth="1"/>
    <col min="11" max="11" width="11.7109375" style="6" customWidth="1"/>
    <col min="12" max="15" width="9.140625" style="6"/>
    <col min="16" max="16384" width="9.140625" style="3"/>
  </cols>
  <sheetData>
    <row r="1" spans="1:11" ht="25.5" customHeight="1" x14ac:dyDescent="0.25">
      <c r="A1" s="67" t="s">
        <v>1769</v>
      </c>
      <c r="B1" s="67"/>
      <c r="C1" s="67"/>
      <c r="D1" s="67"/>
      <c r="E1" s="67"/>
    </row>
    <row r="2" spans="1:11" ht="25.5" customHeight="1" x14ac:dyDescent="0.4">
      <c r="A2" s="2"/>
      <c r="B2" s="7"/>
      <c r="C2" s="7"/>
      <c r="D2" s="7"/>
      <c r="E2" s="56" t="s">
        <v>1722</v>
      </c>
    </row>
    <row r="3" spans="1:11" ht="25.5" customHeight="1" x14ac:dyDescent="0.4">
      <c r="A3" s="2"/>
      <c r="B3" s="7"/>
      <c r="C3" s="7"/>
      <c r="D3" s="7"/>
      <c r="E3" s="56"/>
    </row>
    <row r="4" spans="1:11" ht="9.75" customHeight="1" x14ac:dyDescent="0.4">
      <c r="A4" s="2"/>
      <c r="B4" s="7"/>
      <c r="C4" s="7"/>
      <c r="D4" s="7"/>
      <c r="E4" s="7"/>
    </row>
    <row r="5" spans="1:11" ht="21.95" customHeight="1" x14ac:dyDescent="0.25">
      <c r="A5" s="65" t="s">
        <v>1723</v>
      </c>
      <c r="B5" s="65" t="s">
        <v>1775</v>
      </c>
      <c r="C5" s="64" t="s">
        <v>1724</v>
      </c>
      <c r="D5" s="64"/>
      <c r="E5" s="64"/>
    </row>
    <row r="6" spans="1:11" ht="21.95" customHeight="1" x14ac:dyDescent="0.25">
      <c r="A6" s="65"/>
      <c r="B6" s="65"/>
      <c r="C6" s="40" t="s">
        <v>0</v>
      </c>
      <c r="D6" s="40" t="s">
        <v>1</v>
      </c>
      <c r="E6" s="40" t="s">
        <v>2</v>
      </c>
    </row>
    <row r="7" spans="1:11" ht="24.95" customHeight="1" x14ac:dyDescent="0.25">
      <c r="A7" s="25"/>
      <c r="B7" s="9" t="s">
        <v>1772</v>
      </c>
      <c r="C7" s="25">
        <f>C9+C12</f>
        <v>144006</v>
      </c>
      <c r="D7" s="25">
        <f t="shared" ref="D7:E7" si="0">D9+D12</f>
        <v>66809</v>
      </c>
      <c r="E7" s="25">
        <f t="shared" si="0"/>
        <v>77197</v>
      </c>
    </row>
    <row r="8" spans="1:11" ht="12" customHeight="1" x14ac:dyDescent="0.25">
      <c r="A8" s="10"/>
      <c r="B8" s="23"/>
      <c r="C8" s="23"/>
      <c r="D8" s="23"/>
      <c r="E8" s="23"/>
    </row>
    <row r="9" spans="1:11" ht="24.95" customHeight="1" x14ac:dyDescent="0.4">
      <c r="A9" s="10"/>
      <c r="B9" s="10" t="s">
        <v>1725</v>
      </c>
      <c r="C9" s="24">
        <f>SUM(C10:C11)</f>
        <v>4095</v>
      </c>
      <c r="D9" s="24">
        <f t="shared" ref="D9:E9" si="1">SUM(D10:D11)</f>
        <v>1943</v>
      </c>
      <c r="E9" s="24">
        <f t="shared" si="1"/>
        <v>2152</v>
      </c>
      <c r="H9" s="48"/>
      <c r="I9" s="49"/>
      <c r="J9" s="49"/>
      <c r="K9" s="49"/>
    </row>
    <row r="10" spans="1:11" ht="24.95" customHeight="1" x14ac:dyDescent="0.4">
      <c r="A10" s="11">
        <v>1</v>
      </c>
      <c r="B10" s="11" t="s">
        <v>850</v>
      </c>
      <c r="C10" s="11">
        <v>2133</v>
      </c>
      <c r="D10" s="11">
        <v>1032</v>
      </c>
      <c r="E10" s="11">
        <v>1101</v>
      </c>
      <c r="H10" s="50"/>
      <c r="I10" s="39"/>
      <c r="J10" s="39"/>
      <c r="K10" s="39"/>
    </row>
    <row r="11" spans="1:11" ht="24.95" customHeight="1" x14ac:dyDescent="0.4">
      <c r="A11" s="11">
        <v>2</v>
      </c>
      <c r="B11" s="11" t="s">
        <v>852</v>
      </c>
      <c r="C11" s="11">
        <v>1962</v>
      </c>
      <c r="D11" s="11">
        <v>911</v>
      </c>
      <c r="E11" s="11">
        <v>1051</v>
      </c>
      <c r="H11" s="50"/>
      <c r="I11" s="39"/>
      <c r="J11" s="39"/>
      <c r="K11" s="39"/>
    </row>
    <row r="12" spans="1:11" ht="24.95" customHeight="1" x14ac:dyDescent="0.4">
      <c r="A12" s="11"/>
      <c r="B12" s="10" t="s">
        <v>1773</v>
      </c>
      <c r="C12" s="24">
        <f>SUM(C13:C71)</f>
        <v>139911</v>
      </c>
      <c r="D12" s="24">
        <f t="shared" ref="D12:E12" si="2">SUM(D13:D71)</f>
        <v>64866</v>
      </c>
      <c r="E12" s="24">
        <f t="shared" si="2"/>
        <v>75045</v>
      </c>
      <c r="H12" s="51"/>
      <c r="I12" s="49"/>
      <c r="J12" s="49"/>
      <c r="K12" s="49"/>
    </row>
    <row r="13" spans="1:11" ht="24.95" customHeight="1" x14ac:dyDescent="0.4">
      <c r="A13" s="11">
        <v>1</v>
      </c>
      <c r="B13" s="11" t="s">
        <v>839</v>
      </c>
      <c r="C13" s="11">
        <v>1013</v>
      </c>
      <c r="D13" s="11">
        <v>466</v>
      </c>
      <c r="E13" s="11">
        <v>547</v>
      </c>
      <c r="H13" s="52"/>
      <c r="I13" s="39"/>
      <c r="J13" s="39"/>
      <c r="K13" s="39"/>
    </row>
    <row r="14" spans="1:11" ht="24.95" customHeight="1" x14ac:dyDescent="0.4">
      <c r="A14" s="11">
        <v>2</v>
      </c>
      <c r="B14" s="11" t="s">
        <v>1639</v>
      </c>
      <c r="C14" s="11">
        <v>4094</v>
      </c>
      <c r="D14" s="11">
        <v>1805</v>
      </c>
      <c r="E14" s="11">
        <v>2289</v>
      </c>
      <c r="H14" s="52"/>
      <c r="I14" s="39"/>
      <c r="J14" s="39"/>
      <c r="K14" s="39"/>
    </row>
    <row r="15" spans="1:11" ht="24.95" customHeight="1" x14ac:dyDescent="0.4">
      <c r="A15" s="11">
        <v>3</v>
      </c>
      <c r="B15" s="11" t="s">
        <v>1640</v>
      </c>
      <c r="C15" s="11">
        <v>475</v>
      </c>
      <c r="D15" s="11">
        <v>243</v>
      </c>
      <c r="E15" s="11">
        <v>232</v>
      </c>
      <c r="H15" s="52"/>
      <c r="I15" s="39"/>
      <c r="J15" s="39"/>
      <c r="K15" s="39"/>
    </row>
    <row r="16" spans="1:11" ht="24.95" customHeight="1" x14ac:dyDescent="0.4">
      <c r="A16" s="11">
        <v>4</v>
      </c>
      <c r="B16" s="11" t="s">
        <v>1641</v>
      </c>
      <c r="C16" s="11">
        <v>2020</v>
      </c>
      <c r="D16" s="11">
        <v>931</v>
      </c>
      <c r="E16" s="11">
        <v>1089</v>
      </c>
      <c r="H16" s="52"/>
      <c r="I16" s="39"/>
      <c r="J16" s="39"/>
      <c r="K16" s="39"/>
    </row>
    <row r="17" spans="1:11" ht="24.95" customHeight="1" x14ac:dyDescent="0.4">
      <c r="A17" s="11">
        <v>5</v>
      </c>
      <c r="B17" s="11" t="s">
        <v>417</v>
      </c>
      <c r="C17" s="11">
        <v>1571</v>
      </c>
      <c r="D17" s="11">
        <v>700</v>
      </c>
      <c r="E17" s="11">
        <v>871</v>
      </c>
      <c r="H17" s="52"/>
      <c r="I17" s="39"/>
      <c r="J17" s="39"/>
      <c r="K17" s="39"/>
    </row>
    <row r="18" spans="1:11" ht="24.95" customHeight="1" x14ac:dyDescent="0.4">
      <c r="A18" s="11">
        <v>6</v>
      </c>
      <c r="B18" s="11" t="s">
        <v>396</v>
      </c>
      <c r="C18" s="11">
        <v>1612</v>
      </c>
      <c r="D18" s="11">
        <v>739</v>
      </c>
      <c r="E18" s="11">
        <v>873</v>
      </c>
      <c r="H18" s="52"/>
      <c r="I18" s="39"/>
      <c r="J18" s="39"/>
      <c r="K18" s="39"/>
    </row>
    <row r="19" spans="1:11" ht="24.95" customHeight="1" x14ac:dyDescent="0.4">
      <c r="A19" s="11">
        <v>7</v>
      </c>
      <c r="B19" s="11" t="s">
        <v>1642</v>
      </c>
      <c r="C19" s="11">
        <v>3156</v>
      </c>
      <c r="D19" s="11">
        <v>1389</v>
      </c>
      <c r="E19" s="11">
        <v>1767</v>
      </c>
      <c r="H19" s="52"/>
      <c r="I19" s="39"/>
      <c r="J19" s="39"/>
      <c r="K19" s="39"/>
    </row>
    <row r="20" spans="1:11" ht="24.95" customHeight="1" x14ac:dyDescent="0.4">
      <c r="A20" s="11">
        <v>8</v>
      </c>
      <c r="B20" s="11" t="s">
        <v>1643</v>
      </c>
      <c r="C20" s="11">
        <v>2613</v>
      </c>
      <c r="D20" s="11">
        <v>1214</v>
      </c>
      <c r="E20" s="11">
        <v>1399</v>
      </c>
      <c r="H20" s="52"/>
      <c r="I20" s="39"/>
      <c r="J20" s="39"/>
      <c r="K20" s="39"/>
    </row>
    <row r="21" spans="1:11" ht="24.95" customHeight="1" x14ac:dyDescent="0.4">
      <c r="A21" s="11">
        <v>9</v>
      </c>
      <c r="B21" s="11" t="s">
        <v>1644</v>
      </c>
      <c r="C21" s="11">
        <v>1379</v>
      </c>
      <c r="D21" s="11">
        <v>654</v>
      </c>
      <c r="E21" s="11">
        <v>725</v>
      </c>
      <c r="H21" s="52"/>
      <c r="I21" s="39"/>
      <c r="J21" s="39"/>
      <c r="K21" s="39"/>
    </row>
    <row r="22" spans="1:11" ht="24.95" customHeight="1" x14ac:dyDescent="0.4">
      <c r="A22" s="11">
        <v>10</v>
      </c>
      <c r="B22" s="11" t="s">
        <v>1645</v>
      </c>
      <c r="C22" s="11">
        <v>669</v>
      </c>
      <c r="D22" s="11">
        <v>337</v>
      </c>
      <c r="E22" s="11">
        <v>332</v>
      </c>
      <c r="H22" s="52"/>
      <c r="I22" s="39"/>
      <c r="J22" s="39"/>
      <c r="K22" s="39"/>
    </row>
    <row r="23" spans="1:11" ht="24.95" customHeight="1" x14ac:dyDescent="0.4">
      <c r="A23" s="11">
        <v>11</v>
      </c>
      <c r="B23" s="11" t="s">
        <v>1646</v>
      </c>
      <c r="C23" s="11">
        <v>2160</v>
      </c>
      <c r="D23" s="11">
        <v>994</v>
      </c>
      <c r="E23" s="11">
        <v>1166</v>
      </c>
      <c r="H23" s="52"/>
      <c r="I23" s="39"/>
      <c r="J23" s="39"/>
      <c r="K23" s="39"/>
    </row>
    <row r="24" spans="1:11" ht="24.95" customHeight="1" x14ac:dyDescent="0.4">
      <c r="A24" s="11">
        <v>12</v>
      </c>
      <c r="B24" s="11" t="s">
        <v>1647</v>
      </c>
      <c r="C24" s="11">
        <v>1199</v>
      </c>
      <c r="D24" s="11">
        <v>560</v>
      </c>
      <c r="E24" s="11">
        <v>639</v>
      </c>
      <c r="H24" s="52"/>
      <c r="I24" s="39"/>
      <c r="J24" s="39"/>
      <c r="K24" s="39"/>
    </row>
    <row r="25" spans="1:11" ht="24.95" customHeight="1" x14ac:dyDescent="0.4">
      <c r="A25" s="11">
        <v>13</v>
      </c>
      <c r="B25" s="11" t="s">
        <v>532</v>
      </c>
      <c r="C25" s="11">
        <v>1000</v>
      </c>
      <c r="D25" s="11">
        <v>462</v>
      </c>
      <c r="E25" s="11">
        <v>538</v>
      </c>
      <c r="H25" s="52"/>
      <c r="I25" s="39"/>
      <c r="J25" s="39"/>
      <c r="K25" s="39"/>
    </row>
    <row r="26" spans="1:11" ht="24.95" customHeight="1" x14ac:dyDescent="0.4">
      <c r="A26" s="11">
        <v>14</v>
      </c>
      <c r="B26" s="11" t="s">
        <v>1648</v>
      </c>
      <c r="C26" s="11">
        <v>2034</v>
      </c>
      <c r="D26" s="11">
        <v>926</v>
      </c>
      <c r="E26" s="11">
        <v>1108</v>
      </c>
      <c r="H26" s="52"/>
      <c r="I26" s="39"/>
      <c r="J26" s="39"/>
      <c r="K26" s="39"/>
    </row>
    <row r="27" spans="1:11" ht="24.95" customHeight="1" x14ac:dyDescent="0.4">
      <c r="A27" s="11">
        <v>15</v>
      </c>
      <c r="B27" s="11" t="s">
        <v>1649</v>
      </c>
      <c r="C27" s="11">
        <v>1207</v>
      </c>
      <c r="D27" s="11">
        <v>546</v>
      </c>
      <c r="E27" s="11">
        <v>661</v>
      </c>
      <c r="H27" s="52"/>
      <c r="I27" s="39"/>
      <c r="J27" s="39"/>
      <c r="K27" s="39"/>
    </row>
    <row r="28" spans="1:11" ht="24.95" customHeight="1" x14ac:dyDescent="0.4">
      <c r="A28" s="11">
        <v>16</v>
      </c>
      <c r="B28" s="11" t="s">
        <v>1650</v>
      </c>
      <c r="C28" s="11">
        <v>1740</v>
      </c>
      <c r="D28" s="11">
        <v>804</v>
      </c>
      <c r="E28" s="11">
        <v>936</v>
      </c>
      <c r="H28" s="52"/>
      <c r="I28" s="39"/>
      <c r="J28" s="39"/>
      <c r="K28" s="39"/>
    </row>
    <row r="29" spans="1:11" ht="24.95" customHeight="1" x14ac:dyDescent="0.4">
      <c r="A29" s="11">
        <v>17</v>
      </c>
      <c r="B29" s="11" t="s">
        <v>1651</v>
      </c>
      <c r="C29" s="11">
        <v>3687</v>
      </c>
      <c r="D29" s="11">
        <v>1700</v>
      </c>
      <c r="E29" s="11">
        <v>1987</v>
      </c>
      <c r="H29" s="52"/>
      <c r="I29" s="39"/>
      <c r="J29" s="39"/>
      <c r="K29" s="39"/>
    </row>
    <row r="30" spans="1:11" ht="24.95" customHeight="1" x14ac:dyDescent="0.4">
      <c r="A30" s="11">
        <v>18</v>
      </c>
      <c r="B30" s="11" t="s">
        <v>1652</v>
      </c>
      <c r="C30" s="11">
        <v>1650</v>
      </c>
      <c r="D30" s="11">
        <v>666</v>
      </c>
      <c r="E30" s="11">
        <v>984</v>
      </c>
      <c r="H30" s="52"/>
      <c r="I30" s="39"/>
      <c r="J30" s="39"/>
      <c r="K30" s="39"/>
    </row>
    <row r="31" spans="1:11" ht="24.95" customHeight="1" x14ac:dyDescent="0.4">
      <c r="A31" s="11">
        <v>19</v>
      </c>
      <c r="B31" s="11" t="s">
        <v>1653</v>
      </c>
      <c r="C31" s="11">
        <v>1581</v>
      </c>
      <c r="D31" s="11">
        <v>687</v>
      </c>
      <c r="E31" s="11">
        <v>894</v>
      </c>
      <c r="H31" s="52"/>
      <c r="I31" s="39"/>
      <c r="J31" s="39"/>
      <c r="K31" s="39"/>
    </row>
    <row r="32" spans="1:11" ht="24.95" customHeight="1" x14ac:dyDescent="0.4">
      <c r="A32" s="11">
        <v>20</v>
      </c>
      <c r="B32" s="11" t="s">
        <v>1654</v>
      </c>
      <c r="C32" s="11">
        <v>2199</v>
      </c>
      <c r="D32" s="11">
        <v>1006</v>
      </c>
      <c r="E32" s="11">
        <v>1193</v>
      </c>
      <c r="H32" s="52"/>
      <c r="I32" s="39"/>
      <c r="J32" s="39"/>
      <c r="K32" s="39"/>
    </row>
    <row r="33" spans="1:11" ht="24.95" customHeight="1" x14ac:dyDescent="0.4">
      <c r="A33" s="11">
        <v>21</v>
      </c>
      <c r="B33" s="11" t="s">
        <v>1655</v>
      </c>
      <c r="C33" s="11">
        <v>2984</v>
      </c>
      <c r="D33" s="11">
        <v>1376</v>
      </c>
      <c r="E33" s="11">
        <v>1608</v>
      </c>
      <c r="H33" s="52"/>
      <c r="I33" s="39"/>
      <c r="J33" s="39"/>
      <c r="K33" s="39"/>
    </row>
    <row r="34" spans="1:11" ht="24.95" customHeight="1" x14ac:dyDescent="0.4">
      <c r="A34" s="11">
        <v>22</v>
      </c>
      <c r="B34" s="11" t="s">
        <v>1656</v>
      </c>
      <c r="C34" s="11">
        <v>3162</v>
      </c>
      <c r="D34" s="11">
        <v>1454</v>
      </c>
      <c r="E34" s="11">
        <v>1708</v>
      </c>
      <c r="H34" s="52"/>
      <c r="I34" s="39"/>
      <c r="J34" s="39"/>
      <c r="K34" s="39"/>
    </row>
    <row r="35" spans="1:11" ht="24.95" customHeight="1" x14ac:dyDescent="0.4">
      <c r="A35" s="11">
        <v>23</v>
      </c>
      <c r="B35" s="11" t="s">
        <v>1657</v>
      </c>
      <c r="C35" s="11">
        <v>2370</v>
      </c>
      <c r="D35" s="11">
        <v>1121</v>
      </c>
      <c r="E35" s="11">
        <v>1249</v>
      </c>
      <c r="H35" s="52"/>
      <c r="I35" s="39"/>
      <c r="J35" s="39"/>
      <c r="K35" s="39"/>
    </row>
    <row r="36" spans="1:11" ht="24.95" customHeight="1" x14ac:dyDescent="0.4">
      <c r="A36" s="11">
        <v>24</v>
      </c>
      <c r="B36" s="11" t="s">
        <v>1658</v>
      </c>
      <c r="C36" s="11">
        <v>2380</v>
      </c>
      <c r="D36" s="11">
        <v>1039</v>
      </c>
      <c r="E36" s="11">
        <v>1341</v>
      </c>
      <c r="H36" s="52"/>
      <c r="I36" s="39"/>
      <c r="J36" s="39"/>
      <c r="K36" s="39"/>
    </row>
    <row r="37" spans="1:11" ht="24.95" customHeight="1" x14ac:dyDescent="0.4">
      <c r="A37" s="11">
        <v>25</v>
      </c>
      <c r="B37" s="11" t="s">
        <v>568</v>
      </c>
      <c r="C37" s="11">
        <v>4014</v>
      </c>
      <c r="D37" s="11">
        <v>1879</v>
      </c>
      <c r="E37" s="11">
        <v>2135</v>
      </c>
      <c r="H37" s="52"/>
      <c r="I37" s="39"/>
      <c r="J37" s="39"/>
      <c r="K37" s="39"/>
    </row>
    <row r="38" spans="1:11" ht="24.95" customHeight="1" x14ac:dyDescent="0.4">
      <c r="A38" s="11">
        <v>26</v>
      </c>
      <c r="B38" s="11" t="s">
        <v>1659</v>
      </c>
      <c r="C38" s="11">
        <v>5529</v>
      </c>
      <c r="D38" s="11">
        <v>2576</v>
      </c>
      <c r="E38" s="11">
        <v>2953</v>
      </c>
      <c r="H38" s="52"/>
      <c r="I38" s="39"/>
      <c r="J38" s="39"/>
      <c r="K38" s="39"/>
    </row>
    <row r="39" spans="1:11" ht="24.95" customHeight="1" x14ac:dyDescent="0.4">
      <c r="A39" s="11">
        <v>27</v>
      </c>
      <c r="B39" s="11" t="s">
        <v>661</v>
      </c>
      <c r="C39" s="11">
        <v>1780</v>
      </c>
      <c r="D39" s="11">
        <v>801</v>
      </c>
      <c r="E39" s="11">
        <v>979</v>
      </c>
      <c r="H39" s="52"/>
      <c r="I39" s="39"/>
      <c r="J39" s="39"/>
      <c r="K39" s="39"/>
    </row>
    <row r="40" spans="1:11" ht="24.95" customHeight="1" x14ac:dyDescent="0.4">
      <c r="A40" s="11">
        <v>28</v>
      </c>
      <c r="B40" s="11" t="s">
        <v>266</v>
      </c>
      <c r="C40" s="11">
        <v>949</v>
      </c>
      <c r="D40" s="11">
        <v>452</v>
      </c>
      <c r="E40" s="11">
        <v>497</v>
      </c>
      <c r="H40" s="52"/>
      <c r="I40" s="39"/>
      <c r="J40" s="39"/>
      <c r="K40" s="39"/>
    </row>
    <row r="41" spans="1:11" ht="24.95" customHeight="1" x14ac:dyDescent="0.4">
      <c r="A41" s="11">
        <v>29</v>
      </c>
      <c r="B41" s="11" t="s">
        <v>1660</v>
      </c>
      <c r="C41" s="11">
        <v>3525</v>
      </c>
      <c r="D41" s="11">
        <v>1606</v>
      </c>
      <c r="E41" s="11">
        <v>1919</v>
      </c>
      <c r="H41" s="52"/>
      <c r="I41" s="39"/>
      <c r="J41" s="39"/>
      <c r="K41" s="39"/>
    </row>
    <row r="42" spans="1:11" ht="24.95" customHeight="1" x14ac:dyDescent="0.4">
      <c r="A42" s="11">
        <v>30</v>
      </c>
      <c r="B42" s="11" t="s">
        <v>1661</v>
      </c>
      <c r="C42" s="11">
        <v>2761</v>
      </c>
      <c r="D42" s="11">
        <v>1282</v>
      </c>
      <c r="E42" s="11">
        <v>1479</v>
      </c>
      <c r="H42" s="52"/>
      <c r="I42" s="39"/>
      <c r="J42" s="39"/>
      <c r="K42" s="39"/>
    </row>
    <row r="43" spans="1:11" ht="24.95" customHeight="1" x14ac:dyDescent="0.4">
      <c r="A43" s="11">
        <v>31</v>
      </c>
      <c r="B43" s="11" t="s">
        <v>1662</v>
      </c>
      <c r="C43" s="11">
        <v>4297</v>
      </c>
      <c r="D43" s="11">
        <v>2063</v>
      </c>
      <c r="E43" s="11">
        <v>2234</v>
      </c>
      <c r="H43" s="52"/>
      <c r="I43" s="39"/>
      <c r="J43" s="39"/>
      <c r="K43" s="39"/>
    </row>
    <row r="44" spans="1:11" ht="24.95" customHeight="1" x14ac:dyDescent="0.4">
      <c r="A44" s="11">
        <v>32</v>
      </c>
      <c r="B44" s="11" t="s">
        <v>1663</v>
      </c>
      <c r="C44" s="11">
        <v>3122</v>
      </c>
      <c r="D44" s="11">
        <v>1463</v>
      </c>
      <c r="E44" s="11">
        <v>1659</v>
      </c>
      <c r="H44" s="52"/>
      <c r="I44" s="39"/>
      <c r="J44" s="39"/>
      <c r="K44" s="39"/>
    </row>
    <row r="45" spans="1:11" ht="24.95" customHeight="1" x14ac:dyDescent="0.4">
      <c r="A45" s="11">
        <v>33</v>
      </c>
      <c r="B45" s="11" t="s">
        <v>404</v>
      </c>
      <c r="C45" s="11">
        <v>2830</v>
      </c>
      <c r="D45" s="11">
        <v>1269</v>
      </c>
      <c r="E45" s="11">
        <v>1561</v>
      </c>
      <c r="H45" s="52"/>
      <c r="I45" s="39"/>
      <c r="J45" s="39"/>
      <c r="K45" s="39"/>
    </row>
    <row r="46" spans="1:11" ht="24.95" customHeight="1" x14ac:dyDescent="0.4">
      <c r="A46" s="11">
        <v>34</v>
      </c>
      <c r="B46" s="11" t="s">
        <v>1664</v>
      </c>
      <c r="C46" s="11">
        <v>2216</v>
      </c>
      <c r="D46" s="11">
        <v>966</v>
      </c>
      <c r="E46" s="11">
        <v>1250</v>
      </c>
      <c r="H46" s="52"/>
      <c r="I46" s="39"/>
      <c r="J46" s="39"/>
      <c r="K46" s="39"/>
    </row>
    <row r="47" spans="1:11" ht="24.95" customHeight="1" x14ac:dyDescent="0.4">
      <c r="A47" s="11">
        <v>35</v>
      </c>
      <c r="B47" s="11" t="s">
        <v>307</v>
      </c>
      <c r="C47" s="11">
        <v>3081</v>
      </c>
      <c r="D47" s="11">
        <v>1437</v>
      </c>
      <c r="E47" s="11">
        <v>1644</v>
      </c>
      <c r="H47" s="52"/>
      <c r="I47" s="39"/>
      <c r="J47" s="39"/>
      <c r="K47" s="39"/>
    </row>
    <row r="48" spans="1:11" ht="24.95" customHeight="1" x14ac:dyDescent="0.4">
      <c r="A48" s="11">
        <v>36</v>
      </c>
      <c r="B48" s="11" t="s">
        <v>1665</v>
      </c>
      <c r="C48" s="11">
        <v>636</v>
      </c>
      <c r="D48" s="11">
        <v>283</v>
      </c>
      <c r="E48" s="11">
        <v>353</v>
      </c>
      <c r="H48" s="52"/>
      <c r="I48" s="39"/>
      <c r="J48" s="39"/>
      <c r="K48" s="39"/>
    </row>
    <row r="49" spans="1:11" ht="24.95" customHeight="1" x14ac:dyDescent="0.4">
      <c r="A49" s="11">
        <v>37</v>
      </c>
      <c r="B49" s="11" t="s">
        <v>1666</v>
      </c>
      <c r="C49" s="11">
        <v>1917</v>
      </c>
      <c r="D49" s="11">
        <v>831</v>
      </c>
      <c r="E49" s="11">
        <v>1086</v>
      </c>
      <c r="H49" s="52"/>
      <c r="I49" s="39"/>
      <c r="J49" s="39"/>
      <c r="K49" s="39"/>
    </row>
    <row r="50" spans="1:11" ht="24.95" customHeight="1" x14ac:dyDescent="0.4">
      <c r="A50" s="11">
        <v>38</v>
      </c>
      <c r="B50" s="11" t="s">
        <v>1667</v>
      </c>
      <c r="C50" s="11">
        <v>1759</v>
      </c>
      <c r="D50" s="11">
        <v>778</v>
      </c>
      <c r="E50" s="11">
        <v>981</v>
      </c>
      <c r="H50" s="52"/>
      <c r="I50" s="39"/>
      <c r="J50" s="39"/>
      <c r="K50" s="39"/>
    </row>
    <row r="51" spans="1:11" ht="24.95" customHeight="1" x14ac:dyDescent="0.4">
      <c r="A51" s="11">
        <v>39</v>
      </c>
      <c r="B51" s="11" t="s">
        <v>1668</v>
      </c>
      <c r="C51" s="11">
        <v>2305</v>
      </c>
      <c r="D51" s="11">
        <v>1069</v>
      </c>
      <c r="E51" s="11">
        <v>1236</v>
      </c>
      <c r="H51" s="52"/>
      <c r="I51" s="39"/>
      <c r="J51" s="39"/>
      <c r="K51" s="39"/>
    </row>
    <row r="52" spans="1:11" ht="24.95" customHeight="1" x14ac:dyDescent="0.4">
      <c r="A52" s="11">
        <v>40</v>
      </c>
      <c r="B52" s="11" t="s">
        <v>463</v>
      </c>
      <c r="C52" s="11">
        <v>1450</v>
      </c>
      <c r="D52" s="11">
        <v>641</v>
      </c>
      <c r="E52" s="11">
        <v>809</v>
      </c>
      <c r="H52" s="52"/>
      <c r="I52" s="39"/>
      <c r="J52" s="39"/>
      <c r="K52" s="39"/>
    </row>
    <row r="53" spans="1:11" ht="24.95" customHeight="1" x14ac:dyDescent="0.4">
      <c r="A53" s="11">
        <v>41</v>
      </c>
      <c r="B53" s="11" t="s">
        <v>1669</v>
      </c>
      <c r="C53" s="11">
        <v>3671</v>
      </c>
      <c r="D53" s="11">
        <v>1715</v>
      </c>
      <c r="E53" s="11">
        <v>1956</v>
      </c>
      <c r="H53" s="52"/>
      <c r="I53" s="39"/>
      <c r="J53" s="39"/>
      <c r="K53" s="39"/>
    </row>
    <row r="54" spans="1:11" ht="24.95" customHeight="1" x14ac:dyDescent="0.4">
      <c r="A54" s="11">
        <v>42</v>
      </c>
      <c r="B54" s="11" t="s">
        <v>1670</v>
      </c>
      <c r="C54" s="11">
        <v>1122</v>
      </c>
      <c r="D54" s="11">
        <v>515</v>
      </c>
      <c r="E54" s="11">
        <v>607</v>
      </c>
      <c r="H54" s="52"/>
      <c r="I54" s="39"/>
      <c r="J54" s="39"/>
      <c r="K54" s="39"/>
    </row>
    <row r="55" spans="1:11" ht="24.95" customHeight="1" x14ac:dyDescent="0.4">
      <c r="A55" s="11">
        <v>43</v>
      </c>
      <c r="B55" s="11" t="s">
        <v>1671</v>
      </c>
      <c r="C55" s="11">
        <v>2684</v>
      </c>
      <c r="D55" s="11">
        <v>1192</v>
      </c>
      <c r="E55" s="11">
        <v>1492</v>
      </c>
      <c r="H55" s="52"/>
      <c r="I55" s="39"/>
      <c r="J55" s="39"/>
      <c r="K55" s="39"/>
    </row>
    <row r="56" spans="1:11" ht="24.95" customHeight="1" x14ac:dyDescent="0.4">
      <c r="A56" s="11">
        <v>44</v>
      </c>
      <c r="B56" s="11" t="s">
        <v>429</v>
      </c>
      <c r="C56" s="11">
        <v>1823</v>
      </c>
      <c r="D56" s="11">
        <v>862</v>
      </c>
      <c r="E56" s="11">
        <v>961</v>
      </c>
      <c r="H56" s="52"/>
      <c r="I56" s="39"/>
      <c r="J56" s="39"/>
      <c r="K56" s="39"/>
    </row>
    <row r="57" spans="1:11" ht="24.95" customHeight="1" x14ac:dyDescent="0.4">
      <c r="A57" s="11">
        <v>45</v>
      </c>
      <c r="B57" s="11" t="s">
        <v>1237</v>
      </c>
      <c r="C57" s="11">
        <v>3159</v>
      </c>
      <c r="D57" s="11">
        <v>1407</v>
      </c>
      <c r="E57" s="11">
        <v>1752</v>
      </c>
      <c r="H57" s="52"/>
      <c r="I57" s="39"/>
      <c r="J57" s="39"/>
      <c r="K57" s="39"/>
    </row>
    <row r="58" spans="1:11" ht="24.95" customHeight="1" x14ac:dyDescent="0.4">
      <c r="A58" s="11">
        <v>46</v>
      </c>
      <c r="B58" s="11" t="s">
        <v>1672</v>
      </c>
      <c r="C58" s="11">
        <v>3182</v>
      </c>
      <c r="D58" s="11">
        <v>1486</v>
      </c>
      <c r="E58" s="11">
        <v>1696</v>
      </c>
      <c r="H58" s="52"/>
      <c r="I58" s="39"/>
      <c r="J58" s="39"/>
      <c r="K58" s="39"/>
    </row>
    <row r="59" spans="1:11" ht="24.95" customHeight="1" x14ac:dyDescent="0.4">
      <c r="A59" s="11">
        <v>47</v>
      </c>
      <c r="B59" s="11" t="s">
        <v>1199</v>
      </c>
      <c r="C59" s="11">
        <v>3897</v>
      </c>
      <c r="D59" s="11">
        <v>1841</v>
      </c>
      <c r="E59" s="11">
        <v>2056</v>
      </c>
      <c r="H59" s="52"/>
      <c r="I59" s="39"/>
      <c r="J59" s="39"/>
      <c r="K59" s="39"/>
    </row>
    <row r="60" spans="1:11" ht="24.95" customHeight="1" x14ac:dyDescent="0.4">
      <c r="A60" s="11">
        <v>48</v>
      </c>
      <c r="B60" s="11" t="s">
        <v>96</v>
      </c>
      <c r="C60" s="11">
        <v>1567</v>
      </c>
      <c r="D60" s="11">
        <v>778</v>
      </c>
      <c r="E60" s="11">
        <v>789</v>
      </c>
      <c r="H60" s="52"/>
      <c r="I60" s="39"/>
      <c r="J60" s="39"/>
      <c r="K60" s="39"/>
    </row>
    <row r="61" spans="1:11" ht="24.95" customHeight="1" x14ac:dyDescent="0.4">
      <c r="A61" s="11">
        <v>49</v>
      </c>
      <c r="B61" s="11" t="s">
        <v>1673</v>
      </c>
      <c r="C61" s="11">
        <v>3399</v>
      </c>
      <c r="D61" s="11">
        <v>1657</v>
      </c>
      <c r="E61" s="11">
        <v>1742</v>
      </c>
      <c r="H61" s="52"/>
      <c r="I61" s="39"/>
      <c r="J61" s="39"/>
      <c r="K61" s="39"/>
    </row>
    <row r="62" spans="1:11" ht="24.95" customHeight="1" x14ac:dyDescent="0.4">
      <c r="A62" s="11">
        <v>50</v>
      </c>
      <c r="B62" s="11" t="s">
        <v>1674</v>
      </c>
      <c r="C62" s="11">
        <v>2909</v>
      </c>
      <c r="D62" s="11">
        <v>1489</v>
      </c>
      <c r="E62" s="11">
        <v>1420</v>
      </c>
      <c r="H62" s="52"/>
      <c r="I62" s="39"/>
      <c r="J62" s="39"/>
      <c r="K62" s="39"/>
    </row>
    <row r="63" spans="1:11" ht="24.95" customHeight="1" x14ac:dyDescent="0.4">
      <c r="A63" s="11">
        <v>51</v>
      </c>
      <c r="B63" s="11" t="s">
        <v>1675</v>
      </c>
      <c r="C63" s="11">
        <v>1481</v>
      </c>
      <c r="D63" s="11">
        <v>718</v>
      </c>
      <c r="E63" s="11">
        <v>763</v>
      </c>
      <c r="H63" s="52"/>
      <c r="I63" s="39"/>
      <c r="J63" s="39"/>
      <c r="K63" s="39"/>
    </row>
    <row r="64" spans="1:11" ht="24.95" customHeight="1" x14ac:dyDescent="0.4">
      <c r="A64" s="11">
        <v>52</v>
      </c>
      <c r="B64" s="11" t="s">
        <v>1676</v>
      </c>
      <c r="C64" s="11">
        <v>2361</v>
      </c>
      <c r="D64" s="11">
        <v>1148</v>
      </c>
      <c r="E64" s="11">
        <v>1213</v>
      </c>
      <c r="H64" s="52"/>
      <c r="I64" s="39"/>
      <c r="J64" s="39"/>
      <c r="K64" s="39"/>
    </row>
    <row r="65" spans="1:11" ht="24.95" customHeight="1" x14ac:dyDescent="0.4">
      <c r="A65" s="11">
        <v>53</v>
      </c>
      <c r="B65" s="11" t="s">
        <v>1677</v>
      </c>
      <c r="C65" s="11">
        <v>1776</v>
      </c>
      <c r="D65" s="11">
        <v>798</v>
      </c>
      <c r="E65" s="11">
        <v>978</v>
      </c>
      <c r="H65" s="52"/>
      <c r="I65" s="39"/>
      <c r="J65" s="39"/>
      <c r="K65" s="39"/>
    </row>
    <row r="66" spans="1:11" ht="24.95" customHeight="1" x14ac:dyDescent="0.4">
      <c r="A66" s="11">
        <v>54</v>
      </c>
      <c r="B66" s="11" t="s">
        <v>1678</v>
      </c>
      <c r="C66" s="11">
        <v>3400</v>
      </c>
      <c r="D66" s="11">
        <v>1571</v>
      </c>
      <c r="E66" s="11">
        <v>1829</v>
      </c>
      <c r="H66" s="52"/>
      <c r="I66" s="39"/>
      <c r="J66" s="39"/>
      <c r="K66" s="39"/>
    </row>
    <row r="67" spans="1:11" ht="24.95" customHeight="1" x14ac:dyDescent="0.4">
      <c r="A67" s="11">
        <v>55</v>
      </c>
      <c r="B67" s="11" t="s">
        <v>1679</v>
      </c>
      <c r="C67" s="11">
        <v>2698</v>
      </c>
      <c r="D67" s="11">
        <v>1302</v>
      </c>
      <c r="E67" s="11">
        <v>1396</v>
      </c>
      <c r="H67" s="52"/>
      <c r="I67" s="39"/>
      <c r="J67" s="39"/>
      <c r="K67" s="39"/>
    </row>
    <row r="68" spans="1:11" ht="24.95" customHeight="1" x14ac:dyDescent="0.4">
      <c r="A68" s="11">
        <v>56</v>
      </c>
      <c r="B68" s="11" t="s">
        <v>1680</v>
      </c>
      <c r="C68" s="11">
        <v>2050</v>
      </c>
      <c r="D68" s="11">
        <v>955</v>
      </c>
      <c r="E68" s="11">
        <v>1095</v>
      </c>
      <c r="H68" s="52"/>
      <c r="I68" s="39"/>
      <c r="J68" s="39"/>
      <c r="K68" s="39"/>
    </row>
    <row r="69" spans="1:11" ht="24.95" customHeight="1" x14ac:dyDescent="0.4">
      <c r="A69" s="11">
        <v>57</v>
      </c>
      <c r="B69" s="11" t="s">
        <v>1681</v>
      </c>
      <c r="C69" s="11">
        <v>2084</v>
      </c>
      <c r="D69" s="11">
        <v>973</v>
      </c>
      <c r="E69" s="11">
        <v>1111</v>
      </c>
      <c r="H69" s="52"/>
      <c r="I69" s="39"/>
      <c r="J69" s="39"/>
      <c r="K69" s="39"/>
    </row>
    <row r="70" spans="1:11" ht="24.95" customHeight="1" x14ac:dyDescent="0.4">
      <c r="A70" s="11">
        <v>58</v>
      </c>
      <c r="B70" s="11" t="s">
        <v>1682</v>
      </c>
      <c r="C70" s="11">
        <v>5696</v>
      </c>
      <c r="D70" s="11">
        <v>2870</v>
      </c>
      <c r="E70" s="11">
        <v>2826</v>
      </c>
      <c r="H70" s="52"/>
      <c r="I70" s="39"/>
      <c r="J70" s="39"/>
      <c r="K70" s="39"/>
    </row>
    <row r="71" spans="1:11" ht="24.95" customHeight="1" x14ac:dyDescent="0.4">
      <c r="A71" s="12">
        <v>59</v>
      </c>
      <c r="B71" s="12" t="s">
        <v>1573</v>
      </c>
      <c r="C71" s="12">
        <v>826</v>
      </c>
      <c r="D71" s="12">
        <v>374</v>
      </c>
      <c r="E71" s="12">
        <v>452</v>
      </c>
      <c r="H71" s="52"/>
      <c r="I71" s="39"/>
      <c r="J71" s="39"/>
      <c r="K71" s="39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Yinmarpin  District , Palae  Township"/>
  </hyperlinks>
  <pageMargins left="0.75" right="0.5" top="0.5" bottom="0.2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workbookViewId="0">
      <selection sqref="A1:E1"/>
    </sheetView>
  </sheetViews>
  <sheetFormatPr defaultRowHeight="15" x14ac:dyDescent="0.25"/>
  <cols>
    <col min="1" max="1" width="9.140625" style="3"/>
    <col min="2" max="2" width="30.85546875" style="3" customWidth="1"/>
    <col min="3" max="5" width="15.7109375" style="3" customWidth="1"/>
    <col min="6" max="16384" width="9.140625" style="3"/>
  </cols>
  <sheetData>
    <row r="1" spans="1:5" ht="25.5" customHeight="1" x14ac:dyDescent="0.25">
      <c r="A1" s="67" t="s">
        <v>1770</v>
      </c>
      <c r="B1" s="67"/>
      <c r="C1" s="67"/>
      <c r="D1" s="67"/>
      <c r="E1" s="67"/>
    </row>
    <row r="2" spans="1:5" ht="25.5" customHeight="1" x14ac:dyDescent="0.4">
      <c r="A2" s="2"/>
      <c r="B2" s="7"/>
      <c r="C2" s="7"/>
      <c r="D2" s="7"/>
      <c r="E2" s="56" t="s">
        <v>1722</v>
      </c>
    </row>
    <row r="3" spans="1:5" ht="25.5" customHeight="1" x14ac:dyDescent="0.4">
      <c r="A3" s="2"/>
      <c r="B3" s="7"/>
      <c r="C3" s="7"/>
      <c r="D3" s="7"/>
      <c r="E3" s="56"/>
    </row>
    <row r="4" spans="1:5" ht="9.75" customHeight="1" x14ac:dyDescent="0.4">
      <c r="A4" s="2"/>
      <c r="B4" s="7"/>
      <c r="C4" s="7"/>
      <c r="D4" s="7"/>
      <c r="E4" s="7"/>
    </row>
    <row r="5" spans="1:5" ht="22.5" customHeight="1" x14ac:dyDescent="0.25">
      <c r="A5" s="65" t="s">
        <v>1723</v>
      </c>
      <c r="B5" s="65" t="s">
        <v>1775</v>
      </c>
      <c r="C5" s="64" t="s">
        <v>1724</v>
      </c>
      <c r="D5" s="64"/>
      <c r="E5" s="64"/>
    </row>
    <row r="6" spans="1:5" ht="22.5" customHeight="1" x14ac:dyDescent="0.25">
      <c r="A6" s="65"/>
      <c r="B6" s="65"/>
      <c r="C6" s="40" t="s">
        <v>0</v>
      </c>
      <c r="D6" s="40" t="s">
        <v>1</v>
      </c>
      <c r="E6" s="40" t="s">
        <v>2</v>
      </c>
    </row>
    <row r="7" spans="1:5" ht="21.95" customHeight="1" x14ac:dyDescent="0.25">
      <c r="A7" s="9"/>
      <c r="B7" s="9" t="s">
        <v>1772</v>
      </c>
      <c r="C7" s="9">
        <f>C9+C13</f>
        <v>134541</v>
      </c>
      <c r="D7" s="9">
        <f t="shared" ref="D7:E7" si="0">D9+D13</f>
        <v>62465</v>
      </c>
      <c r="E7" s="9">
        <f t="shared" si="0"/>
        <v>72076</v>
      </c>
    </row>
    <row r="8" spans="1:5" ht="9" customHeight="1" x14ac:dyDescent="0.25">
      <c r="A8" s="10"/>
      <c r="B8" s="23"/>
      <c r="C8" s="23"/>
      <c r="D8" s="23"/>
      <c r="E8" s="23"/>
    </row>
    <row r="9" spans="1:5" ht="21.95" customHeight="1" x14ac:dyDescent="0.25">
      <c r="A9" s="10"/>
      <c r="B9" s="10" t="s">
        <v>1725</v>
      </c>
      <c r="C9" s="24">
        <f>SUM(C10:C12)</f>
        <v>4887</v>
      </c>
      <c r="D9" s="24">
        <f t="shared" ref="D9:E9" si="1">SUM(D10:D12)</f>
        <v>2216</v>
      </c>
      <c r="E9" s="24">
        <f t="shared" si="1"/>
        <v>2671</v>
      </c>
    </row>
    <row r="10" spans="1:5" ht="21.95" customHeight="1" x14ac:dyDescent="0.25">
      <c r="A10" s="11">
        <v>1</v>
      </c>
      <c r="B10" s="11" t="s">
        <v>667</v>
      </c>
      <c r="C10" s="11">
        <v>1614</v>
      </c>
      <c r="D10" s="11">
        <v>723</v>
      </c>
      <c r="E10" s="11">
        <v>891</v>
      </c>
    </row>
    <row r="11" spans="1:5" ht="21.95" customHeight="1" x14ac:dyDescent="0.25">
      <c r="A11" s="11">
        <v>2</v>
      </c>
      <c r="B11" s="11" t="s">
        <v>668</v>
      </c>
      <c r="C11" s="11">
        <v>1542</v>
      </c>
      <c r="D11" s="11">
        <v>688</v>
      </c>
      <c r="E11" s="11">
        <v>854</v>
      </c>
    </row>
    <row r="12" spans="1:5" ht="21.95" customHeight="1" x14ac:dyDescent="0.25">
      <c r="A12" s="11">
        <v>3</v>
      </c>
      <c r="B12" s="11" t="s">
        <v>669</v>
      </c>
      <c r="C12" s="11">
        <v>1731</v>
      </c>
      <c r="D12" s="11">
        <v>805</v>
      </c>
      <c r="E12" s="11">
        <v>926</v>
      </c>
    </row>
    <row r="13" spans="1:5" ht="21.95" customHeight="1" x14ac:dyDescent="0.25">
      <c r="A13" s="11"/>
      <c r="B13" s="10" t="s">
        <v>1773</v>
      </c>
      <c r="C13" s="24">
        <f>SUM(C14:C58)</f>
        <v>129654</v>
      </c>
      <c r="D13" s="24">
        <f t="shared" ref="D13:E13" si="2">SUM(D14:D58)</f>
        <v>60249</v>
      </c>
      <c r="E13" s="24">
        <f t="shared" si="2"/>
        <v>69405</v>
      </c>
    </row>
    <row r="14" spans="1:5" ht="21.95" customHeight="1" x14ac:dyDescent="0.25">
      <c r="A14" s="11">
        <v>1</v>
      </c>
      <c r="B14" s="11" t="s">
        <v>1683</v>
      </c>
      <c r="C14" s="11">
        <v>2978</v>
      </c>
      <c r="D14" s="11">
        <v>1342</v>
      </c>
      <c r="E14" s="11">
        <v>1636</v>
      </c>
    </row>
    <row r="15" spans="1:5" ht="21.95" customHeight="1" x14ac:dyDescent="0.25">
      <c r="A15" s="11">
        <v>2</v>
      </c>
      <c r="B15" s="11" t="s">
        <v>168</v>
      </c>
      <c r="C15" s="11">
        <v>2644</v>
      </c>
      <c r="D15" s="11">
        <v>1168</v>
      </c>
      <c r="E15" s="11">
        <v>1476</v>
      </c>
    </row>
    <row r="16" spans="1:5" ht="21.95" customHeight="1" x14ac:dyDescent="0.25">
      <c r="A16" s="11">
        <v>3</v>
      </c>
      <c r="B16" s="11" t="s">
        <v>1684</v>
      </c>
      <c r="C16" s="11">
        <v>1423</v>
      </c>
      <c r="D16" s="11">
        <v>618</v>
      </c>
      <c r="E16" s="11">
        <v>805</v>
      </c>
    </row>
    <row r="17" spans="1:5" ht="21.95" customHeight="1" x14ac:dyDescent="0.25">
      <c r="A17" s="11">
        <v>4</v>
      </c>
      <c r="B17" s="11" t="s">
        <v>1685</v>
      </c>
      <c r="C17" s="11">
        <v>3715</v>
      </c>
      <c r="D17" s="11">
        <v>1666</v>
      </c>
      <c r="E17" s="11">
        <v>2049</v>
      </c>
    </row>
    <row r="18" spans="1:5" ht="21.95" customHeight="1" x14ac:dyDescent="0.25">
      <c r="A18" s="11">
        <v>5</v>
      </c>
      <c r="B18" s="11" t="s">
        <v>1686</v>
      </c>
      <c r="C18" s="11">
        <v>2038</v>
      </c>
      <c r="D18" s="11">
        <v>911</v>
      </c>
      <c r="E18" s="11">
        <v>1127</v>
      </c>
    </row>
    <row r="19" spans="1:5" ht="21.95" customHeight="1" x14ac:dyDescent="0.25">
      <c r="A19" s="11">
        <v>6</v>
      </c>
      <c r="B19" s="11" t="s">
        <v>1199</v>
      </c>
      <c r="C19" s="11">
        <v>2510</v>
      </c>
      <c r="D19" s="11">
        <v>1140</v>
      </c>
      <c r="E19" s="11">
        <v>1370</v>
      </c>
    </row>
    <row r="20" spans="1:5" ht="21.95" customHeight="1" x14ac:dyDescent="0.25">
      <c r="A20" s="11">
        <v>7</v>
      </c>
      <c r="B20" s="11" t="s">
        <v>1687</v>
      </c>
      <c r="C20" s="11">
        <v>2724</v>
      </c>
      <c r="D20" s="11">
        <v>1176</v>
      </c>
      <c r="E20" s="11">
        <v>1548</v>
      </c>
    </row>
    <row r="21" spans="1:5" ht="21.95" customHeight="1" x14ac:dyDescent="0.25">
      <c r="A21" s="11">
        <v>8</v>
      </c>
      <c r="B21" s="11" t="s">
        <v>1688</v>
      </c>
      <c r="C21" s="11">
        <v>2080</v>
      </c>
      <c r="D21" s="11">
        <v>879</v>
      </c>
      <c r="E21" s="11">
        <v>1201</v>
      </c>
    </row>
    <row r="22" spans="1:5" ht="21.95" customHeight="1" x14ac:dyDescent="0.25">
      <c r="A22" s="11">
        <v>9</v>
      </c>
      <c r="B22" s="11" t="s">
        <v>1689</v>
      </c>
      <c r="C22" s="11">
        <v>1303</v>
      </c>
      <c r="D22" s="11">
        <v>594</v>
      </c>
      <c r="E22" s="11">
        <v>709</v>
      </c>
    </row>
    <row r="23" spans="1:5" ht="21.95" customHeight="1" x14ac:dyDescent="0.25">
      <c r="A23" s="11">
        <v>10</v>
      </c>
      <c r="B23" s="11" t="s">
        <v>1690</v>
      </c>
      <c r="C23" s="11">
        <v>4734</v>
      </c>
      <c r="D23" s="11">
        <v>2121</v>
      </c>
      <c r="E23" s="11">
        <v>2613</v>
      </c>
    </row>
    <row r="24" spans="1:5" ht="21.95" customHeight="1" x14ac:dyDescent="0.25">
      <c r="A24" s="11">
        <v>11</v>
      </c>
      <c r="B24" s="11" t="s">
        <v>1691</v>
      </c>
      <c r="C24" s="11">
        <v>1911</v>
      </c>
      <c r="D24" s="11">
        <v>868</v>
      </c>
      <c r="E24" s="11">
        <v>1043</v>
      </c>
    </row>
    <row r="25" spans="1:5" ht="21.95" customHeight="1" x14ac:dyDescent="0.25">
      <c r="A25" s="11">
        <v>12</v>
      </c>
      <c r="B25" s="11" t="s">
        <v>1692</v>
      </c>
      <c r="C25" s="11">
        <v>2365</v>
      </c>
      <c r="D25" s="11">
        <v>1133</v>
      </c>
      <c r="E25" s="11">
        <v>1232</v>
      </c>
    </row>
    <row r="26" spans="1:5" ht="21.95" customHeight="1" x14ac:dyDescent="0.25">
      <c r="A26" s="11">
        <v>13</v>
      </c>
      <c r="B26" s="11" t="s">
        <v>1693</v>
      </c>
      <c r="C26" s="11">
        <v>3719</v>
      </c>
      <c r="D26" s="11">
        <v>1890</v>
      </c>
      <c r="E26" s="11">
        <v>1829</v>
      </c>
    </row>
    <row r="27" spans="1:5" ht="21.95" customHeight="1" x14ac:dyDescent="0.25">
      <c r="A27" s="11">
        <v>14</v>
      </c>
      <c r="B27" s="11" t="s">
        <v>1694</v>
      </c>
      <c r="C27" s="11">
        <v>1788</v>
      </c>
      <c r="D27" s="11">
        <v>837</v>
      </c>
      <c r="E27" s="11">
        <v>951</v>
      </c>
    </row>
    <row r="28" spans="1:5" ht="21.95" customHeight="1" x14ac:dyDescent="0.25">
      <c r="A28" s="11">
        <v>15</v>
      </c>
      <c r="B28" s="11" t="s">
        <v>1695</v>
      </c>
      <c r="C28" s="11">
        <v>3253</v>
      </c>
      <c r="D28" s="11">
        <v>1541</v>
      </c>
      <c r="E28" s="11">
        <v>1712</v>
      </c>
    </row>
    <row r="29" spans="1:5" ht="21.95" customHeight="1" x14ac:dyDescent="0.25">
      <c r="A29" s="11">
        <v>16</v>
      </c>
      <c r="B29" s="11" t="s">
        <v>1696</v>
      </c>
      <c r="C29" s="11">
        <v>2783</v>
      </c>
      <c r="D29" s="11">
        <v>1269</v>
      </c>
      <c r="E29" s="11">
        <v>1514</v>
      </c>
    </row>
    <row r="30" spans="1:5" ht="21.95" customHeight="1" x14ac:dyDescent="0.25">
      <c r="A30" s="11">
        <v>17</v>
      </c>
      <c r="B30" s="11" t="s">
        <v>1697</v>
      </c>
      <c r="C30" s="11">
        <v>1937</v>
      </c>
      <c r="D30" s="11">
        <v>895</v>
      </c>
      <c r="E30" s="11">
        <v>1042</v>
      </c>
    </row>
    <row r="31" spans="1:5" ht="21.95" customHeight="1" x14ac:dyDescent="0.25">
      <c r="A31" s="11">
        <v>18</v>
      </c>
      <c r="B31" s="11" t="s">
        <v>1698</v>
      </c>
      <c r="C31" s="11">
        <v>3392</v>
      </c>
      <c r="D31" s="11">
        <v>1463</v>
      </c>
      <c r="E31" s="11">
        <v>1929</v>
      </c>
    </row>
    <row r="32" spans="1:5" ht="21.95" customHeight="1" x14ac:dyDescent="0.25">
      <c r="A32" s="11">
        <v>19</v>
      </c>
      <c r="B32" s="11" t="s">
        <v>1699</v>
      </c>
      <c r="C32" s="11">
        <v>2782</v>
      </c>
      <c r="D32" s="11">
        <v>1357</v>
      </c>
      <c r="E32" s="11">
        <v>1425</v>
      </c>
    </row>
    <row r="33" spans="1:5" ht="21.95" customHeight="1" x14ac:dyDescent="0.25">
      <c r="A33" s="11">
        <v>20</v>
      </c>
      <c r="B33" s="11" t="s">
        <v>1700</v>
      </c>
      <c r="C33" s="11">
        <v>2041</v>
      </c>
      <c r="D33" s="11">
        <v>981</v>
      </c>
      <c r="E33" s="11">
        <v>1060</v>
      </c>
    </row>
    <row r="34" spans="1:5" ht="21.95" customHeight="1" x14ac:dyDescent="0.25">
      <c r="A34" s="11">
        <v>21</v>
      </c>
      <c r="B34" s="11" t="s">
        <v>1701</v>
      </c>
      <c r="C34" s="11">
        <v>3561</v>
      </c>
      <c r="D34" s="11">
        <v>1720</v>
      </c>
      <c r="E34" s="11">
        <v>1841</v>
      </c>
    </row>
    <row r="35" spans="1:5" ht="21.95" customHeight="1" x14ac:dyDescent="0.25">
      <c r="A35" s="11">
        <v>22</v>
      </c>
      <c r="B35" s="11" t="s">
        <v>789</v>
      </c>
      <c r="C35" s="11">
        <v>2552</v>
      </c>
      <c r="D35" s="11">
        <v>1148</v>
      </c>
      <c r="E35" s="11">
        <v>1404</v>
      </c>
    </row>
    <row r="36" spans="1:5" ht="21.95" customHeight="1" x14ac:dyDescent="0.25">
      <c r="A36" s="11">
        <v>23</v>
      </c>
      <c r="B36" s="11" t="s">
        <v>1702</v>
      </c>
      <c r="C36" s="11">
        <v>2693</v>
      </c>
      <c r="D36" s="11">
        <v>1302</v>
      </c>
      <c r="E36" s="11">
        <v>1391</v>
      </c>
    </row>
    <row r="37" spans="1:5" ht="21.95" customHeight="1" x14ac:dyDescent="0.25">
      <c r="A37" s="11">
        <v>24</v>
      </c>
      <c r="B37" s="11" t="s">
        <v>1703</v>
      </c>
      <c r="C37" s="11">
        <v>1815</v>
      </c>
      <c r="D37" s="11">
        <v>895</v>
      </c>
      <c r="E37" s="11">
        <v>920</v>
      </c>
    </row>
    <row r="38" spans="1:5" ht="21.95" customHeight="1" x14ac:dyDescent="0.25">
      <c r="A38" s="11">
        <v>25</v>
      </c>
      <c r="B38" s="11" t="s">
        <v>1704</v>
      </c>
      <c r="C38" s="11">
        <v>2916</v>
      </c>
      <c r="D38" s="11">
        <v>1321</v>
      </c>
      <c r="E38" s="11">
        <v>1595</v>
      </c>
    </row>
    <row r="39" spans="1:5" ht="21.95" customHeight="1" x14ac:dyDescent="0.25">
      <c r="A39" s="11">
        <v>26</v>
      </c>
      <c r="B39" s="11" t="s">
        <v>1705</v>
      </c>
      <c r="C39" s="11">
        <v>2068</v>
      </c>
      <c r="D39" s="11">
        <v>990</v>
      </c>
      <c r="E39" s="11">
        <v>1078</v>
      </c>
    </row>
    <row r="40" spans="1:5" ht="21.95" customHeight="1" x14ac:dyDescent="0.25">
      <c r="A40" s="11">
        <v>27</v>
      </c>
      <c r="B40" s="11" t="s">
        <v>1209</v>
      </c>
      <c r="C40" s="11">
        <v>3192</v>
      </c>
      <c r="D40" s="11">
        <v>1487</v>
      </c>
      <c r="E40" s="11">
        <v>1705</v>
      </c>
    </row>
    <row r="41" spans="1:5" ht="21.95" customHeight="1" x14ac:dyDescent="0.25">
      <c r="A41" s="11">
        <v>28</v>
      </c>
      <c r="B41" s="11" t="s">
        <v>1580</v>
      </c>
      <c r="C41" s="11">
        <v>2893</v>
      </c>
      <c r="D41" s="11">
        <v>1383</v>
      </c>
      <c r="E41" s="11">
        <v>1510</v>
      </c>
    </row>
    <row r="42" spans="1:5" ht="21.95" customHeight="1" x14ac:dyDescent="0.25">
      <c r="A42" s="11">
        <v>29</v>
      </c>
      <c r="B42" s="11" t="s">
        <v>1706</v>
      </c>
      <c r="C42" s="11">
        <v>1562</v>
      </c>
      <c r="D42" s="11">
        <v>739</v>
      </c>
      <c r="E42" s="11">
        <v>823</v>
      </c>
    </row>
    <row r="43" spans="1:5" ht="21.95" customHeight="1" x14ac:dyDescent="0.25">
      <c r="A43" s="11">
        <v>30</v>
      </c>
      <c r="B43" s="11" t="s">
        <v>1707</v>
      </c>
      <c r="C43" s="11">
        <v>1836</v>
      </c>
      <c r="D43" s="11">
        <v>899</v>
      </c>
      <c r="E43" s="11">
        <v>937</v>
      </c>
    </row>
    <row r="44" spans="1:5" ht="21.95" customHeight="1" x14ac:dyDescent="0.25">
      <c r="A44" s="11">
        <v>31</v>
      </c>
      <c r="B44" s="11" t="s">
        <v>1708</v>
      </c>
      <c r="C44" s="11">
        <v>4121</v>
      </c>
      <c r="D44" s="11">
        <v>1904</v>
      </c>
      <c r="E44" s="11">
        <v>2217</v>
      </c>
    </row>
    <row r="45" spans="1:5" ht="21.95" customHeight="1" x14ac:dyDescent="0.25">
      <c r="A45" s="11">
        <v>32</v>
      </c>
      <c r="B45" s="11" t="s">
        <v>1709</v>
      </c>
      <c r="C45" s="11">
        <v>2094</v>
      </c>
      <c r="D45" s="11">
        <v>924</v>
      </c>
      <c r="E45" s="11">
        <v>1170</v>
      </c>
    </row>
    <row r="46" spans="1:5" ht="21.95" customHeight="1" x14ac:dyDescent="0.25">
      <c r="A46" s="11">
        <v>33</v>
      </c>
      <c r="B46" s="11" t="s">
        <v>1710</v>
      </c>
      <c r="C46" s="11">
        <v>3157</v>
      </c>
      <c r="D46" s="11">
        <v>1487</v>
      </c>
      <c r="E46" s="11">
        <v>1670</v>
      </c>
    </row>
    <row r="47" spans="1:5" ht="21.95" customHeight="1" x14ac:dyDescent="0.25">
      <c r="A47" s="11">
        <v>34</v>
      </c>
      <c r="B47" s="11" t="s">
        <v>1711</v>
      </c>
      <c r="C47" s="11">
        <v>910</v>
      </c>
      <c r="D47" s="11">
        <v>440</v>
      </c>
      <c r="E47" s="11">
        <v>470</v>
      </c>
    </row>
    <row r="48" spans="1:5" ht="21.95" customHeight="1" x14ac:dyDescent="0.25">
      <c r="A48" s="11">
        <v>35</v>
      </c>
      <c r="B48" s="11" t="s">
        <v>1712</v>
      </c>
      <c r="C48" s="11">
        <v>3492</v>
      </c>
      <c r="D48" s="11">
        <v>1801</v>
      </c>
      <c r="E48" s="11">
        <v>1691</v>
      </c>
    </row>
    <row r="49" spans="1:6" ht="21.95" customHeight="1" x14ac:dyDescent="0.25">
      <c r="A49" s="11">
        <v>36</v>
      </c>
      <c r="B49" s="11" t="s">
        <v>1713</v>
      </c>
      <c r="C49" s="11">
        <v>3456</v>
      </c>
      <c r="D49" s="11">
        <v>1531</v>
      </c>
      <c r="E49" s="11">
        <v>1925</v>
      </c>
    </row>
    <row r="50" spans="1:6" ht="21.95" customHeight="1" x14ac:dyDescent="0.25">
      <c r="A50" s="11">
        <v>37</v>
      </c>
      <c r="B50" s="11" t="s">
        <v>1714</v>
      </c>
      <c r="C50" s="11">
        <v>3390</v>
      </c>
      <c r="D50" s="11">
        <v>1585</v>
      </c>
      <c r="E50" s="11">
        <v>1805</v>
      </c>
    </row>
    <row r="51" spans="1:6" ht="21.95" customHeight="1" x14ac:dyDescent="0.25">
      <c r="A51" s="11">
        <v>38</v>
      </c>
      <c r="B51" s="11" t="s">
        <v>1715</v>
      </c>
      <c r="C51" s="11">
        <v>2848</v>
      </c>
      <c r="D51" s="11">
        <v>1220</v>
      </c>
      <c r="E51" s="11">
        <v>1628</v>
      </c>
    </row>
    <row r="52" spans="1:6" ht="21.95" customHeight="1" x14ac:dyDescent="0.25">
      <c r="A52" s="11">
        <v>39</v>
      </c>
      <c r="B52" s="11" t="s">
        <v>1716</v>
      </c>
      <c r="C52" s="11">
        <v>3988</v>
      </c>
      <c r="D52" s="11">
        <v>1755</v>
      </c>
      <c r="E52" s="11">
        <v>2233</v>
      </c>
    </row>
    <row r="53" spans="1:6" ht="21.95" customHeight="1" x14ac:dyDescent="0.25">
      <c r="A53" s="11">
        <v>40</v>
      </c>
      <c r="B53" s="11" t="s">
        <v>1717</v>
      </c>
      <c r="C53" s="11">
        <v>2825</v>
      </c>
      <c r="D53" s="11">
        <v>1258</v>
      </c>
      <c r="E53" s="11">
        <v>1567</v>
      </c>
    </row>
    <row r="54" spans="1:6" ht="21.95" customHeight="1" x14ac:dyDescent="0.25">
      <c r="A54" s="11">
        <v>41</v>
      </c>
      <c r="B54" s="11" t="s">
        <v>1718</v>
      </c>
      <c r="C54" s="11">
        <v>1851</v>
      </c>
      <c r="D54" s="11">
        <v>851</v>
      </c>
      <c r="E54" s="11">
        <v>1000</v>
      </c>
    </row>
    <row r="55" spans="1:6" ht="21.95" customHeight="1" x14ac:dyDescent="0.25">
      <c r="A55" s="11">
        <v>42</v>
      </c>
      <c r="B55" s="11" t="s">
        <v>1719</v>
      </c>
      <c r="C55" s="11">
        <v>5694</v>
      </c>
      <c r="D55" s="11">
        <v>2692</v>
      </c>
      <c r="E55" s="11">
        <v>3002</v>
      </c>
    </row>
    <row r="56" spans="1:6" ht="21.95" customHeight="1" x14ac:dyDescent="0.25">
      <c r="A56" s="11">
        <v>43</v>
      </c>
      <c r="B56" s="11" t="s">
        <v>1720</v>
      </c>
      <c r="C56" s="11">
        <v>4041</v>
      </c>
      <c r="D56" s="11">
        <v>1869</v>
      </c>
      <c r="E56" s="11">
        <v>2172</v>
      </c>
    </row>
    <row r="57" spans="1:6" ht="21.95" customHeight="1" x14ac:dyDescent="0.25">
      <c r="A57" s="11">
        <v>44</v>
      </c>
      <c r="B57" s="11" t="s">
        <v>95</v>
      </c>
      <c r="C57" s="11">
        <v>6531</v>
      </c>
      <c r="D57" s="11">
        <v>3194</v>
      </c>
      <c r="E57" s="11">
        <v>3337</v>
      </c>
    </row>
    <row r="58" spans="1:6" ht="21.95" customHeight="1" x14ac:dyDescent="0.25">
      <c r="A58" s="12">
        <v>45</v>
      </c>
      <c r="B58" s="12" t="s">
        <v>1721</v>
      </c>
      <c r="C58" s="12">
        <v>4048</v>
      </c>
      <c r="D58" s="12">
        <v>2005</v>
      </c>
      <c r="E58" s="12">
        <v>2043</v>
      </c>
      <c r="F58" s="47"/>
    </row>
    <row r="59" spans="1:6" ht="15.75" x14ac:dyDescent="0.25">
      <c r="A59" s="18"/>
      <c r="B59" s="18"/>
      <c r="C59" s="18"/>
      <c r="D59" s="18"/>
      <c r="E59" s="18"/>
      <c r="F59" s="6"/>
    </row>
    <row r="60" spans="1:6" ht="15.75" x14ac:dyDescent="0.25">
      <c r="A60" s="20"/>
      <c r="B60" s="20"/>
      <c r="C60" s="20"/>
      <c r="D60" s="20"/>
      <c r="E60" s="20"/>
      <c r="F60" s="6"/>
    </row>
    <row r="61" spans="1:6" ht="15.75" x14ac:dyDescent="0.25">
      <c r="A61" s="20"/>
      <c r="B61" s="20"/>
      <c r="C61" s="20"/>
      <c r="D61" s="20"/>
      <c r="E61" s="20"/>
      <c r="F61" s="6"/>
    </row>
    <row r="62" spans="1:6" ht="15.75" x14ac:dyDescent="0.25">
      <c r="A62" s="20"/>
      <c r="B62" s="20"/>
      <c r="C62" s="20"/>
      <c r="D62" s="20"/>
      <c r="E62" s="20"/>
      <c r="F62" s="6"/>
    </row>
    <row r="63" spans="1:6" ht="15.75" x14ac:dyDescent="0.25">
      <c r="A63" s="20"/>
      <c r="B63" s="20"/>
      <c r="C63" s="20"/>
      <c r="D63" s="20"/>
      <c r="E63" s="20"/>
      <c r="F63" s="6"/>
    </row>
    <row r="64" spans="1:6" ht="15.75" x14ac:dyDescent="0.25">
      <c r="A64" s="20"/>
      <c r="B64" s="20"/>
      <c r="C64" s="20"/>
      <c r="D64" s="20"/>
      <c r="E64" s="20"/>
      <c r="F64" s="6"/>
    </row>
    <row r="65" spans="1:6" ht="15.75" x14ac:dyDescent="0.25">
      <c r="A65" s="20"/>
      <c r="B65" s="20"/>
      <c r="C65" s="20"/>
      <c r="D65" s="20"/>
      <c r="E65" s="20"/>
      <c r="F65" s="6"/>
    </row>
    <row r="66" spans="1:6" ht="15.75" x14ac:dyDescent="0.25">
      <c r="A66" s="20"/>
      <c r="B66" s="20"/>
      <c r="C66" s="20"/>
      <c r="D66" s="20"/>
      <c r="E66" s="20"/>
      <c r="F66" s="6"/>
    </row>
    <row r="67" spans="1:6" ht="15.75" x14ac:dyDescent="0.25">
      <c r="A67" s="20"/>
      <c r="B67" s="20"/>
      <c r="C67" s="20"/>
      <c r="D67" s="20"/>
      <c r="E67" s="20"/>
      <c r="F67" s="6"/>
    </row>
    <row r="68" spans="1:6" ht="15.75" x14ac:dyDescent="0.25">
      <c r="A68" s="20"/>
      <c r="B68" s="20"/>
      <c r="C68" s="20"/>
      <c r="D68" s="20"/>
      <c r="E68" s="20"/>
      <c r="F68" s="6"/>
    </row>
    <row r="69" spans="1:6" ht="15.75" x14ac:dyDescent="0.25">
      <c r="A69" s="20"/>
      <c r="B69" s="20"/>
      <c r="C69" s="20"/>
      <c r="D69" s="20"/>
      <c r="E69" s="20"/>
      <c r="F69" s="6"/>
    </row>
    <row r="70" spans="1:6" ht="15.75" x14ac:dyDescent="0.25">
      <c r="A70" s="20"/>
      <c r="B70" s="20"/>
      <c r="C70" s="20"/>
      <c r="D70" s="20"/>
      <c r="E70" s="20"/>
      <c r="F70" s="6"/>
    </row>
    <row r="71" spans="1:6" ht="15.75" x14ac:dyDescent="0.25">
      <c r="A71" s="20"/>
      <c r="B71" s="20"/>
      <c r="C71" s="20"/>
      <c r="D71" s="20"/>
      <c r="E71" s="20"/>
      <c r="F71" s="6"/>
    </row>
    <row r="72" spans="1:6" x14ac:dyDescent="0.25">
      <c r="A72" s="6"/>
      <c r="B72" s="6"/>
      <c r="C72" s="6"/>
      <c r="D72" s="6"/>
      <c r="E72" s="6"/>
      <c r="F72" s="6"/>
    </row>
    <row r="73" spans="1:6" x14ac:dyDescent="0.25">
      <c r="A73" s="6"/>
      <c r="B73" s="6"/>
      <c r="C73" s="6"/>
      <c r="D73" s="6"/>
      <c r="E73" s="6"/>
      <c r="F73" s="6"/>
    </row>
    <row r="74" spans="1:6" x14ac:dyDescent="0.25">
      <c r="A74" s="6"/>
      <c r="B74" s="6"/>
      <c r="C74" s="6"/>
      <c r="D74" s="6"/>
      <c r="E74" s="6"/>
      <c r="F74" s="6"/>
    </row>
    <row r="75" spans="1:6" x14ac:dyDescent="0.25">
      <c r="A75" s="6"/>
      <c r="B75" s="6"/>
      <c r="C75" s="6"/>
      <c r="D75" s="6"/>
      <c r="E75" s="6"/>
      <c r="F75" s="6"/>
    </row>
    <row r="76" spans="1:6" x14ac:dyDescent="0.25">
      <c r="A76" s="6"/>
      <c r="B76" s="6"/>
      <c r="C76" s="6"/>
      <c r="D76" s="6"/>
      <c r="E76" s="6"/>
      <c r="F76" s="6"/>
    </row>
    <row r="77" spans="1:6" x14ac:dyDescent="0.25">
      <c r="A77" s="6"/>
      <c r="B77" s="6"/>
      <c r="C77" s="6"/>
      <c r="D77" s="6"/>
      <c r="E77" s="6"/>
      <c r="F77" s="6"/>
    </row>
    <row r="78" spans="1:6" x14ac:dyDescent="0.25">
      <c r="A78" s="6"/>
      <c r="B78" s="6"/>
      <c r="C78" s="6"/>
      <c r="D78" s="6"/>
      <c r="E78" s="6"/>
      <c r="F78" s="6"/>
    </row>
    <row r="79" spans="1:6" x14ac:dyDescent="0.25">
      <c r="A79" s="6"/>
      <c r="B79" s="6"/>
      <c r="C79" s="6"/>
      <c r="D79" s="6"/>
      <c r="E79" s="6"/>
      <c r="F79" s="6"/>
    </row>
    <row r="80" spans="1:6" x14ac:dyDescent="0.25">
      <c r="A80" s="6"/>
      <c r="B80" s="6"/>
      <c r="C80" s="6"/>
      <c r="D80" s="6"/>
      <c r="E80" s="6"/>
      <c r="F80" s="6"/>
    </row>
    <row r="81" spans="1:6" x14ac:dyDescent="0.25">
      <c r="A81" s="6"/>
      <c r="B81" s="6"/>
      <c r="C81" s="6"/>
      <c r="D81" s="6"/>
      <c r="E81" s="6"/>
      <c r="F81" s="6"/>
    </row>
    <row r="82" spans="1:6" x14ac:dyDescent="0.25">
      <c r="A82" s="6"/>
      <c r="B82" s="6"/>
      <c r="C82" s="6"/>
      <c r="D82" s="6"/>
      <c r="E82" s="6"/>
      <c r="F82" s="6"/>
    </row>
    <row r="83" spans="1:6" x14ac:dyDescent="0.25">
      <c r="A83" s="6"/>
      <c r="B83" s="6"/>
      <c r="C83" s="6"/>
      <c r="D83" s="6"/>
      <c r="E83" s="6"/>
      <c r="F83" s="6"/>
    </row>
    <row r="84" spans="1:6" x14ac:dyDescent="0.25">
      <c r="A84" s="6"/>
      <c r="B84" s="6"/>
      <c r="C84" s="6"/>
      <c r="D84" s="6"/>
      <c r="E84" s="6"/>
      <c r="F84" s="6"/>
    </row>
    <row r="85" spans="1:6" x14ac:dyDescent="0.25">
      <c r="A85" s="6"/>
      <c r="B85" s="6"/>
      <c r="C85" s="6"/>
      <c r="D85" s="6"/>
      <c r="E85" s="6"/>
      <c r="F85" s="6"/>
    </row>
    <row r="86" spans="1:6" x14ac:dyDescent="0.25">
      <c r="A86" s="6"/>
      <c r="B86" s="6"/>
      <c r="C86" s="6"/>
      <c r="D86" s="6"/>
      <c r="E86" s="6"/>
      <c r="F86" s="6"/>
    </row>
    <row r="87" spans="1:6" x14ac:dyDescent="0.25">
      <c r="A87" s="6"/>
      <c r="B87" s="6"/>
      <c r="C87" s="6"/>
      <c r="D87" s="6"/>
      <c r="E87" s="6"/>
      <c r="F87" s="6"/>
    </row>
    <row r="88" spans="1:6" x14ac:dyDescent="0.25">
      <c r="A88" s="6"/>
      <c r="B88" s="6"/>
      <c r="C88" s="6"/>
      <c r="D88" s="6"/>
      <c r="E88" s="6"/>
      <c r="F88" s="6"/>
    </row>
    <row r="89" spans="1:6" x14ac:dyDescent="0.25">
      <c r="A89" s="6"/>
      <c r="B89" s="6"/>
      <c r="C89" s="6"/>
      <c r="D89" s="6"/>
      <c r="E89" s="6"/>
      <c r="F89" s="6"/>
    </row>
    <row r="90" spans="1:6" x14ac:dyDescent="0.25">
      <c r="A90" s="6"/>
      <c r="B90" s="6"/>
      <c r="C90" s="6"/>
      <c r="D90" s="6"/>
      <c r="E90" s="6"/>
      <c r="F90" s="6"/>
    </row>
    <row r="91" spans="1:6" x14ac:dyDescent="0.25">
      <c r="A91" s="6"/>
      <c r="B91" s="6"/>
      <c r="C91" s="6"/>
      <c r="D91" s="6"/>
      <c r="E91" s="6"/>
      <c r="F91" s="6"/>
    </row>
    <row r="92" spans="1:6" x14ac:dyDescent="0.25">
      <c r="A92" s="6"/>
      <c r="B92" s="6"/>
      <c r="C92" s="6"/>
      <c r="D92" s="6"/>
      <c r="E92" s="6"/>
      <c r="F92" s="6"/>
    </row>
    <row r="93" spans="1:6" x14ac:dyDescent="0.25">
      <c r="A93" s="6"/>
      <c r="B93" s="6"/>
      <c r="C93" s="6"/>
      <c r="D93" s="6"/>
      <c r="E93" s="6"/>
      <c r="F93" s="6"/>
    </row>
    <row r="94" spans="1:6" x14ac:dyDescent="0.25">
      <c r="A94" s="6"/>
      <c r="B94" s="6"/>
      <c r="C94" s="6"/>
      <c r="D94" s="6"/>
      <c r="E94" s="6"/>
      <c r="F94" s="6"/>
    </row>
    <row r="95" spans="1:6" x14ac:dyDescent="0.25">
      <c r="A95" s="6"/>
      <c r="B95" s="6"/>
      <c r="C95" s="6"/>
      <c r="D95" s="6"/>
      <c r="E95" s="6"/>
      <c r="F95" s="6"/>
    </row>
    <row r="96" spans="1:6" x14ac:dyDescent="0.25">
      <c r="A96" s="6"/>
      <c r="B96" s="6"/>
      <c r="C96" s="6"/>
      <c r="D96" s="6"/>
      <c r="E96" s="6"/>
      <c r="F96" s="6"/>
    </row>
    <row r="97" spans="1:6" x14ac:dyDescent="0.25">
      <c r="A97" s="6"/>
      <c r="B97" s="6"/>
      <c r="C97" s="6"/>
      <c r="D97" s="6"/>
      <c r="E97" s="6"/>
      <c r="F97" s="6"/>
    </row>
    <row r="98" spans="1:6" x14ac:dyDescent="0.25">
      <c r="A98" s="6"/>
      <c r="B98" s="6"/>
      <c r="C98" s="6"/>
      <c r="D98" s="6"/>
      <c r="E98" s="6"/>
      <c r="F98" s="6"/>
    </row>
    <row r="99" spans="1:6" x14ac:dyDescent="0.25">
      <c r="A99" s="6"/>
      <c r="B99" s="6"/>
      <c r="C99" s="6"/>
      <c r="D99" s="6"/>
      <c r="E99" s="6"/>
      <c r="F99" s="6"/>
    </row>
    <row r="100" spans="1:6" x14ac:dyDescent="0.25">
      <c r="A100" s="6"/>
      <c r="B100" s="6"/>
      <c r="C100" s="6"/>
      <c r="D100" s="6"/>
      <c r="E100" s="6"/>
      <c r="F100" s="6"/>
    </row>
    <row r="101" spans="1:6" x14ac:dyDescent="0.25">
      <c r="A101" s="6"/>
      <c r="B101" s="6"/>
      <c r="C101" s="6"/>
      <c r="D101" s="6"/>
      <c r="E101" s="6"/>
      <c r="F101" s="6"/>
    </row>
    <row r="102" spans="1:6" x14ac:dyDescent="0.25">
      <c r="A102" s="6"/>
      <c r="B102" s="6"/>
      <c r="C102" s="6"/>
      <c r="D102" s="6"/>
      <c r="E102" s="6"/>
      <c r="F102" s="6"/>
    </row>
    <row r="103" spans="1:6" x14ac:dyDescent="0.25">
      <c r="A103" s="6"/>
      <c r="B103" s="6"/>
      <c r="C103" s="6"/>
      <c r="D103" s="6"/>
      <c r="E103" s="6"/>
      <c r="F103" s="6"/>
    </row>
    <row r="104" spans="1:6" x14ac:dyDescent="0.25">
      <c r="A104" s="6"/>
      <c r="B104" s="6"/>
      <c r="C104" s="6"/>
      <c r="D104" s="6"/>
      <c r="E104" s="6"/>
      <c r="F104" s="6"/>
    </row>
    <row r="105" spans="1:6" x14ac:dyDescent="0.25">
      <c r="A105" s="6"/>
      <c r="B105" s="6"/>
      <c r="C105" s="6"/>
      <c r="D105" s="6"/>
      <c r="E105" s="6"/>
      <c r="F105" s="6"/>
    </row>
    <row r="106" spans="1:6" x14ac:dyDescent="0.25">
      <c r="A106" s="6"/>
      <c r="B106" s="6"/>
      <c r="C106" s="6"/>
      <c r="D106" s="6"/>
      <c r="E106" s="6"/>
      <c r="F106" s="6"/>
    </row>
    <row r="107" spans="1:6" x14ac:dyDescent="0.25">
      <c r="A107" s="6"/>
      <c r="B107" s="6"/>
      <c r="C107" s="6"/>
      <c r="D107" s="6"/>
      <c r="E107" s="6"/>
      <c r="F107" s="6"/>
    </row>
    <row r="108" spans="1:6" x14ac:dyDescent="0.25">
      <c r="A108" s="6"/>
      <c r="B108" s="6"/>
      <c r="C108" s="6"/>
      <c r="D108" s="6"/>
      <c r="E108" s="6"/>
      <c r="F108" s="6"/>
    </row>
    <row r="109" spans="1:6" x14ac:dyDescent="0.25">
      <c r="A109" s="6"/>
      <c r="B109" s="6"/>
      <c r="C109" s="6"/>
      <c r="D109" s="6"/>
      <c r="E109" s="6"/>
      <c r="F109" s="6"/>
    </row>
    <row r="110" spans="1:6" x14ac:dyDescent="0.25">
      <c r="A110" s="6"/>
      <c r="B110" s="6"/>
      <c r="C110" s="6"/>
      <c r="D110" s="6"/>
      <c r="E110" s="6"/>
      <c r="F110" s="6"/>
    </row>
    <row r="111" spans="1:6" x14ac:dyDescent="0.25">
      <c r="A111" s="6"/>
      <c r="B111" s="6"/>
      <c r="C111" s="6"/>
      <c r="D111" s="6"/>
      <c r="E111" s="6"/>
      <c r="F111" s="6"/>
    </row>
    <row r="112" spans="1:6" x14ac:dyDescent="0.25">
      <c r="A112" s="6"/>
      <c r="B112" s="6"/>
      <c r="C112" s="6"/>
      <c r="D112" s="6"/>
      <c r="E112" s="6"/>
      <c r="F112" s="6"/>
    </row>
    <row r="113" spans="1:6" x14ac:dyDescent="0.25">
      <c r="A113" s="6"/>
      <c r="B113" s="6"/>
      <c r="C113" s="6"/>
      <c r="D113" s="6"/>
      <c r="E113" s="6"/>
      <c r="F113" s="6"/>
    </row>
    <row r="114" spans="1:6" x14ac:dyDescent="0.25">
      <c r="A114" s="6"/>
      <c r="B114" s="6"/>
      <c r="C114" s="6"/>
      <c r="D114" s="6"/>
      <c r="E114" s="6"/>
      <c r="F114" s="6"/>
    </row>
  </sheetData>
  <mergeCells count="5">
    <mergeCell ref="A1:E1"/>
    <mergeCell ref="E2:E3"/>
    <mergeCell ref="A5:A6"/>
    <mergeCell ref="B5:B6"/>
    <mergeCell ref="C5:E5"/>
  </mergeCells>
  <hyperlinks>
    <hyperlink ref="A1:E1" location="'List of Township'!A1" display="Sagaing  Region,Yinmarpin  District , Kani Township"/>
  </hyperlinks>
  <pageMargins left="0.75" right="0.5" top="0.5" bottom="0.2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9</vt:i4>
      </vt:variant>
    </vt:vector>
  </HeadingPairs>
  <TitlesOfParts>
    <vt:vector size="56" baseType="lpstr">
      <vt:lpstr>List of Township</vt:lpstr>
      <vt:lpstr>Sagaing</vt:lpstr>
      <vt:lpstr>Myinmu</vt:lpstr>
      <vt:lpstr>Myaung</vt:lpstr>
      <vt:lpstr>Shwebo</vt:lpstr>
      <vt:lpstr>KhinU</vt:lpstr>
      <vt:lpstr>Wetlet</vt:lpstr>
      <vt:lpstr>Kambalu</vt:lpstr>
      <vt:lpstr>Kunhla</vt:lpstr>
      <vt:lpstr>Ye U</vt:lpstr>
      <vt:lpstr>Depayin</vt:lpstr>
      <vt:lpstr>Tasei</vt:lpstr>
      <vt:lpstr>Kyaukmyaung</vt:lpstr>
      <vt:lpstr>Momnywa</vt:lpstr>
      <vt:lpstr>Butalin</vt:lpstr>
      <vt:lpstr>Ayartaw</vt:lpstr>
      <vt:lpstr>Chaung Oo</vt:lpstr>
      <vt:lpstr>Katha</vt:lpstr>
      <vt:lpstr>Indaw</vt:lpstr>
      <vt:lpstr>Tigyaing</vt:lpstr>
      <vt:lpstr>Banmauk</vt:lpstr>
      <vt:lpstr>Kawlin</vt:lpstr>
      <vt:lpstr>Wuntho</vt:lpstr>
      <vt:lpstr>Pinlebu</vt:lpstr>
      <vt:lpstr>Kalay</vt:lpstr>
      <vt:lpstr>Kalewa</vt:lpstr>
      <vt:lpstr>Mingin</vt:lpstr>
      <vt:lpstr>Tamu</vt:lpstr>
      <vt:lpstr>Myothit(S)</vt:lpstr>
      <vt:lpstr>Khampat(S)</vt:lpstr>
      <vt:lpstr>Mawlaik</vt:lpstr>
      <vt:lpstr>Phaungpyin</vt:lpstr>
      <vt:lpstr>Hkamti</vt:lpstr>
      <vt:lpstr>Homalin</vt:lpstr>
      <vt:lpstr>Leshi</vt:lpstr>
      <vt:lpstr>Lahe</vt:lpstr>
      <vt:lpstr>Nanyun</vt:lpstr>
      <vt:lpstr>Mobaingluk(S)</vt:lpstr>
      <vt:lpstr>Sonemara(S)</vt:lpstr>
      <vt:lpstr>Htanparkway(S)</vt:lpstr>
      <vt:lpstr>Pansaung(S)</vt:lpstr>
      <vt:lpstr>Donhee(S)</vt:lpstr>
      <vt:lpstr>Yin MarPin</vt:lpstr>
      <vt:lpstr>Salingyi</vt:lpstr>
      <vt:lpstr>Palae</vt:lpstr>
      <vt:lpstr>Kani</vt:lpstr>
      <vt:lpstr>Sheet2</vt:lpstr>
      <vt:lpstr>Kalay!Print_Titles</vt:lpstr>
      <vt:lpstr>Kambalu!Print_Titles</vt:lpstr>
      <vt:lpstr>Kani!Print_Titles</vt:lpstr>
      <vt:lpstr>Kyaukmyaung!Print_Titles</vt:lpstr>
      <vt:lpstr>Myinmu!Print_Titles</vt:lpstr>
      <vt:lpstr>Palae!Print_Titles</vt:lpstr>
      <vt:lpstr>Sagaing!Print_Titles</vt:lpstr>
      <vt:lpstr>Salingyi!Print_Titles</vt:lpstr>
      <vt:lpstr>'Ye U'!Print_Titles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Sandar Myint</dc:creator>
  <cp:lastModifiedBy>Naing Phyo Kyaw</cp:lastModifiedBy>
  <cp:lastPrinted>2015-08-26T04:31:00Z</cp:lastPrinted>
  <dcterms:created xsi:type="dcterms:W3CDTF">2015-06-01T07:28:17Z</dcterms:created>
  <dcterms:modified xsi:type="dcterms:W3CDTF">2015-09-02T05:11:21Z</dcterms:modified>
</cp:coreProperties>
</file>