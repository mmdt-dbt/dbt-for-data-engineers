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0" windowWidth="21075" windowHeight="9210" tabRatio="926"/>
  </bookViews>
  <sheets>
    <sheet name="List of Township" sheetId="22" r:id="rId1"/>
    <sheet name="Hpa-an" sheetId="4" r:id="rId2"/>
    <sheet name="Hlaingbwe" sheetId="5" r:id="rId3"/>
    <sheet name="Thandaunggyi" sheetId="7" r:id="rId4"/>
    <sheet name="Paingkyon Sub-Tsb" sheetId="8" r:id="rId5"/>
    <sheet name="Shan Ywathit(Sub-Tsb)" sheetId="9" r:id="rId6"/>
    <sheet name="Leiktho (Sub-Tsb)" sheetId="10" r:id="rId7"/>
    <sheet name="Bawgali(Sub-TsB)" sheetId="11" r:id="rId8"/>
    <sheet name="Pharpon" sheetId="13" r:id="rId9"/>
    <sheet name="Kamamaung(Sub-Tsb)" sheetId="12" r:id="rId10"/>
    <sheet name="Myawady" sheetId="14" r:id="rId11"/>
    <sheet name="Sugali(Sub-Tsp)" sheetId="15" r:id="rId12"/>
    <sheet name="  Wawlaymyaing(Sub-Tsp)" sheetId="16" r:id="rId13"/>
    <sheet name="Kawkareik" sheetId="17" r:id="rId14"/>
    <sheet name="Kyarinseikkyi" sheetId="18" r:id="rId15"/>
    <sheet name=" Payarthonezu(Sub-Tsp)" sheetId="19" r:id="rId16"/>
    <sheet name="Kyaidon(S)" sheetId="20" r:id="rId17"/>
    <sheet name="Sheet2" sheetId="21" r:id="rId18"/>
  </sheets>
  <definedNames>
    <definedName name="_xlnm.Print_Titles" localSheetId="15">' Payarthonezu(Sub-Tsp)'!$1:$5</definedName>
    <definedName name="_xlnm.Print_Titles" localSheetId="2">Hlaingbwe!$1:$5</definedName>
    <definedName name="_xlnm.Print_Titles" localSheetId="1">'Hpa-an'!$1:$5</definedName>
    <definedName name="_xlnm.Print_Titles" localSheetId="13">Kawkareik!$1:$5</definedName>
    <definedName name="_xlnm.Print_Titles" localSheetId="16">'Kyaidon(S)'!$1:$5</definedName>
    <definedName name="_xlnm.Print_Titles" localSheetId="14">Kyarinseikkyi!$1:$5</definedName>
    <definedName name="_xlnm.Print_Titles" localSheetId="6">'Leiktho (Sub-Tsb)'!$1:$5</definedName>
    <definedName name="_xlnm.Print_Titles" localSheetId="4">'Paingkyon Sub-Tsb'!$1:$5</definedName>
    <definedName name="_xlnm.Print_Titles" localSheetId="3">Thandaunggyi!$1:$5</definedName>
  </definedNames>
  <calcPr calcId="145621"/>
</workbook>
</file>

<file path=xl/calcChain.xml><?xml version="1.0" encoding="utf-8"?>
<calcChain xmlns="http://schemas.openxmlformats.org/spreadsheetml/2006/main">
  <c r="B17" i="22" l="1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D15" i="20" l="1"/>
  <c r="E15" i="20"/>
  <c r="C15" i="20"/>
  <c r="D8" i="20"/>
  <c r="E8" i="20"/>
  <c r="C8" i="20"/>
  <c r="D13" i="19"/>
  <c r="E13" i="19"/>
  <c r="C13" i="19"/>
  <c r="D8" i="19"/>
  <c r="E8" i="19"/>
  <c r="C8" i="19"/>
  <c r="D15" i="18"/>
  <c r="E15" i="18"/>
  <c r="C15" i="18"/>
  <c r="D8" i="18"/>
  <c r="E8" i="18"/>
  <c r="C8" i="18"/>
  <c r="D21" i="17"/>
  <c r="E21" i="17"/>
  <c r="C21" i="17"/>
  <c r="D8" i="17"/>
  <c r="E8" i="17"/>
  <c r="C8" i="17"/>
  <c r="D11" i="16"/>
  <c r="E11" i="16"/>
  <c r="C11" i="16"/>
  <c r="D8" i="16"/>
  <c r="E8" i="16"/>
  <c r="C8" i="16"/>
  <c r="D10" i="15"/>
  <c r="E10" i="15"/>
  <c r="C10" i="15"/>
  <c r="D8" i="15"/>
  <c r="E8" i="15"/>
  <c r="C8" i="15"/>
  <c r="E14" i="14"/>
  <c r="D14" i="14"/>
  <c r="C14" i="14"/>
  <c r="E13" i="12"/>
  <c r="D13" i="12"/>
  <c r="C13" i="12"/>
  <c r="E8" i="12"/>
  <c r="D8" i="12"/>
  <c r="C8" i="12"/>
  <c r="E13" i="13"/>
  <c r="D13" i="13"/>
  <c r="C13" i="13"/>
  <c r="E8" i="13"/>
  <c r="D8" i="13"/>
  <c r="C8" i="13"/>
  <c r="D8" i="11"/>
  <c r="E8" i="11"/>
  <c r="D13" i="11"/>
  <c r="E13" i="11"/>
  <c r="C13" i="11"/>
  <c r="C8" i="11"/>
  <c r="D15" i="10"/>
  <c r="E15" i="10"/>
  <c r="C15" i="10"/>
  <c r="D8" i="10"/>
  <c r="E8" i="10"/>
  <c r="C8" i="10"/>
  <c r="D13" i="9"/>
  <c r="E13" i="9"/>
  <c r="C13" i="9"/>
  <c r="D8" i="9"/>
  <c r="E8" i="9"/>
  <c r="C8" i="9"/>
  <c r="D14" i="8"/>
  <c r="E14" i="8"/>
  <c r="C14" i="8"/>
  <c r="D8" i="8"/>
  <c r="E8" i="8"/>
  <c r="C8" i="8"/>
  <c r="D19" i="7"/>
  <c r="E19" i="7"/>
  <c r="C19" i="7"/>
  <c r="D8" i="7"/>
  <c r="E8" i="7"/>
  <c r="C8" i="7"/>
  <c r="D13" i="5"/>
  <c r="E13" i="5"/>
  <c r="C13" i="5"/>
  <c r="D8" i="5"/>
  <c r="E8" i="5"/>
  <c r="C8" i="5"/>
  <c r="D8" i="14" l="1"/>
  <c r="E8" i="14"/>
  <c r="C8" i="14"/>
  <c r="D18" i="4"/>
  <c r="E18" i="4"/>
  <c r="C18" i="4"/>
  <c r="D8" i="4"/>
  <c r="E8" i="4"/>
  <c r="C8" i="4"/>
</calcChain>
</file>

<file path=xl/sharedStrings.xml><?xml version="1.0" encoding="utf-8"?>
<sst xmlns="http://schemas.openxmlformats.org/spreadsheetml/2006/main" count="613" uniqueCount="413">
  <si>
    <t>Total</t>
  </si>
  <si>
    <t>Male</t>
  </si>
  <si>
    <t>Female</t>
  </si>
  <si>
    <t xml:space="preserve">            Tharyet Taw/Myaing Tha Zin/Kyar Inn(W)</t>
  </si>
  <si>
    <t xml:space="preserve">            Zay Tan(W)</t>
  </si>
  <si>
    <t xml:space="preserve">            Ku Seik(W)</t>
  </si>
  <si>
    <t xml:space="preserve">            Zee Taw(W)</t>
  </si>
  <si>
    <t xml:space="preserve">            Aung Nan Min Ga Lar(W)</t>
  </si>
  <si>
    <t xml:space="preserve">            Pyi Htaung Su(W)</t>
  </si>
  <si>
    <t xml:space="preserve">            Zwe Man Lwin(W)</t>
  </si>
  <si>
    <t xml:space="preserve">            Htaung Wi(W)</t>
  </si>
  <si>
    <t xml:space="preserve">            Ya Da Nar Di Pa(W)</t>
  </si>
  <si>
    <t xml:space="preserve">            Kawt Ta Yoke Ya(VT)</t>
  </si>
  <si>
    <t xml:space="preserve">            Kawt Hlaik(VT)</t>
  </si>
  <si>
    <t xml:space="preserve">            Kawt Than Khar(VT)</t>
  </si>
  <si>
    <t xml:space="preserve">            Kawt Ku(VT)</t>
  </si>
  <si>
    <t xml:space="preserve">            Kawt Hta Ma Lein(VT)</t>
  </si>
  <si>
    <t xml:space="preserve">            Kawt Kyaik (Hpa Aun)(VT)</t>
  </si>
  <si>
    <t xml:space="preserve">            Kawt Thin(VT)</t>
  </si>
  <si>
    <t xml:space="preserve">            Kawt La Mu(VT)</t>
  </si>
  <si>
    <t xml:space="preserve">            Kyon Hpe(VT)</t>
  </si>
  <si>
    <t xml:space="preserve">            Kawt Gun(Hpe Ka Tar)(VT)</t>
  </si>
  <si>
    <t xml:space="preserve">            Ku Lar Su(VT)</t>
  </si>
  <si>
    <t xml:space="preserve">            Kyon Sauk(VT)</t>
  </si>
  <si>
    <t xml:space="preserve">            Kawt Gun (Bar Kut)(VT)</t>
  </si>
  <si>
    <t xml:space="preserve">            Kawt Yin (Upper)(VT)</t>
  </si>
  <si>
    <t xml:space="preserve">            Kawt Yin (Lower)(VT)</t>
  </si>
  <si>
    <t xml:space="preserve">            Kawt Thin Shu (Hta Ma Taing)(VT)</t>
  </si>
  <si>
    <t xml:space="preserve">            Kawt Sein Ban (Upper)(VT)</t>
  </si>
  <si>
    <t xml:space="preserve">            Kawt Sein Ban (Lower)(VT)</t>
  </si>
  <si>
    <t xml:space="preserve">            Kawt Ka Dar(VT)</t>
  </si>
  <si>
    <t xml:space="preserve">            Kawt Mu Tar(VT)</t>
  </si>
  <si>
    <t xml:space="preserve">            Kawt Htaw(VT)</t>
  </si>
  <si>
    <t xml:space="preserve">            Kyon Ma Thwe(VT)</t>
  </si>
  <si>
    <t xml:space="preserve">            Kyauk Ta Lone(VT)</t>
  </si>
  <si>
    <t xml:space="preserve">            Kan Kha Ye(VT)</t>
  </si>
  <si>
    <t xml:space="preserve">            Kaw He(VT)</t>
  </si>
  <si>
    <t xml:space="preserve">            Kyon Htaw(VT)</t>
  </si>
  <si>
    <t xml:space="preserve">            Kha Ye Kan Nar(VT)</t>
  </si>
  <si>
    <t xml:space="preserve">            Kha Yar (Ah Pyin)(VT)</t>
  </si>
  <si>
    <t xml:space="preserve">            Kha Yar (Ah Twin)(VT)</t>
  </si>
  <si>
    <t xml:space="preserve">            Khe Tauk(VT)</t>
  </si>
  <si>
    <t xml:space="preserve">            Kha Lauk Htaung(VT)</t>
  </si>
  <si>
    <t xml:space="preserve">            Gyaing(VT)</t>
  </si>
  <si>
    <t xml:space="preserve">            San Hpa Ree(VT)</t>
  </si>
  <si>
    <t xml:space="preserve">            Sin Kyone(VT)</t>
  </si>
  <si>
    <t xml:space="preserve">            Zar Tha Pyin (East)(VT)</t>
  </si>
  <si>
    <t xml:space="preserve">            Zar Tha Pyin (West)(VT)</t>
  </si>
  <si>
    <t xml:space="preserve">            Ta Yoke Hla (Kawt Kyaik)(VT)</t>
  </si>
  <si>
    <t xml:space="preserve">            Taw Pon(VT)</t>
  </si>
  <si>
    <t xml:space="preserve">            Ta Kaung Boe(VT)</t>
  </si>
  <si>
    <t xml:space="preserve">            Ta Dar U(VT)</t>
  </si>
  <si>
    <t xml:space="preserve">            Ta Gay Laung(VT)</t>
  </si>
  <si>
    <t xml:space="preserve">            Me Tha Na(VT)</t>
  </si>
  <si>
    <t xml:space="preserve">            Htone Aing(VT)</t>
  </si>
  <si>
    <t xml:space="preserve">            Thar Ma Nya(VT)</t>
  </si>
  <si>
    <t xml:space="preserve">            Htaung Ka Lat(VT)</t>
  </si>
  <si>
    <t xml:space="preserve">            Naung Hta Lone(VT)</t>
  </si>
  <si>
    <t xml:space="preserve">            Naung Ka Myaing(VT)</t>
  </si>
  <si>
    <t xml:space="preserve">            Hnit Char(VT)</t>
  </si>
  <si>
    <t xml:space="preserve">            Naung Kyan(VT)</t>
  </si>
  <si>
    <t xml:space="preserve">            Naung Lon (West)(VT)</t>
  </si>
  <si>
    <t xml:space="preserve">            Naung Lon (East)(VT)</t>
  </si>
  <si>
    <t xml:space="preserve">            Naung Kone(VT)</t>
  </si>
  <si>
    <t xml:space="preserve">            Nat Hteik(VT)</t>
  </si>
  <si>
    <t xml:space="preserve">            Nat Kyun(VT)</t>
  </si>
  <si>
    <t xml:space="preserve">            Naung Pa Lein(VT)</t>
  </si>
  <si>
    <t xml:space="preserve">            Pawt Htaw(VT)</t>
  </si>
  <si>
    <t xml:space="preserve">            Pan Kone(VT)</t>
  </si>
  <si>
    <t xml:space="preserve">            Pyin Ma Pin Seik(VT)</t>
  </si>
  <si>
    <t xml:space="preserve">            Hpe Ka Tar(VT)</t>
  </si>
  <si>
    <t xml:space="preserve">            Hpa Aun(VT)</t>
  </si>
  <si>
    <t xml:space="preserve">            Byet Kha(VT)</t>
  </si>
  <si>
    <t xml:space="preserve">            Bar Kat(VT)</t>
  </si>
  <si>
    <t xml:space="preserve">            Bin Chi(VT)</t>
  </si>
  <si>
    <t xml:space="preserve">            Mee Zan(VT)</t>
  </si>
  <si>
    <t xml:space="preserve">            Min Zi(VT)</t>
  </si>
  <si>
    <t xml:space="preserve">            Hmaing Kan(VT)</t>
  </si>
  <si>
    <t xml:space="preserve">            Mi Kayin(VT)</t>
  </si>
  <si>
    <t xml:space="preserve">            Moke Ka Di(VT)</t>
  </si>
  <si>
    <t xml:space="preserve">            Myaing Ka Lay(VT)</t>
  </si>
  <si>
    <t xml:space="preserve">            Mi Tha Yaung(VT)</t>
  </si>
  <si>
    <t xml:space="preserve">            Mee Zaing(VT)</t>
  </si>
  <si>
    <t xml:space="preserve">            Shwe Taw(VT)</t>
  </si>
  <si>
    <t xml:space="preserve">            Ye Thar(VT)</t>
  </si>
  <si>
    <t xml:space="preserve">            Ya Thayt Pyan(VT)</t>
  </si>
  <si>
    <t xml:space="preserve">            Yae Kyaw(VT)</t>
  </si>
  <si>
    <t xml:space="preserve">            Hlaing Ka Bar(VT)</t>
  </si>
  <si>
    <t xml:space="preserve">            Hlar Kar(VT)</t>
  </si>
  <si>
    <t xml:space="preserve">            Hlar Ka Daung(VT)</t>
  </si>
  <si>
    <t xml:space="preserve">            Hlar Ka Myin(VT)</t>
  </si>
  <si>
    <t xml:space="preserve">            Let Kha Na(VT)</t>
  </si>
  <si>
    <t xml:space="preserve">            Lun Nya(VT)</t>
  </si>
  <si>
    <t xml:space="preserve">            Wea Gyi(VT)</t>
  </si>
  <si>
    <t xml:space="preserve">            Win Kyan(VT)</t>
  </si>
  <si>
    <t xml:space="preserve">            Wut Gyi(VT)</t>
  </si>
  <si>
    <t xml:space="preserve">            Than Hlei(VT)</t>
  </si>
  <si>
    <t xml:space="preserve">            Thar Yar Kone(VT)</t>
  </si>
  <si>
    <t xml:space="preserve">            Hat Ta Laik(VT)</t>
  </si>
  <si>
    <t xml:space="preserve">            Ohn Ta Pin(VT)</t>
  </si>
  <si>
    <t xml:space="preserve">            Ein De(VT)</t>
  </si>
  <si>
    <t xml:space="preserve">            Ein Du(VT)</t>
  </si>
  <si>
    <t xml:space="preserve">            Ei Hei(VT)</t>
  </si>
  <si>
    <t xml:space="preserve">            (Ka Gyi)(W)</t>
  </si>
  <si>
    <t xml:space="preserve">            (Kha Gway)(W)</t>
  </si>
  <si>
    <t xml:space="preserve">            (Ga Nge)(W)</t>
  </si>
  <si>
    <t xml:space="preserve">            (Ga Gyi)(W)</t>
  </si>
  <si>
    <t xml:space="preserve">            Ka Mawt Ka Chu(VT)</t>
  </si>
  <si>
    <t xml:space="preserve">            Kawt Hlaing(VT)</t>
  </si>
  <si>
    <t xml:space="preserve">            Win Sein(VT)</t>
  </si>
  <si>
    <t xml:space="preserve">            Naung Taing(VT)</t>
  </si>
  <si>
    <t xml:space="preserve">            Kun Bi(VT)</t>
  </si>
  <si>
    <t xml:space="preserve">            Pein Hne Taw(VT)</t>
  </si>
  <si>
    <t xml:space="preserve">            Kun Tar(VT)</t>
  </si>
  <si>
    <t xml:space="preserve">            Daing Pya(VT)</t>
  </si>
  <si>
    <t xml:space="preserve">            Sin Ku((VT)</t>
  </si>
  <si>
    <t xml:space="preserve">            Ah Htet Yae Pu(VT)</t>
  </si>
  <si>
    <t xml:space="preserve">            Auk Yae Pu(VT)</t>
  </si>
  <si>
    <t xml:space="preserve">            Hti Lon(VT)</t>
  </si>
  <si>
    <t xml:space="preserve">            Than Ban(W)</t>
  </si>
  <si>
    <t xml:space="preserve">            Naung Tha Nge(VT)</t>
  </si>
  <si>
    <t xml:space="preserve">            Tha Pu To(VT)</t>
  </si>
  <si>
    <t xml:space="preserve">            Tar Paung(VT)</t>
  </si>
  <si>
    <t xml:space="preserve">            Ka Ti Kan(VT)</t>
  </si>
  <si>
    <t xml:space="preserve">            Kawt Myat Gyi(VT)</t>
  </si>
  <si>
    <t xml:space="preserve">            Pat Kyaw(VT)</t>
  </si>
  <si>
    <t xml:space="preserve">            Nwet Pyin Nyar(VT)</t>
  </si>
  <si>
    <t xml:space="preserve">            Kyar Inn(VT)</t>
  </si>
  <si>
    <t xml:space="preserve">            Ka Mawt Le (Kyaung)(VT)</t>
  </si>
  <si>
    <t xml:space="preserve">            Ka Mawt Le (Ma Ae) (Ah Lel)(VT)</t>
  </si>
  <si>
    <t xml:space="preserve">            Shwe Gun(VT)</t>
  </si>
  <si>
    <t xml:space="preserve">            Ko Maung(VT)</t>
  </si>
  <si>
    <t xml:space="preserve">            Mya Lay(VT)</t>
  </si>
  <si>
    <t xml:space="preserve">            Inn No Theik Pan(VT)</t>
  </si>
  <si>
    <t xml:space="preserve">            Ta Wun Hpan Ya(VT)</t>
  </si>
  <si>
    <t xml:space="preserve">            Kyon Pa Ko(VT)</t>
  </si>
  <si>
    <t xml:space="preserve">            Kyoet Chaung(VT)</t>
  </si>
  <si>
    <t xml:space="preserve">            U Daung(VT)</t>
  </si>
  <si>
    <t xml:space="preserve">            Ta Khin Lone(VT)</t>
  </si>
  <si>
    <t xml:space="preserve">            Thar Yar Kone (Kat Pa Li)(VT)</t>
  </si>
  <si>
    <t xml:space="preserve">            Naw Kaw(VT)</t>
  </si>
  <si>
    <t xml:space="preserve">            Ta Khwet Hpoe(VT)</t>
  </si>
  <si>
    <t xml:space="preserve">            Hta Thein Kyoe Waing(VT)</t>
  </si>
  <si>
    <t xml:space="preserve">            No (1)(W)</t>
  </si>
  <si>
    <t xml:space="preserve">            No (2)(W)</t>
  </si>
  <si>
    <t xml:space="preserve">            No (3)(W)</t>
  </si>
  <si>
    <t xml:space="preserve">            No (4)(W)</t>
  </si>
  <si>
    <t xml:space="preserve">            No (5)(W)</t>
  </si>
  <si>
    <t xml:space="preserve">            Ywar Gyi(VT)</t>
  </si>
  <si>
    <t xml:space="preserve">            Si Pin Gyi(VT)</t>
  </si>
  <si>
    <t xml:space="preserve">            Si Pin Ka Lay(VT)</t>
  </si>
  <si>
    <t xml:space="preserve">            Kywe Hpyu Taung(VT)</t>
  </si>
  <si>
    <t xml:space="preserve">            Taw Pyar Gyi(VT)</t>
  </si>
  <si>
    <t xml:space="preserve">            Khon Taing(VT)</t>
  </si>
  <si>
    <t xml:space="preserve">            Maung Nwet Gyi(VT)</t>
  </si>
  <si>
    <t xml:space="preserve">            Leik Pyar Ka Lay(VT)</t>
  </si>
  <si>
    <t xml:space="preserve">            Leik Pyar Gyi(VT)</t>
  </si>
  <si>
    <t xml:space="preserve">            Dar War Law Chee(VT)</t>
  </si>
  <si>
    <t xml:space="preserve">            Lel Kho Doe Kho(VT)</t>
  </si>
  <si>
    <t xml:space="preserve">            Ka So(VT)</t>
  </si>
  <si>
    <t xml:space="preserve">            Naung Kha Lone(VT)</t>
  </si>
  <si>
    <t xml:space="preserve">            Moe Naing(VT)</t>
  </si>
  <si>
    <t xml:space="preserve">            Win Pa Ya(VT)</t>
  </si>
  <si>
    <t xml:space="preserve">            Naung Boe Gyi(VT)</t>
  </si>
  <si>
    <t xml:space="preserve">            Ywar Kaing Kaung(VT)</t>
  </si>
  <si>
    <t xml:space="preserve">            Kawt Nwet(VT)</t>
  </si>
  <si>
    <t xml:space="preserve">            Naung Mya Lwe(VT)</t>
  </si>
  <si>
    <t xml:space="preserve">            Kawt Pa Mut(VT)</t>
  </si>
  <si>
    <t xml:space="preserve">            Kawt Ma Yaing(VT)</t>
  </si>
  <si>
    <t xml:space="preserve">            Daw Lan(VT)</t>
  </si>
  <si>
    <t xml:space="preserve">            Pa Ta(VT)</t>
  </si>
  <si>
    <t xml:space="preserve">            Naung Khwee(VT)</t>
  </si>
  <si>
    <t xml:space="preserve">            Bi Sa Kat(VT)</t>
  </si>
  <si>
    <t xml:space="preserve">            Tar Ka Yar(VT)</t>
  </si>
  <si>
    <t xml:space="preserve">            Hti Hpoe Kein(VT)</t>
  </si>
  <si>
    <t xml:space="preserve">            Yae Pu Gyi(VT)</t>
  </si>
  <si>
    <t xml:space="preserve">            Kyet Tu Yway(VT)</t>
  </si>
  <si>
    <t xml:space="preserve">            Paw Lauk(VT)</t>
  </si>
  <si>
    <t xml:space="preserve">            Htan Ta Pin(VT)</t>
  </si>
  <si>
    <t xml:space="preserve">            Me Pa Ra(VT)</t>
  </si>
  <si>
    <t xml:space="preserve">            Tar Lel(VT)</t>
  </si>
  <si>
    <t xml:space="preserve">            Win Saw(VT)</t>
  </si>
  <si>
    <t xml:space="preserve">            Law Kaw(VT)</t>
  </si>
  <si>
    <t xml:space="preserve">            Mi Kyaung(VT)</t>
  </si>
  <si>
    <t xml:space="preserve">            Tha Mo(VT)</t>
  </si>
  <si>
    <t xml:space="preserve">            Paung(VT)</t>
  </si>
  <si>
    <t xml:space="preserve">            Me Law Khee(VT)</t>
  </si>
  <si>
    <t xml:space="preserve">            Me Tha Mu(VT)</t>
  </si>
  <si>
    <t xml:space="preserve">            Kwee Lay (VT)</t>
  </si>
  <si>
    <t xml:space="preserve">            Me La Yaw(VT)</t>
  </si>
  <si>
    <t xml:space="preserve">            Yin Baing(VT)</t>
  </si>
  <si>
    <t xml:space="preserve">            Saw Law(VT)</t>
  </si>
  <si>
    <t xml:space="preserve">            Yae Ta Khun(VT)</t>
  </si>
  <si>
    <t xml:space="preserve">            Pa Hta Lar Pa(VT)</t>
  </si>
  <si>
    <t xml:space="preserve">            Poe Pa Lay(VT)</t>
  </si>
  <si>
    <t xml:space="preserve">            No (6)(W)</t>
  </si>
  <si>
    <t xml:space="preserve">            Ah Lel Chaung(VT)</t>
  </si>
  <si>
    <t xml:space="preserve">            Maing Lun(VT)</t>
  </si>
  <si>
    <t xml:space="preserve">            Za Le(VT)</t>
  </si>
  <si>
    <t xml:space="preserve">            Thar Moe Taung(VT)</t>
  </si>
  <si>
    <t xml:space="preserve">            Leik Tho Gyi(VT)</t>
  </si>
  <si>
    <t xml:space="preserve">            La Bet Inn Gyi(VT)</t>
  </si>
  <si>
    <t xml:space="preserve">            Hta Mon(VT)</t>
  </si>
  <si>
    <t xml:space="preserve">            Kya Maing(VT)</t>
  </si>
  <si>
    <t xml:space="preserve">            Kyauk Ta Gar(VT)</t>
  </si>
  <si>
    <t xml:space="preserve">            Meik Tha Lin Taung(VT)</t>
  </si>
  <si>
    <t xml:space="preserve">            Kyay Min(VT)</t>
  </si>
  <si>
    <t xml:space="preserve">            Hnget Pyaw Taw(VT)</t>
  </si>
  <si>
    <t xml:space="preserve">            Ah Doe Thea Pyaw(VT)</t>
  </si>
  <si>
    <t xml:space="preserve">            Ka Saw Pa Lo(VT)</t>
  </si>
  <si>
    <t xml:space="preserve">            Chee Thu Saw (Lower)(VT)</t>
  </si>
  <si>
    <t xml:space="preserve">            Thar Mi Taik(VT)</t>
  </si>
  <si>
    <t xml:space="preserve">            Shan Lel Pyin Gyi(VT)</t>
  </si>
  <si>
    <t xml:space="preserve">            Min Lan Taung(VT)</t>
  </si>
  <si>
    <t xml:space="preserve">            Ngwe Taung (Lower)(VT)</t>
  </si>
  <si>
    <t xml:space="preserve">            Shan Lel Pyin (Lower)(VT)</t>
  </si>
  <si>
    <t xml:space="preserve">            Kyauk Gyi Taung(VT)</t>
  </si>
  <si>
    <t xml:space="preserve">            Kyay Ka Tawt(VT)</t>
  </si>
  <si>
    <t xml:space="preserve">            Taw Pone(VT)</t>
  </si>
  <si>
    <t xml:space="preserve">            Ka Lay Kho(VT)</t>
  </si>
  <si>
    <t xml:space="preserve">            Maung Kyaw(VT)</t>
  </si>
  <si>
    <t xml:space="preserve">            Maung Ba Lauk(VT)</t>
  </si>
  <si>
    <t xml:space="preserve">            Ka Lay Ta(VT)</t>
  </si>
  <si>
    <t xml:space="preserve">            Dar Yoe(VT)</t>
  </si>
  <si>
    <t xml:space="preserve">            Ho Thaw Pa Lo(VT)</t>
  </si>
  <si>
    <t xml:space="preserve">            Kha Mar Di Hpo Li(VT)</t>
  </si>
  <si>
    <t xml:space="preserve">            Htee Thar Saw(VT)</t>
  </si>
  <si>
    <t xml:space="preserve">            Chaung Ma Nge(VT)</t>
  </si>
  <si>
    <t xml:space="preserve">            Tha Pyay Nyunt(VT)</t>
  </si>
  <si>
    <t xml:space="preserve">            Me Tin Tein(VT)</t>
  </si>
  <si>
    <t xml:space="preserve">            Kyauk Hpyar(VT)</t>
  </si>
  <si>
    <t xml:space="preserve">            Kyauk Pon(VT)</t>
  </si>
  <si>
    <t xml:space="preserve">            Sa Par Kyi(VT)</t>
  </si>
  <si>
    <t xml:space="preserve">            Pyaung Tho(VT)</t>
  </si>
  <si>
    <t xml:space="preserve">            Yae Thoe Gyi(VT)</t>
  </si>
  <si>
    <t xml:space="preserve">            Hoe Chee(VT)</t>
  </si>
  <si>
    <t xml:space="preserve">            Tha Lo Bwar(VT)</t>
  </si>
  <si>
    <t xml:space="preserve">            Bo Khar Lay Kho(VT)</t>
  </si>
  <si>
    <t xml:space="preserve">            Maung Taing Gyi(VT)</t>
  </si>
  <si>
    <t xml:space="preserve">            Si Ke Doe(VT)</t>
  </si>
  <si>
    <t xml:space="preserve">            Zin Taing Gyi(VT)</t>
  </si>
  <si>
    <t xml:space="preserve">            Hpapun (West)(VT)</t>
  </si>
  <si>
    <t xml:space="preserve">            Me Tha Lut(VT)</t>
  </si>
  <si>
    <t xml:space="preserve">            Ta Khun Taing(VT)</t>
  </si>
  <si>
    <t xml:space="preserve">            Whay San(VT)</t>
  </si>
  <si>
    <t xml:space="preserve">            Ma Htaw(VT)</t>
  </si>
  <si>
    <t xml:space="preserve">            Tay Mu Doe(VT)</t>
  </si>
  <si>
    <t xml:space="preserve">            Kawt Lu Doe(VT)</t>
  </si>
  <si>
    <t xml:space="preserve">            Ka Taing Ti(VT)</t>
  </si>
  <si>
    <t xml:space="preserve">            Kwin Da La (Yae Pu)(VT)</t>
  </si>
  <si>
    <t xml:space="preserve">            War Kaw Kyay(VT)</t>
  </si>
  <si>
    <t xml:space="preserve">            Ah Shey Paing(W)</t>
  </si>
  <si>
    <t xml:space="preserve">            Ah Lel Paing(W)</t>
  </si>
  <si>
    <t xml:space="preserve">            Kyan Khin Su(W)</t>
  </si>
  <si>
    <t xml:space="preserve">            Myanmar Su(W)</t>
  </si>
  <si>
    <t xml:space="preserve">            Ah Nauk Paing(W)</t>
  </si>
  <si>
    <t xml:space="preserve">            Me Htaw Tha Lay(VT)</t>
  </si>
  <si>
    <t xml:space="preserve">            Htee War Pa Law(VT)</t>
  </si>
  <si>
    <t xml:space="preserve">            Paw Law(VT)</t>
  </si>
  <si>
    <t xml:space="preserve">            Hpa Lu(VT)</t>
  </si>
  <si>
    <t xml:space="preserve">            Me Ka Nei(VT)</t>
  </si>
  <si>
    <t xml:space="preserve">            Thin Gan Nyi Naung(VT)</t>
  </si>
  <si>
    <t xml:space="preserve">            Kwin Ka Lay(VT)</t>
  </si>
  <si>
    <t xml:space="preserve">            Whayt Shan(VT)</t>
  </si>
  <si>
    <t xml:space="preserve">            Me Pa Leit(VT)</t>
  </si>
  <si>
    <t xml:space="preserve">            Hpar Ka Lu(VT)</t>
  </si>
  <si>
    <t xml:space="preserve">            Pu Lwe Bu(VT)</t>
  </si>
  <si>
    <t xml:space="preserve">            No (1) Ward(W)</t>
  </si>
  <si>
    <t xml:space="preserve">            Me Ka Lar / Son See Myiang(VT)</t>
  </si>
  <si>
    <t xml:space="preserve">            Tar Oke(VT)</t>
  </si>
  <si>
    <t xml:space="preserve">            Mi Hpar / Tha Bawt Boe(VT)</t>
  </si>
  <si>
    <t xml:space="preserve">            Ward(1)(W)</t>
  </si>
  <si>
    <t xml:space="preserve">            Ward(2)(W)</t>
  </si>
  <si>
    <t xml:space="preserve">            Maw Khee(VT)</t>
  </si>
  <si>
    <t xml:space="preserve">            Ti Thea Lei (Maw Khee)(VT)</t>
  </si>
  <si>
    <t xml:space="preserve">            Lawt Khaw(VT)</t>
  </si>
  <si>
    <t xml:space="preserve">            Chaung Taung (W)</t>
  </si>
  <si>
    <t xml:space="preserve">            Win Gyi(W)</t>
  </si>
  <si>
    <t xml:space="preserve">            Ah Lel Tan(W)</t>
  </si>
  <si>
    <t xml:space="preserve">            Ah Htet Taung Thu Su(W)</t>
  </si>
  <si>
    <t xml:space="preserve">            Auk Taung Thu Su(W)</t>
  </si>
  <si>
    <t xml:space="preserve">            Ta Dar U(W)</t>
  </si>
  <si>
    <t xml:space="preserve">            Tha Yet Taw(VT)</t>
  </si>
  <si>
    <t xml:space="preserve">            Wea Lit(VT)</t>
  </si>
  <si>
    <t xml:space="preserve">            Inn Shey(VT)</t>
  </si>
  <si>
    <t xml:space="preserve">            Kha Nein Hpaw(VT)</t>
  </si>
  <si>
    <t xml:space="preserve">            Na Bu Hnit Char(VT)</t>
  </si>
  <si>
    <t xml:space="preserve">            Na Bu Ta Khun Taing(VT)</t>
  </si>
  <si>
    <t xml:space="preserve">            Naung Ta Pwe(VT)</t>
  </si>
  <si>
    <t xml:space="preserve">            Htee Ka Lay(VT)</t>
  </si>
  <si>
    <t xml:space="preserve">            Naung Kaing(VT)</t>
  </si>
  <si>
    <t xml:space="preserve">            Hti Hpo Zan(VT)</t>
  </si>
  <si>
    <t xml:space="preserve">            Naung Htet Pan(VT)</t>
  </si>
  <si>
    <t xml:space="preserve">            Mya Pa Taing(VT)</t>
  </si>
  <si>
    <t xml:space="preserve">            Kyon Baing(VT)</t>
  </si>
  <si>
    <t xml:space="preserve">            Daw Hpyar(VT)</t>
  </si>
  <si>
    <t xml:space="preserve">            Yan Koke(VT)</t>
  </si>
  <si>
    <t xml:space="preserve">            Ta Tan Ku(VT)</t>
  </si>
  <si>
    <t xml:space="preserve">            Kawt Nwe(VT)</t>
  </si>
  <si>
    <t xml:space="preserve">            Myauk Kyar Inn(VT)</t>
  </si>
  <si>
    <t xml:space="preserve">            Yae Kyaw Gyi(VT)</t>
  </si>
  <si>
    <t xml:space="preserve">            Haung Tha Yaw(VT)</t>
  </si>
  <si>
    <t xml:space="preserve">            An Hpa Gyi(VT)</t>
  </si>
  <si>
    <t xml:space="preserve">            Set Ka Wet(VT)</t>
  </si>
  <si>
    <t xml:space="preserve">            Dauk Pa Lan(VT)</t>
  </si>
  <si>
    <t xml:space="preserve">            Kyon Doe Chaung Hpyar(VT)</t>
  </si>
  <si>
    <t xml:space="preserve">            Inn Gyi(VT)</t>
  </si>
  <si>
    <t xml:space="preserve">            Kawt War Le(VT)</t>
  </si>
  <si>
    <t xml:space="preserve">            Myauk Kan Ma Yaik(VT)</t>
  </si>
  <si>
    <t xml:space="preserve">            Taung Kan Ma Yaik(VT)</t>
  </si>
  <si>
    <t xml:space="preserve">            Tha Mein Dut(VT)</t>
  </si>
  <si>
    <t xml:space="preserve">            Win Ka(VT)</t>
  </si>
  <si>
    <t xml:space="preserve">            Hti Hu Than(VT)</t>
  </si>
  <si>
    <t xml:space="preserve">            Taung Kyar Inn(VT)</t>
  </si>
  <si>
    <t xml:space="preserve">            Laung Kaing(VT)</t>
  </si>
  <si>
    <t xml:space="preserve">            An Kaung(VT)</t>
  </si>
  <si>
    <t xml:space="preserve">            Ta Ri Ta Khaung(VT)</t>
  </si>
  <si>
    <t xml:space="preserve">            Tha Pyu (Ka Maw Pi)(VT)</t>
  </si>
  <si>
    <t xml:space="preserve">            Ah Nauk Bet Kan(VT)</t>
  </si>
  <si>
    <t xml:space="preserve">            Kan Ni(VT)</t>
  </si>
  <si>
    <t xml:space="preserve">            Mi Ka Lon(VT)</t>
  </si>
  <si>
    <t xml:space="preserve">            Ku Lar Kyauk Hpyar(VT)</t>
  </si>
  <si>
    <t xml:space="preserve">            Kayin Kyauk Hpyar(VT)</t>
  </si>
  <si>
    <t xml:space="preserve">            Kawt Hlyan(VT)</t>
  </si>
  <si>
    <t xml:space="preserve">            Hpar Poke(VT)</t>
  </si>
  <si>
    <t xml:space="preserve">            Ei Baing(VT)</t>
  </si>
  <si>
    <t xml:space="preserve">            Ka Nyin Ka Taik(VT)</t>
  </si>
  <si>
    <t xml:space="preserve">            Kha Yit Kyauk Tan(VT)</t>
  </si>
  <si>
    <t xml:space="preserve">            Min Ywar(VT)</t>
  </si>
  <si>
    <t xml:space="preserve">            Kawt Pauk(VT)</t>
  </si>
  <si>
    <t xml:space="preserve">            Kawt Bein(VT)</t>
  </si>
  <si>
    <t xml:space="preserve">            Kawt Go(VT)</t>
  </si>
  <si>
    <t xml:space="preserve">            Paing Yat(VT)</t>
  </si>
  <si>
    <t xml:space="preserve">            Kha Yin(VT)</t>
  </si>
  <si>
    <t xml:space="preserve">            No (2) Ward(W)</t>
  </si>
  <si>
    <t xml:space="preserve">            No (3) Ward(W)</t>
  </si>
  <si>
    <t xml:space="preserve">            No (4) Ward(W)</t>
  </si>
  <si>
    <t xml:space="preserve">            No (5) Ward(W)</t>
  </si>
  <si>
    <t xml:space="preserve">            No (6) Ward(W)</t>
  </si>
  <si>
    <t xml:space="preserve">            Shwe Taung Bo(VT)</t>
  </si>
  <si>
    <t xml:space="preserve">            Kyar Inn Shwe Doe(VT)</t>
  </si>
  <si>
    <t xml:space="preserve">            Ka Mawt(VT)</t>
  </si>
  <si>
    <t xml:space="preserve">            Than Pu Yar(VT)</t>
  </si>
  <si>
    <t xml:space="preserve">            Ah Ka Law(VT)</t>
  </si>
  <si>
    <t xml:space="preserve">            Dar Li(VT)</t>
  </si>
  <si>
    <t xml:space="preserve">            Kya Khat Chaung(VT)</t>
  </si>
  <si>
    <t xml:space="preserve">            Nat Chaung Kan Nar(VT)</t>
  </si>
  <si>
    <t xml:space="preserve">            Nat Chaung Ah Lel(VT)</t>
  </si>
  <si>
    <t xml:space="preserve">            Ya Thayt(VT)</t>
  </si>
  <si>
    <t xml:space="preserve">            Da Noe(VT)</t>
  </si>
  <si>
    <t xml:space="preserve">            Ka Sat(VT)</t>
  </si>
  <si>
    <t xml:space="preserve">            Kun Ka Thaung(VT)</t>
  </si>
  <si>
    <t xml:space="preserve">            Seik Ka Lay(VT)</t>
  </si>
  <si>
    <t xml:space="preserve">            Kha Lel Saw(VT)</t>
  </si>
  <si>
    <t xml:space="preserve">            Khway Thoe Seik(VT)</t>
  </si>
  <si>
    <t xml:space="preserve">            Win Yaw Seik Gyi(VT)</t>
  </si>
  <si>
    <t xml:space="preserve">            Taung Dee(VT)</t>
  </si>
  <si>
    <t xml:space="preserve">            Kha Lel(VT)</t>
  </si>
  <si>
    <t xml:space="preserve">            Pyaung Ma Htein(VT)</t>
  </si>
  <si>
    <t xml:space="preserve">            Kyun Chaung(VT)</t>
  </si>
  <si>
    <t xml:space="preserve">            Koe Mar(VT)</t>
  </si>
  <si>
    <t xml:space="preserve">            Hlut Shan(VT)</t>
  </si>
  <si>
    <t xml:space="preserve">            Ah Nan Kwin(VT)</t>
  </si>
  <si>
    <t xml:space="preserve">            Kyauk Bi Lu(VT)</t>
  </si>
  <si>
    <t xml:space="preserve">            Win Kha Na(VT)</t>
  </si>
  <si>
    <t xml:space="preserve">            Hpar Pya(VT)</t>
  </si>
  <si>
    <t xml:space="preserve">            Kyon Kha Wun(VT)</t>
  </si>
  <si>
    <t xml:space="preserve">            Khu Don(VT)</t>
  </si>
  <si>
    <t xml:space="preserve">            Ah Sun(VT)</t>
  </si>
  <si>
    <t xml:space="preserve">            Lan Hpar(VT)</t>
  </si>
  <si>
    <t xml:space="preserve">            Kawt Saing(VT)</t>
  </si>
  <si>
    <t xml:space="preserve">            Thin Gan Pin Seik(VT)</t>
  </si>
  <si>
    <t xml:space="preserve">            Paing Ka Lar Don(VT)</t>
  </si>
  <si>
    <t xml:space="preserve">            Maw Khe Khee(VT)</t>
  </si>
  <si>
    <t xml:space="preserve">            Mi Tan(VT)</t>
  </si>
  <si>
    <t xml:space="preserve">            Thar Ka Hta(VT)</t>
  </si>
  <si>
    <t xml:space="preserve">            Hti War Ka Lu(VT)</t>
  </si>
  <si>
    <t xml:space="preserve">            Mi Na Ah(VT)</t>
  </si>
  <si>
    <t xml:space="preserve">            Hpar Kwee(VT)</t>
  </si>
  <si>
    <t xml:space="preserve">            Ah Zin(VT)</t>
  </si>
  <si>
    <t xml:space="preserve">            Khwi Ka Lon(VT)</t>
  </si>
  <si>
    <t xml:space="preserve">            Taung Ka Lay(VT)</t>
  </si>
  <si>
    <t xml:space="preserve">            Khwar Hay(VT)</t>
  </si>
  <si>
    <t xml:space="preserve">            Lel Taw Gyi(VT)</t>
  </si>
  <si>
    <t xml:space="preserve">            Ka Mawt Thea (Win Lon)(VT)</t>
  </si>
  <si>
    <t xml:space="preserve">            Taung Waing(VT)</t>
  </si>
  <si>
    <t xml:space="preserve">            Naung Ta Kho(VT)</t>
  </si>
  <si>
    <t>Sr</t>
  </si>
  <si>
    <t>Population</t>
  </si>
  <si>
    <t>Ward</t>
  </si>
  <si>
    <t xml:space="preserve">        Thandaung</t>
  </si>
  <si>
    <t>29-3-2014</t>
  </si>
  <si>
    <t>Kyon Doe</t>
  </si>
  <si>
    <t>Kayin State,  Kawkareik District,  Kyaidon(Sub-Township)</t>
  </si>
  <si>
    <t>Kayin State,  Hpa-an District,Hpa-an Township</t>
  </si>
  <si>
    <t>Kayin State,  Hpa-an District,   Hlaingbwe Township</t>
  </si>
  <si>
    <t>Kayin State,  Hpa-an District, Thandaunggyi Township</t>
  </si>
  <si>
    <t xml:space="preserve">Kayin State,  Hpa-an District,   Paingkyon(Sub-Township) </t>
  </si>
  <si>
    <t>Kayin State,  Hpa-an District,   Shan Ywathit(Sub- Township)</t>
  </si>
  <si>
    <t>Kayin State,  Hpa-an District,  Leiktho(Sub- Township)</t>
  </si>
  <si>
    <t>Kayin State,  Hpa-an District,  Bawgali(Sub- Township)</t>
  </si>
  <si>
    <t>Kayin State,  Pharpon District,  Pharpon Township</t>
  </si>
  <si>
    <t>Kayin State,  Pharpon District,  Kamamaung(Sub- Township)</t>
  </si>
  <si>
    <t>Kayin State,  Myawady District,  Myawady Township</t>
  </si>
  <si>
    <t>Kayin State,  Myawady District,  Sugali(Sub- Township)</t>
  </si>
  <si>
    <t>Kayin State,  Myawady District,   Wawlaymyaing(Sub- Township)</t>
  </si>
  <si>
    <t>Kayin State,  Kawkareik District,  Kawkareik Township</t>
  </si>
  <si>
    <t>Kayin State,  Kawkareik District,   Kyarinseikkyi Township</t>
  </si>
  <si>
    <t>Kayin State,  Kawkareik District,   Payarthonezu(Sub Township)</t>
  </si>
  <si>
    <t xml:space="preserve">        Total</t>
  </si>
  <si>
    <t>Village Tract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</si>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</sst>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6"/>
      <color theme="1"/>
      <name val="Myanmar2ex"/>
      <family val="2"/>
    </font>
    <font>
      <sz val="16"/>
      <color theme="1"/>
      <name val="Myanmar2ex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Myanmar2ex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Myanmar2ex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/>
    <xf numFmtId="0" fontId="2" fillId="0" borderId="4" xfId="0" applyFont="1" applyBorder="1"/>
    <xf numFmtId="0" fontId="2" fillId="0" borderId="6" xfId="0" applyFont="1" applyBorder="1"/>
    <xf numFmtId="0" fontId="5" fillId="0" borderId="0" xfId="0" applyFont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2" fillId="0" borderId="0" xfId="0" applyFont="1" applyBorder="1"/>
    <xf numFmtId="0" fontId="5" fillId="0" borderId="3" xfId="0" applyFont="1" applyBorder="1"/>
    <xf numFmtId="0" fontId="5" fillId="0" borderId="5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0" fontId="5" fillId="0" borderId="6" xfId="0" applyFont="1" applyBorder="1"/>
    <xf numFmtId="0" fontId="4" fillId="0" borderId="6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11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9" fillId="0" borderId="0" xfId="2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sqref="A1:B1"/>
    </sheetView>
  </sheetViews>
  <sheetFormatPr defaultRowHeight="15" x14ac:dyDescent="0.25"/>
  <cols>
    <col min="1" max="1" width="3.85546875" customWidth="1"/>
    <col min="2" max="2" width="58.85546875" bestFit="1" customWidth="1"/>
  </cols>
  <sheetData>
    <row r="1" spans="1:2" ht="18.75" x14ac:dyDescent="0.3">
      <c r="A1" s="35" t="s">
        <v>412</v>
      </c>
      <c r="B1" s="35"/>
    </row>
    <row r="2" spans="1:2" ht="15.75" x14ac:dyDescent="0.25">
      <c r="A2">
        <v>1</v>
      </c>
      <c r="B2" s="23" t="str">
        <f>'Hpa-an'!A1</f>
        <v>Kayin State,  Hpa-an District,Hpa-an Township</v>
      </c>
    </row>
    <row r="3" spans="1:2" ht="15.75" x14ac:dyDescent="0.25">
      <c r="A3">
        <v>2</v>
      </c>
      <c r="B3" s="23" t="str">
        <f>Hlaingbwe!A1</f>
        <v>Kayin State,  Hpa-an District,   Hlaingbwe Township</v>
      </c>
    </row>
    <row r="4" spans="1:2" ht="15.75" x14ac:dyDescent="0.25">
      <c r="A4">
        <v>3</v>
      </c>
      <c r="B4" s="23" t="str">
        <f>Thandaunggyi!A1</f>
        <v>Kayin State,  Hpa-an District, Thandaunggyi Township</v>
      </c>
    </row>
    <row r="5" spans="1:2" ht="15.75" x14ac:dyDescent="0.25">
      <c r="A5">
        <v>4</v>
      </c>
      <c r="B5" s="23" t="str">
        <f>'Paingkyon Sub-Tsb'!A1</f>
        <v xml:space="preserve">Kayin State,  Hpa-an District,   Paingkyon(Sub-Township) </v>
      </c>
    </row>
    <row r="6" spans="1:2" ht="15.75" x14ac:dyDescent="0.25">
      <c r="A6">
        <v>5</v>
      </c>
      <c r="B6" s="23" t="str">
        <f>'Shan Ywathit(Sub-Tsb)'!A1</f>
        <v>Kayin State,  Hpa-an District,   Shan Ywathit(Sub- Township)</v>
      </c>
    </row>
    <row r="7" spans="1:2" ht="15.75" x14ac:dyDescent="0.25">
      <c r="A7">
        <v>6</v>
      </c>
      <c r="B7" s="23" t="str">
        <f>'Leiktho (Sub-Tsb)'!A1</f>
        <v>Kayin State,  Hpa-an District,  Leiktho(Sub- Township)</v>
      </c>
    </row>
    <row r="8" spans="1:2" ht="15.75" x14ac:dyDescent="0.25">
      <c r="A8">
        <v>7</v>
      </c>
      <c r="B8" s="23" t="str">
        <f>'Bawgali(Sub-TsB)'!A1</f>
        <v>Kayin State,  Hpa-an District,  Bawgali(Sub- Township)</v>
      </c>
    </row>
    <row r="9" spans="1:2" ht="15.75" x14ac:dyDescent="0.25">
      <c r="A9">
        <v>8</v>
      </c>
      <c r="B9" s="23" t="str">
        <f>Pharpon!A1</f>
        <v>Kayin State,  Pharpon District,  Pharpon Township</v>
      </c>
    </row>
    <row r="10" spans="1:2" ht="15.75" x14ac:dyDescent="0.25">
      <c r="A10">
        <v>9</v>
      </c>
      <c r="B10" s="23" t="str">
        <f>'Kamamaung(Sub-Tsb)'!A1</f>
        <v>Kayin State,  Pharpon District,  Kamamaung(Sub- Township)</v>
      </c>
    </row>
    <row r="11" spans="1:2" ht="15.75" x14ac:dyDescent="0.25">
      <c r="A11">
        <v>10</v>
      </c>
      <c r="B11" s="23" t="str">
        <f>Myawady!A1</f>
        <v>Kayin State,  Myawady District,  Myawady Township</v>
      </c>
    </row>
    <row r="12" spans="1:2" ht="15.75" x14ac:dyDescent="0.25">
      <c r="A12">
        <v>11</v>
      </c>
      <c r="B12" s="23" t="str">
        <f>'Sugali(Sub-Tsp)'!A1</f>
        <v>Kayin State,  Myawady District,  Sugali(Sub- Township)</v>
      </c>
    </row>
    <row r="13" spans="1:2" ht="15.75" x14ac:dyDescent="0.25">
      <c r="A13">
        <v>12</v>
      </c>
      <c r="B13" s="23" t="str">
        <f>'  Wawlaymyaing(Sub-Tsp)'!A1</f>
        <v>Kayin State,  Myawady District,   Wawlaymyaing(Sub- Township)</v>
      </c>
    </row>
    <row r="14" spans="1:2" ht="15.75" x14ac:dyDescent="0.25">
      <c r="A14">
        <v>13</v>
      </c>
      <c r="B14" s="23" t="str">
        <f>Kawkareik!A1</f>
        <v>Kayin State,  Kawkareik District,  Kawkareik Township</v>
      </c>
    </row>
    <row r="15" spans="1:2" ht="15.75" x14ac:dyDescent="0.25">
      <c r="A15">
        <v>14</v>
      </c>
      <c r="B15" s="23" t="str">
        <f>Kyarinseikkyi!A1</f>
        <v>Kayin State,  Kawkareik District,   Kyarinseikkyi Township</v>
      </c>
    </row>
    <row r="16" spans="1:2" ht="15.75" x14ac:dyDescent="0.25">
      <c r="A16">
        <v>15</v>
      </c>
      <c r="B16" s="23" t="str">
        <f>' Payarthonezu(Sub-Tsp)'!A1</f>
        <v>Kayin State,  Kawkareik District,   Payarthonezu(Sub Township)</v>
      </c>
    </row>
    <row r="17" spans="1:2" ht="15.75" x14ac:dyDescent="0.25">
      <c r="A17">
        <v>16</v>
      </c>
      <c r="B17" s="23" t="str">
        <f>'Kyaidon(S)'!A1</f>
        <v>Kayin State,  Kawkareik District,  Kyaidon(Sub-Township)</v>
      </c>
    </row>
  </sheetData>
  <mergeCells count="1">
    <mergeCell ref="A1:B1"/>
  </mergeCells>
  <hyperlinks>
    <hyperlink ref="B2" location="'Hpa-an'!A1" display="'Hpa-an'!A1"/>
    <hyperlink ref="B3" location="Hlaingbwe!A1" display="Hlaingbwe!A1"/>
    <hyperlink ref="B4" location="Thandaunggyi!A1" display="Thandaunggyi!A1"/>
    <hyperlink ref="B5" location="'Paingkyon Sub-Tsb'!A1" display="'Paingkyon Sub-Tsb'!A1"/>
    <hyperlink ref="B6" location="'Shan Ywathit(Sub-Tsb)'!A1" display="'Shan Ywathit(Sub-Tsb)'!A1"/>
    <hyperlink ref="B7" location="'Leiktho (Sub-Tsb)'!A1" display="'Leiktho (Sub-Tsb)'!A1"/>
    <hyperlink ref="B8" location="'Bawgali(Sub-TsB)'!A1" display="'Bawgali(Sub-TsB)'!A1"/>
    <hyperlink ref="B9" location="Pharpon!A1" display="Pharpon!A1"/>
    <hyperlink ref="B10" location="'Kamamaung(Sub-Tsb)'!A1" display="'Kamamaung(Sub-Tsb)'!A1"/>
    <hyperlink ref="B11" location="Myawady!A1" display="Myawady!A1"/>
    <hyperlink ref="B12" location="'Sugali(Sub-Tsp)'!A1" display="'Sugali(Sub-Tsp)'!A1"/>
    <hyperlink ref="B13" location="'  Wawlaymyaing(Sub-Tsp)'!A1" display="'  Wawlaymyaing(Sub-Tsp)'!A1"/>
    <hyperlink ref="B14" location="Kawkareik!A1" display="Kawkareik!A1"/>
    <hyperlink ref="B15" location="Kyarinseikkyi!A1" display="Kyarinseikkyi!A1"/>
    <hyperlink ref="B16" location="' Payarthonezu(Sub-Tsp)'!A1" display="' Payarthonezu(Sub-Tsp)'!A1"/>
    <hyperlink ref="B17" location="'Kyaidon(S)'!A1" display="'Kyaidon(S)'!A1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ht="26.25" customHeight="1" x14ac:dyDescent="0.4">
      <c r="A1" s="36" t="s">
        <v>394</v>
      </c>
      <c r="B1" s="36"/>
      <c r="C1" s="36"/>
      <c r="D1" s="36"/>
      <c r="E1" s="36"/>
    </row>
    <row r="2" spans="1:5" x14ac:dyDescent="0.4">
      <c r="E2" s="18" t="s">
        <v>391</v>
      </c>
    </row>
    <row r="3" spans="1:5" ht="10.5" customHeight="1" x14ac:dyDescent="0.4"/>
    <row r="4" spans="1:5" ht="25.5" customHeight="1" x14ac:dyDescent="0.4">
      <c r="A4" s="24" t="s">
        <v>387</v>
      </c>
      <c r="B4" s="24" t="s">
        <v>411</v>
      </c>
      <c r="C4" s="25" t="s">
        <v>388</v>
      </c>
      <c r="D4" s="25"/>
      <c r="E4" s="25"/>
    </row>
    <row r="5" spans="1:5" ht="25.5" customHeight="1" x14ac:dyDescent="0.4">
      <c r="A5" s="24"/>
      <c r="B5" s="24"/>
      <c r="C5" s="14" t="s">
        <v>0</v>
      </c>
      <c r="D5" s="14" t="s">
        <v>1</v>
      </c>
      <c r="E5" s="14" t="s">
        <v>2</v>
      </c>
    </row>
    <row r="6" spans="1:5" ht="21" customHeight="1" x14ac:dyDescent="0.4">
      <c r="A6" s="15"/>
      <c r="B6" s="16" t="s">
        <v>409</v>
      </c>
      <c r="C6" s="16">
        <v>421575</v>
      </c>
      <c r="D6" s="16">
        <v>203910</v>
      </c>
      <c r="E6" s="16">
        <v>217665</v>
      </c>
    </row>
    <row r="7" spans="1:5" ht="10.5" customHeight="1" x14ac:dyDescent="0.4">
      <c r="A7" s="8"/>
      <c r="B7" s="9"/>
      <c r="C7" s="9"/>
      <c r="D7" s="9"/>
      <c r="E7" s="9"/>
    </row>
    <row r="8" spans="1:5" ht="21" customHeight="1" x14ac:dyDescent="0.4">
      <c r="A8" s="8"/>
      <c r="B8" s="7" t="s">
        <v>389</v>
      </c>
      <c r="C8" s="7">
        <f>SUM(C9:C17)</f>
        <v>75141</v>
      </c>
      <c r="D8" s="7">
        <f t="shared" ref="D8:E8" si="0">SUM(D9:D17)</f>
        <v>36921</v>
      </c>
      <c r="E8" s="7">
        <f t="shared" si="0"/>
        <v>38220</v>
      </c>
    </row>
    <row r="9" spans="1:5" ht="21" customHeight="1" x14ac:dyDescent="0.4">
      <c r="A9" s="8">
        <v>1</v>
      </c>
      <c r="B9" s="8" t="s">
        <v>3</v>
      </c>
      <c r="C9" s="8">
        <v>11142</v>
      </c>
      <c r="D9" s="8">
        <v>5448</v>
      </c>
      <c r="E9" s="8">
        <v>5694</v>
      </c>
    </row>
    <row r="10" spans="1:5" ht="21" customHeight="1" x14ac:dyDescent="0.4">
      <c r="A10" s="8">
        <v>2</v>
      </c>
      <c r="B10" s="8" t="s">
        <v>4</v>
      </c>
      <c r="C10" s="8">
        <v>8664</v>
      </c>
      <c r="D10" s="8">
        <v>4157</v>
      </c>
      <c r="E10" s="8">
        <v>4507</v>
      </c>
    </row>
    <row r="11" spans="1:5" ht="21" customHeight="1" x14ac:dyDescent="0.4">
      <c r="A11" s="8">
        <v>3</v>
      </c>
      <c r="B11" s="8" t="s">
        <v>5</v>
      </c>
      <c r="C11" s="8">
        <v>4534</v>
      </c>
      <c r="D11" s="8">
        <v>2186</v>
      </c>
      <c r="E11" s="8">
        <v>2348</v>
      </c>
    </row>
    <row r="12" spans="1:5" ht="21" customHeight="1" x14ac:dyDescent="0.4">
      <c r="A12" s="8">
        <v>4</v>
      </c>
      <c r="B12" s="8" t="s">
        <v>6</v>
      </c>
      <c r="C12" s="8">
        <v>10058</v>
      </c>
      <c r="D12" s="8">
        <v>4691</v>
      </c>
      <c r="E12" s="8">
        <v>5367</v>
      </c>
    </row>
    <row r="13" spans="1:5" ht="21" customHeight="1" x14ac:dyDescent="0.4">
      <c r="A13" s="8">
        <v>5</v>
      </c>
      <c r="B13" s="8" t="s">
        <v>7</v>
      </c>
      <c r="C13" s="8">
        <v>11081</v>
      </c>
      <c r="D13" s="8">
        <v>5390</v>
      </c>
      <c r="E13" s="8">
        <v>5691</v>
      </c>
    </row>
    <row r="14" spans="1:5" ht="21" customHeight="1" x14ac:dyDescent="0.4">
      <c r="A14" s="8">
        <v>6</v>
      </c>
      <c r="B14" s="8" t="s">
        <v>8</v>
      </c>
      <c r="C14" s="8">
        <v>6841</v>
      </c>
      <c r="D14" s="8">
        <v>3370</v>
      </c>
      <c r="E14" s="8">
        <v>3471</v>
      </c>
    </row>
    <row r="15" spans="1:5" ht="21" customHeight="1" x14ac:dyDescent="0.4">
      <c r="A15" s="8">
        <v>7</v>
      </c>
      <c r="B15" s="8" t="s">
        <v>9</v>
      </c>
      <c r="C15" s="8">
        <v>5302</v>
      </c>
      <c r="D15" s="8">
        <v>2604</v>
      </c>
      <c r="E15" s="8">
        <v>2698</v>
      </c>
    </row>
    <row r="16" spans="1:5" ht="21" customHeight="1" x14ac:dyDescent="0.4">
      <c r="A16" s="8">
        <v>8</v>
      </c>
      <c r="B16" s="8" t="s">
        <v>10</v>
      </c>
      <c r="C16" s="8">
        <v>2504</v>
      </c>
      <c r="D16" s="8">
        <v>1319</v>
      </c>
      <c r="E16" s="8">
        <v>1185</v>
      </c>
    </row>
    <row r="17" spans="1:8" ht="21" customHeight="1" x14ac:dyDescent="0.4">
      <c r="A17" s="8">
        <v>9</v>
      </c>
      <c r="B17" s="8" t="s">
        <v>11</v>
      </c>
      <c r="C17" s="8">
        <v>15015</v>
      </c>
      <c r="D17" s="8">
        <v>7756</v>
      </c>
      <c r="E17" s="8">
        <v>7259</v>
      </c>
    </row>
    <row r="18" spans="1:8" ht="21" customHeight="1" x14ac:dyDescent="0.4">
      <c r="A18" s="8"/>
      <c r="B18" s="7" t="s">
        <v>410</v>
      </c>
      <c r="C18" s="7">
        <f>SUM(C19:C109)</f>
        <v>346434</v>
      </c>
      <c r="D18" s="7">
        <f t="shared" ref="D18:E18" si="1">SUM(D19:D109)</f>
        <v>166989</v>
      </c>
      <c r="E18" s="7">
        <f t="shared" si="1"/>
        <v>179445</v>
      </c>
    </row>
    <row r="19" spans="1:8" ht="21" customHeight="1" x14ac:dyDescent="0.4">
      <c r="A19" s="8">
        <v>1</v>
      </c>
      <c r="B19" s="8" t="s">
        <v>12</v>
      </c>
      <c r="C19" s="8">
        <v>2910</v>
      </c>
      <c r="D19" s="8">
        <v>1411</v>
      </c>
      <c r="E19" s="8">
        <v>1499</v>
      </c>
    </row>
    <row r="20" spans="1:8" ht="21" customHeight="1" x14ac:dyDescent="0.4">
      <c r="A20" s="8">
        <v>2</v>
      </c>
      <c r="B20" s="8" t="s">
        <v>13</v>
      </c>
      <c r="C20" s="8">
        <v>3863</v>
      </c>
      <c r="D20" s="8">
        <v>1798</v>
      </c>
      <c r="E20" s="8">
        <v>2065</v>
      </c>
    </row>
    <row r="21" spans="1:8" ht="21" customHeight="1" x14ac:dyDescent="0.4">
      <c r="A21" s="8">
        <v>3</v>
      </c>
      <c r="B21" s="8" t="s">
        <v>14</v>
      </c>
      <c r="C21" s="8">
        <v>2093</v>
      </c>
      <c r="D21" s="8">
        <v>994</v>
      </c>
      <c r="E21" s="8">
        <v>1099</v>
      </c>
    </row>
    <row r="22" spans="1:8" ht="21" customHeight="1" x14ac:dyDescent="0.4">
      <c r="A22" s="8">
        <v>4</v>
      </c>
      <c r="B22" s="8" t="s">
        <v>15</v>
      </c>
      <c r="C22" s="8">
        <v>1133</v>
      </c>
      <c r="D22" s="8">
        <v>567</v>
      </c>
      <c r="E22" s="8">
        <v>566</v>
      </c>
    </row>
    <row r="23" spans="1:8" ht="21" customHeight="1" x14ac:dyDescent="0.4">
      <c r="A23" s="8">
        <v>5</v>
      </c>
      <c r="B23" s="8" t="s">
        <v>16</v>
      </c>
      <c r="C23" s="8">
        <v>2264</v>
      </c>
      <c r="D23" s="8">
        <v>1121</v>
      </c>
      <c r="E23" s="8">
        <v>1143</v>
      </c>
    </row>
    <row r="24" spans="1:8" ht="21" customHeight="1" x14ac:dyDescent="0.4">
      <c r="A24" s="8">
        <v>6</v>
      </c>
      <c r="B24" s="8" t="s">
        <v>17</v>
      </c>
      <c r="C24" s="8">
        <v>2752</v>
      </c>
      <c r="D24" s="8">
        <v>1316</v>
      </c>
      <c r="E24" s="8">
        <v>1436</v>
      </c>
    </row>
    <row r="25" spans="1:8" ht="21" customHeight="1" x14ac:dyDescent="0.4">
      <c r="A25" s="8">
        <v>7</v>
      </c>
      <c r="B25" s="8" t="s">
        <v>18</v>
      </c>
      <c r="C25" s="8">
        <v>1075</v>
      </c>
      <c r="D25" s="8">
        <v>528</v>
      </c>
      <c r="E25" s="8">
        <v>547</v>
      </c>
    </row>
    <row r="26" spans="1:8" ht="21" customHeight="1" x14ac:dyDescent="0.4">
      <c r="A26" s="8">
        <v>8</v>
      </c>
      <c r="B26" s="8" t="s">
        <v>19</v>
      </c>
      <c r="C26" s="8">
        <v>1976</v>
      </c>
      <c r="D26" s="8">
        <v>893</v>
      </c>
      <c r="E26" s="8">
        <v>1083</v>
      </c>
    </row>
    <row r="27" spans="1:8" ht="21" customHeight="1" x14ac:dyDescent="0.4">
      <c r="A27" s="8">
        <v>9</v>
      </c>
      <c r="B27" s="8" t="s">
        <v>20</v>
      </c>
      <c r="C27" s="8">
        <v>4013</v>
      </c>
      <c r="D27" s="8">
        <v>1976</v>
      </c>
      <c r="E27" s="8">
        <v>2037</v>
      </c>
    </row>
    <row r="28" spans="1:8" s="2" customFormat="1" ht="21" customHeight="1" x14ac:dyDescent="0.4">
      <c r="A28" s="8">
        <v>10</v>
      </c>
      <c r="B28" s="8" t="s">
        <v>21</v>
      </c>
      <c r="C28" s="8">
        <v>1806</v>
      </c>
      <c r="D28" s="8">
        <v>824</v>
      </c>
      <c r="E28" s="8">
        <v>982</v>
      </c>
      <c r="F28" s="1"/>
      <c r="G28" s="1"/>
      <c r="H28" s="1"/>
    </row>
    <row r="29" spans="1:8" ht="21" customHeight="1" x14ac:dyDescent="0.4">
      <c r="A29" s="8">
        <v>11</v>
      </c>
      <c r="B29" s="8" t="s">
        <v>22</v>
      </c>
      <c r="C29" s="8">
        <v>3402</v>
      </c>
      <c r="D29" s="8">
        <v>1659</v>
      </c>
      <c r="E29" s="8">
        <v>1743</v>
      </c>
    </row>
    <row r="30" spans="1:8" ht="21" customHeight="1" x14ac:dyDescent="0.4">
      <c r="A30" s="8">
        <v>12</v>
      </c>
      <c r="B30" s="8" t="s">
        <v>23</v>
      </c>
      <c r="C30" s="8">
        <v>2784</v>
      </c>
      <c r="D30" s="8">
        <v>1363</v>
      </c>
      <c r="E30" s="8">
        <v>1421</v>
      </c>
    </row>
    <row r="31" spans="1:8" ht="21" customHeight="1" x14ac:dyDescent="0.4">
      <c r="A31" s="8">
        <v>13</v>
      </c>
      <c r="B31" s="8" t="s">
        <v>24</v>
      </c>
      <c r="C31" s="8">
        <v>1202</v>
      </c>
      <c r="D31" s="8">
        <v>603</v>
      </c>
      <c r="E31" s="8">
        <v>599</v>
      </c>
    </row>
    <row r="32" spans="1:8" ht="21" customHeight="1" x14ac:dyDescent="0.4">
      <c r="A32" s="8">
        <v>14</v>
      </c>
      <c r="B32" s="8" t="s">
        <v>25</v>
      </c>
      <c r="C32" s="8">
        <v>4955</v>
      </c>
      <c r="D32" s="8">
        <v>2378</v>
      </c>
      <c r="E32" s="8">
        <v>2577</v>
      </c>
    </row>
    <row r="33" spans="1:5" ht="21" customHeight="1" x14ac:dyDescent="0.4">
      <c r="A33" s="8">
        <v>15</v>
      </c>
      <c r="B33" s="8" t="s">
        <v>26</v>
      </c>
      <c r="C33" s="8">
        <v>7724</v>
      </c>
      <c r="D33" s="8">
        <v>3774</v>
      </c>
      <c r="E33" s="8">
        <v>3950</v>
      </c>
    </row>
    <row r="34" spans="1:5" ht="21" customHeight="1" x14ac:dyDescent="0.4">
      <c r="A34" s="8">
        <v>16</v>
      </c>
      <c r="B34" s="8" t="s">
        <v>27</v>
      </c>
      <c r="C34" s="8">
        <v>1004</v>
      </c>
      <c r="D34" s="8">
        <v>476</v>
      </c>
      <c r="E34" s="8">
        <v>528</v>
      </c>
    </row>
    <row r="35" spans="1:5" ht="21" customHeight="1" x14ac:dyDescent="0.4">
      <c r="A35" s="8">
        <v>17</v>
      </c>
      <c r="B35" s="8" t="s">
        <v>28</v>
      </c>
      <c r="C35" s="8">
        <v>1006</v>
      </c>
      <c r="D35" s="8">
        <v>502</v>
      </c>
      <c r="E35" s="8">
        <v>504</v>
      </c>
    </row>
    <row r="36" spans="1:5" ht="21" customHeight="1" x14ac:dyDescent="0.4">
      <c r="A36" s="8">
        <v>18</v>
      </c>
      <c r="B36" s="8" t="s">
        <v>29</v>
      </c>
      <c r="C36" s="8">
        <v>5834</v>
      </c>
      <c r="D36" s="8">
        <v>2894</v>
      </c>
      <c r="E36" s="8">
        <v>2940</v>
      </c>
    </row>
    <row r="37" spans="1:5" ht="21" customHeight="1" x14ac:dyDescent="0.4">
      <c r="A37" s="8">
        <v>19</v>
      </c>
      <c r="B37" s="8" t="s">
        <v>30</v>
      </c>
      <c r="C37" s="8">
        <v>7978</v>
      </c>
      <c r="D37" s="8">
        <v>3910</v>
      </c>
      <c r="E37" s="8">
        <v>4068</v>
      </c>
    </row>
    <row r="38" spans="1:5" ht="21" customHeight="1" x14ac:dyDescent="0.4">
      <c r="A38" s="8">
        <v>20</v>
      </c>
      <c r="B38" s="8" t="s">
        <v>31</v>
      </c>
      <c r="C38" s="8">
        <v>3464</v>
      </c>
      <c r="D38" s="8">
        <v>1578</v>
      </c>
      <c r="E38" s="8">
        <v>1886</v>
      </c>
    </row>
    <row r="39" spans="1:5" ht="21" customHeight="1" x14ac:dyDescent="0.4">
      <c r="A39" s="8">
        <v>21</v>
      </c>
      <c r="B39" s="8" t="s">
        <v>32</v>
      </c>
      <c r="C39" s="8">
        <v>6481</v>
      </c>
      <c r="D39" s="8">
        <v>3690</v>
      </c>
      <c r="E39" s="8">
        <v>2791</v>
      </c>
    </row>
    <row r="40" spans="1:5" ht="21" customHeight="1" x14ac:dyDescent="0.4">
      <c r="A40" s="8">
        <v>22</v>
      </c>
      <c r="B40" s="8" t="s">
        <v>33</v>
      </c>
      <c r="C40" s="8">
        <v>2209</v>
      </c>
      <c r="D40" s="8">
        <v>1035</v>
      </c>
      <c r="E40" s="8">
        <v>1174</v>
      </c>
    </row>
    <row r="41" spans="1:5" ht="21" customHeight="1" x14ac:dyDescent="0.4">
      <c r="A41" s="8">
        <v>23</v>
      </c>
      <c r="B41" s="8" t="s">
        <v>34</v>
      </c>
      <c r="C41" s="8">
        <v>5160</v>
      </c>
      <c r="D41" s="8">
        <v>2449</v>
      </c>
      <c r="E41" s="8">
        <v>2711</v>
      </c>
    </row>
    <row r="42" spans="1:5" ht="21" customHeight="1" x14ac:dyDescent="0.4">
      <c r="A42" s="8">
        <v>24</v>
      </c>
      <c r="B42" s="8" t="s">
        <v>35</v>
      </c>
      <c r="C42" s="8">
        <v>2239</v>
      </c>
      <c r="D42" s="8">
        <v>1078</v>
      </c>
      <c r="E42" s="8">
        <v>1161</v>
      </c>
    </row>
    <row r="43" spans="1:5" ht="21" customHeight="1" x14ac:dyDescent="0.4">
      <c r="A43" s="8">
        <v>25</v>
      </c>
      <c r="B43" s="8" t="s">
        <v>36</v>
      </c>
      <c r="C43" s="8">
        <v>1907</v>
      </c>
      <c r="D43" s="8">
        <v>874</v>
      </c>
      <c r="E43" s="8">
        <v>1033</v>
      </c>
    </row>
    <row r="44" spans="1:5" ht="21" customHeight="1" x14ac:dyDescent="0.4">
      <c r="A44" s="8">
        <v>26</v>
      </c>
      <c r="B44" s="8" t="s">
        <v>37</v>
      </c>
      <c r="C44" s="8">
        <v>1930</v>
      </c>
      <c r="D44" s="8">
        <v>874</v>
      </c>
      <c r="E44" s="8">
        <v>1056</v>
      </c>
    </row>
    <row r="45" spans="1:5" ht="21" customHeight="1" x14ac:dyDescent="0.4">
      <c r="A45" s="8">
        <v>27</v>
      </c>
      <c r="B45" s="8" t="s">
        <v>38</v>
      </c>
      <c r="C45" s="8">
        <v>3397</v>
      </c>
      <c r="D45" s="8">
        <v>1701</v>
      </c>
      <c r="E45" s="8">
        <v>1696</v>
      </c>
    </row>
    <row r="46" spans="1:5" ht="21" customHeight="1" x14ac:dyDescent="0.4">
      <c r="A46" s="8">
        <v>28</v>
      </c>
      <c r="B46" s="8" t="s">
        <v>39</v>
      </c>
      <c r="C46" s="8">
        <v>2183</v>
      </c>
      <c r="D46" s="8">
        <v>990</v>
      </c>
      <c r="E46" s="8">
        <v>1193</v>
      </c>
    </row>
    <row r="47" spans="1:5" ht="21" customHeight="1" x14ac:dyDescent="0.4">
      <c r="A47" s="8">
        <v>29</v>
      </c>
      <c r="B47" s="8" t="s">
        <v>40</v>
      </c>
      <c r="C47" s="8">
        <v>6820</v>
      </c>
      <c r="D47" s="8">
        <v>3184</v>
      </c>
      <c r="E47" s="8">
        <v>3636</v>
      </c>
    </row>
    <row r="48" spans="1:5" ht="21" customHeight="1" x14ac:dyDescent="0.4">
      <c r="A48" s="8">
        <v>30</v>
      </c>
      <c r="B48" s="8" t="s">
        <v>41</v>
      </c>
      <c r="C48" s="8">
        <v>2318</v>
      </c>
      <c r="D48" s="8">
        <v>1111</v>
      </c>
      <c r="E48" s="8">
        <v>1207</v>
      </c>
    </row>
    <row r="49" spans="1:5" ht="21" customHeight="1" x14ac:dyDescent="0.4">
      <c r="A49" s="8">
        <v>31</v>
      </c>
      <c r="B49" s="8" t="s">
        <v>42</v>
      </c>
      <c r="C49" s="8">
        <v>665</v>
      </c>
      <c r="D49" s="8">
        <v>326</v>
      </c>
      <c r="E49" s="8">
        <v>339</v>
      </c>
    </row>
    <row r="50" spans="1:5" ht="21" customHeight="1" x14ac:dyDescent="0.4">
      <c r="A50" s="8">
        <v>32</v>
      </c>
      <c r="B50" s="8" t="s">
        <v>43</v>
      </c>
      <c r="C50" s="8">
        <v>2652</v>
      </c>
      <c r="D50" s="8">
        <v>1279</v>
      </c>
      <c r="E50" s="8">
        <v>1373</v>
      </c>
    </row>
    <row r="51" spans="1:5" ht="21" customHeight="1" x14ac:dyDescent="0.4">
      <c r="A51" s="8">
        <v>33</v>
      </c>
      <c r="B51" s="8" t="s">
        <v>44</v>
      </c>
      <c r="C51" s="8">
        <v>2959</v>
      </c>
      <c r="D51" s="8">
        <v>1420</v>
      </c>
      <c r="E51" s="8">
        <v>1539</v>
      </c>
    </row>
    <row r="52" spans="1:5" ht="21" customHeight="1" x14ac:dyDescent="0.4">
      <c r="A52" s="8">
        <v>34</v>
      </c>
      <c r="B52" s="8" t="s">
        <v>45</v>
      </c>
      <c r="C52" s="8">
        <v>2047</v>
      </c>
      <c r="D52" s="8">
        <v>1013</v>
      </c>
      <c r="E52" s="8">
        <v>1034</v>
      </c>
    </row>
    <row r="53" spans="1:5" ht="21" customHeight="1" x14ac:dyDescent="0.4">
      <c r="A53" s="8">
        <v>35</v>
      </c>
      <c r="B53" s="8" t="s">
        <v>46</v>
      </c>
      <c r="C53" s="8">
        <v>4163</v>
      </c>
      <c r="D53" s="8">
        <v>1911</v>
      </c>
      <c r="E53" s="8">
        <v>2252</v>
      </c>
    </row>
    <row r="54" spans="1:5" ht="21" customHeight="1" x14ac:dyDescent="0.4">
      <c r="A54" s="8">
        <v>36</v>
      </c>
      <c r="B54" s="8" t="s">
        <v>47</v>
      </c>
      <c r="C54" s="8">
        <v>8863</v>
      </c>
      <c r="D54" s="8">
        <v>4215</v>
      </c>
      <c r="E54" s="8">
        <v>4648</v>
      </c>
    </row>
    <row r="55" spans="1:5" ht="21" customHeight="1" x14ac:dyDescent="0.4">
      <c r="A55" s="8">
        <v>37</v>
      </c>
      <c r="B55" s="8" t="s">
        <v>48</v>
      </c>
      <c r="C55" s="8">
        <v>5103</v>
      </c>
      <c r="D55" s="8">
        <v>2433</v>
      </c>
      <c r="E55" s="8">
        <v>2670</v>
      </c>
    </row>
    <row r="56" spans="1:5" ht="21" customHeight="1" x14ac:dyDescent="0.4">
      <c r="A56" s="8">
        <v>38</v>
      </c>
      <c r="B56" s="8" t="s">
        <v>49</v>
      </c>
      <c r="C56" s="8">
        <v>1531</v>
      </c>
      <c r="D56" s="8">
        <v>763</v>
      </c>
      <c r="E56" s="8">
        <v>768</v>
      </c>
    </row>
    <row r="57" spans="1:5" ht="21" customHeight="1" x14ac:dyDescent="0.4">
      <c r="A57" s="8">
        <v>39</v>
      </c>
      <c r="B57" s="8" t="s">
        <v>50</v>
      </c>
      <c r="C57" s="8">
        <v>7471</v>
      </c>
      <c r="D57" s="8">
        <v>3616</v>
      </c>
      <c r="E57" s="8">
        <v>3855</v>
      </c>
    </row>
    <row r="58" spans="1:5" ht="21" customHeight="1" x14ac:dyDescent="0.4">
      <c r="A58" s="8">
        <v>40</v>
      </c>
      <c r="B58" s="8" t="s">
        <v>51</v>
      </c>
      <c r="C58" s="8">
        <v>2542</v>
      </c>
      <c r="D58" s="8">
        <v>1175</v>
      </c>
      <c r="E58" s="8">
        <v>1367</v>
      </c>
    </row>
    <row r="59" spans="1:5" ht="21" customHeight="1" x14ac:dyDescent="0.4">
      <c r="A59" s="8">
        <v>41</v>
      </c>
      <c r="B59" s="8" t="s">
        <v>52</v>
      </c>
      <c r="C59" s="8">
        <v>3453</v>
      </c>
      <c r="D59" s="8">
        <v>1659</v>
      </c>
      <c r="E59" s="8">
        <v>1794</v>
      </c>
    </row>
    <row r="60" spans="1:5" ht="21" customHeight="1" x14ac:dyDescent="0.4">
      <c r="A60" s="8">
        <v>42</v>
      </c>
      <c r="B60" s="8" t="s">
        <v>53</v>
      </c>
      <c r="C60" s="8">
        <v>960</v>
      </c>
      <c r="D60" s="8">
        <v>443</v>
      </c>
      <c r="E60" s="8">
        <v>517</v>
      </c>
    </row>
    <row r="61" spans="1:5" ht="21" customHeight="1" x14ac:dyDescent="0.4">
      <c r="A61" s="8">
        <v>43</v>
      </c>
      <c r="B61" s="8" t="s">
        <v>54</v>
      </c>
      <c r="C61" s="8">
        <v>8357</v>
      </c>
      <c r="D61" s="8">
        <v>3972</v>
      </c>
      <c r="E61" s="8">
        <v>4385</v>
      </c>
    </row>
    <row r="62" spans="1:5" ht="21" customHeight="1" x14ac:dyDescent="0.4">
      <c r="A62" s="8">
        <v>44</v>
      </c>
      <c r="B62" s="8" t="s">
        <v>55</v>
      </c>
      <c r="C62" s="8">
        <v>13763</v>
      </c>
      <c r="D62" s="8">
        <v>6644</v>
      </c>
      <c r="E62" s="8">
        <v>7119</v>
      </c>
    </row>
    <row r="63" spans="1:5" ht="21" customHeight="1" x14ac:dyDescent="0.4">
      <c r="A63" s="8">
        <v>45</v>
      </c>
      <c r="B63" s="8" t="s">
        <v>56</v>
      </c>
      <c r="C63" s="8">
        <v>1841</v>
      </c>
      <c r="D63" s="8">
        <v>899</v>
      </c>
      <c r="E63" s="8">
        <v>942</v>
      </c>
    </row>
    <row r="64" spans="1:5" ht="21" customHeight="1" x14ac:dyDescent="0.4">
      <c r="A64" s="8">
        <v>46</v>
      </c>
      <c r="B64" s="8" t="s">
        <v>57</v>
      </c>
      <c r="C64" s="8">
        <v>4894</v>
      </c>
      <c r="D64" s="8">
        <v>2392</v>
      </c>
      <c r="E64" s="8">
        <v>2502</v>
      </c>
    </row>
    <row r="65" spans="1:5" ht="21" customHeight="1" x14ac:dyDescent="0.4">
      <c r="A65" s="8">
        <v>47</v>
      </c>
      <c r="B65" s="8" t="s">
        <v>58</v>
      </c>
      <c r="C65" s="8">
        <v>4251</v>
      </c>
      <c r="D65" s="8">
        <v>1985</v>
      </c>
      <c r="E65" s="8">
        <v>2266</v>
      </c>
    </row>
    <row r="66" spans="1:5" ht="21" customHeight="1" x14ac:dyDescent="0.4">
      <c r="A66" s="8">
        <v>48</v>
      </c>
      <c r="B66" s="8" t="s">
        <v>59</v>
      </c>
      <c r="C66" s="8">
        <v>2257</v>
      </c>
      <c r="D66" s="8">
        <v>1076</v>
      </c>
      <c r="E66" s="8">
        <v>1181</v>
      </c>
    </row>
    <row r="67" spans="1:5" ht="21" customHeight="1" x14ac:dyDescent="0.4">
      <c r="A67" s="8">
        <v>49</v>
      </c>
      <c r="B67" s="8" t="s">
        <v>60</v>
      </c>
      <c r="C67" s="8">
        <v>3455</v>
      </c>
      <c r="D67" s="8">
        <v>1680</v>
      </c>
      <c r="E67" s="8">
        <v>1775</v>
      </c>
    </row>
    <row r="68" spans="1:5" ht="21" customHeight="1" x14ac:dyDescent="0.4">
      <c r="A68" s="8">
        <v>50</v>
      </c>
      <c r="B68" s="8" t="s">
        <v>61</v>
      </c>
      <c r="C68" s="8">
        <v>2028</v>
      </c>
      <c r="D68" s="8">
        <v>996</v>
      </c>
      <c r="E68" s="8">
        <v>1032</v>
      </c>
    </row>
    <row r="69" spans="1:5" ht="21" customHeight="1" x14ac:dyDescent="0.4">
      <c r="A69" s="8">
        <v>51</v>
      </c>
      <c r="B69" s="8" t="s">
        <v>62</v>
      </c>
      <c r="C69" s="8">
        <v>3166</v>
      </c>
      <c r="D69" s="8">
        <v>1581</v>
      </c>
      <c r="E69" s="8">
        <v>1585</v>
      </c>
    </row>
    <row r="70" spans="1:5" ht="21" customHeight="1" x14ac:dyDescent="0.4">
      <c r="A70" s="8">
        <v>52</v>
      </c>
      <c r="B70" s="8" t="s">
        <v>63</v>
      </c>
      <c r="C70" s="8">
        <v>3698</v>
      </c>
      <c r="D70" s="8">
        <v>1805</v>
      </c>
      <c r="E70" s="8">
        <v>1893</v>
      </c>
    </row>
    <row r="71" spans="1:5" ht="21" customHeight="1" x14ac:dyDescent="0.4">
      <c r="A71" s="8">
        <v>53</v>
      </c>
      <c r="B71" s="8" t="s">
        <v>64</v>
      </c>
      <c r="C71" s="8">
        <v>1629</v>
      </c>
      <c r="D71" s="8">
        <v>813</v>
      </c>
      <c r="E71" s="8">
        <v>816</v>
      </c>
    </row>
    <row r="72" spans="1:5" ht="21" customHeight="1" x14ac:dyDescent="0.4">
      <c r="A72" s="8">
        <v>54</v>
      </c>
      <c r="B72" s="8" t="s">
        <v>65</v>
      </c>
      <c r="C72" s="8">
        <v>1248</v>
      </c>
      <c r="D72" s="8">
        <v>603</v>
      </c>
      <c r="E72" s="8">
        <v>645</v>
      </c>
    </row>
    <row r="73" spans="1:5" ht="21" customHeight="1" x14ac:dyDescent="0.4">
      <c r="A73" s="8">
        <v>55</v>
      </c>
      <c r="B73" s="8" t="s">
        <v>66</v>
      </c>
      <c r="C73" s="8">
        <v>5192</v>
      </c>
      <c r="D73" s="8">
        <v>2458</v>
      </c>
      <c r="E73" s="8">
        <v>2734</v>
      </c>
    </row>
    <row r="74" spans="1:5" ht="21" customHeight="1" x14ac:dyDescent="0.4">
      <c r="A74" s="8">
        <v>56</v>
      </c>
      <c r="B74" s="8" t="s">
        <v>67</v>
      </c>
      <c r="C74" s="8">
        <v>3264</v>
      </c>
      <c r="D74" s="8">
        <v>1565</v>
      </c>
      <c r="E74" s="8">
        <v>1699</v>
      </c>
    </row>
    <row r="75" spans="1:5" ht="21" customHeight="1" x14ac:dyDescent="0.4">
      <c r="A75" s="8">
        <v>57</v>
      </c>
      <c r="B75" s="8" t="s">
        <v>68</v>
      </c>
      <c r="C75" s="8">
        <v>3279</v>
      </c>
      <c r="D75" s="8">
        <v>1519</v>
      </c>
      <c r="E75" s="8">
        <v>1760</v>
      </c>
    </row>
    <row r="76" spans="1:5" ht="21" customHeight="1" x14ac:dyDescent="0.4">
      <c r="A76" s="8">
        <v>58</v>
      </c>
      <c r="B76" s="8" t="s">
        <v>69</v>
      </c>
      <c r="C76" s="8">
        <v>6404</v>
      </c>
      <c r="D76" s="8">
        <v>3124</v>
      </c>
      <c r="E76" s="8">
        <v>3280</v>
      </c>
    </row>
    <row r="77" spans="1:5" ht="21" customHeight="1" x14ac:dyDescent="0.4">
      <c r="A77" s="8">
        <v>59</v>
      </c>
      <c r="B77" s="8" t="s">
        <v>70</v>
      </c>
      <c r="C77" s="8">
        <v>3305</v>
      </c>
      <c r="D77" s="8">
        <v>1533</v>
      </c>
      <c r="E77" s="8">
        <v>1772</v>
      </c>
    </row>
    <row r="78" spans="1:5" ht="21" customHeight="1" x14ac:dyDescent="0.4">
      <c r="A78" s="8">
        <v>60</v>
      </c>
      <c r="B78" s="8" t="s">
        <v>71</v>
      </c>
      <c r="C78" s="8">
        <v>1831</v>
      </c>
      <c r="D78" s="8">
        <v>877</v>
      </c>
      <c r="E78" s="8">
        <v>954</v>
      </c>
    </row>
    <row r="79" spans="1:5" ht="21" customHeight="1" x14ac:dyDescent="0.4">
      <c r="A79" s="8">
        <v>61</v>
      </c>
      <c r="B79" s="8" t="s">
        <v>72</v>
      </c>
      <c r="C79" s="8">
        <v>2450</v>
      </c>
      <c r="D79" s="8">
        <v>1207</v>
      </c>
      <c r="E79" s="8">
        <v>1243</v>
      </c>
    </row>
    <row r="80" spans="1:5" ht="21" customHeight="1" x14ac:dyDescent="0.4">
      <c r="A80" s="8">
        <v>62</v>
      </c>
      <c r="B80" s="8" t="s">
        <v>73</v>
      </c>
      <c r="C80" s="8">
        <v>5387</v>
      </c>
      <c r="D80" s="8">
        <v>2498</v>
      </c>
      <c r="E80" s="8">
        <v>2889</v>
      </c>
    </row>
    <row r="81" spans="1:5" ht="21" customHeight="1" x14ac:dyDescent="0.4">
      <c r="A81" s="8">
        <v>63</v>
      </c>
      <c r="B81" s="8" t="s">
        <v>74</v>
      </c>
      <c r="C81" s="8">
        <v>2067</v>
      </c>
      <c r="D81" s="8">
        <v>1006</v>
      </c>
      <c r="E81" s="8">
        <v>1061</v>
      </c>
    </row>
    <row r="82" spans="1:5" ht="21" customHeight="1" x14ac:dyDescent="0.4">
      <c r="A82" s="8">
        <v>64</v>
      </c>
      <c r="B82" s="8" t="s">
        <v>75</v>
      </c>
      <c r="C82" s="8">
        <v>2182</v>
      </c>
      <c r="D82" s="8">
        <v>1068</v>
      </c>
      <c r="E82" s="8">
        <v>1114</v>
      </c>
    </row>
    <row r="83" spans="1:5" ht="21" customHeight="1" x14ac:dyDescent="0.4">
      <c r="A83" s="8">
        <v>65</v>
      </c>
      <c r="B83" s="8" t="s">
        <v>76</v>
      </c>
      <c r="C83" s="8">
        <v>5062</v>
      </c>
      <c r="D83" s="8">
        <v>2389</v>
      </c>
      <c r="E83" s="8">
        <v>2673</v>
      </c>
    </row>
    <row r="84" spans="1:5" ht="21" customHeight="1" x14ac:dyDescent="0.4">
      <c r="A84" s="8">
        <v>66</v>
      </c>
      <c r="B84" s="8" t="s">
        <v>77</v>
      </c>
      <c r="C84" s="8">
        <v>2778</v>
      </c>
      <c r="D84" s="8">
        <v>1374</v>
      </c>
      <c r="E84" s="8">
        <v>1404</v>
      </c>
    </row>
    <row r="85" spans="1:5" ht="21" customHeight="1" x14ac:dyDescent="0.4">
      <c r="A85" s="8">
        <v>67</v>
      </c>
      <c r="B85" s="8" t="s">
        <v>78</v>
      </c>
      <c r="C85" s="8">
        <v>4644</v>
      </c>
      <c r="D85" s="8">
        <v>2177</v>
      </c>
      <c r="E85" s="8">
        <v>2467</v>
      </c>
    </row>
    <row r="86" spans="1:5" ht="21" customHeight="1" x14ac:dyDescent="0.4">
      <c r="A86" s="8">
        <v>68</v>
      </c>
      <c r="B86" s="8" t="s">
        <v>79</v>
      </c>
      <c r="C86" s="8">
        <v>3473</v>
      </c>
      <c r="D86" s="8">
        <v>1666</v>
      </c>
      <c r="E86" s="8">
        <v>1807</v>
      </c>
    </row>
    <row r="87" spans="1:5" ht="21" customHeight="1" x14ac:dyDescent="0.4">
      <c r="A87" s="8">
        <v>69</v>
      </c>
      <c r="B87" s="8" t="s">
        <v>80</v>
      </c>
      <c r="C87" s="8">
        <v>7518</v>
      </c>
      <c r="D87" s="8">
        <v>3667</v>
      </c>
      <c r="E87" s="8">
        <v>3851</v>
      </c>
    </row>
    <row r="88" spans="1:5" ht="21" customHeight="1" x14ac:dyDescent="0.4">
      <c r="A88" s="8">
        <v>70</v>
      </c>
      <c r="B88" s="8" t="s">
        <v>81</v>
      </c>
      <c r="C88" s="8">
        <v>5689</v>
      </c>
      <c r="D88" s="8">
        <v>2765</v>
      </c>
      <c r="E88" s="8">
        <v>2924</v>
      </c>
    </row>
    <row r="89" spans="1:5" ht="21" customHeight="1" x14ac:dyDescent="0.4">
      <c r="A89" s="8">
        <v>71</v>
      </c>
      <c r="B89" s="8" t="s">
        <v>82</v>
      </c>
      <c r="C89" s="8">
        <v>6397</v>
      </c>
      <c r="D89" s="8">
        <v>3010</v>
      </c>
      <c r="E89" s="8">
        <v>3387</v>
      </c>
    </row>
    <row r="90" spans="1:5" ht="21" customHeight="1" x14ac:dyDescent="0.4">
      <c r="A90" s="8">
        <v>72</v>
      </c>
      <c r="B90" s="8" t="s">
        <v>83</v>
      </c>
      <c r="C90" s="8">
        <v>3185</v>
      </c>
      <c r="D90" s="8">
        <v>1541</v>
      </c>
      <c r="E90" s="8">
        <v>1644</v>
      </c>
    </row>
    <row r="91" spans="1:5" ht="21" customHeight="1" x14ac:dyDescent="0.4">
      <c r="A91" s="8">
        <v>73</v>
      </c>
      <c r="B91" s="8" t="s">
        <v>84</v>
      </c>
      <c r="C91" s="8">
        <v>3658</v>
      </c>
      <c r="D91" s="8">
        <v>1741</v>
      </c>
      <c r="E91" s="8">
        <v>1917</v>
      </c>
    </row>
    <row r="92" spans="1:5" ht="21" customHeight="1" x14ac:dyDescent="0.4">
      <c r="A92" s="8">
        <v>74</v>
      </c>
      <c r="B92" s="8" t="s">
        <v>85</v>
      </c>
      <c r="C92" s="8">
        <v>2322</v>
      </c>
      <c r="D92" s="8">
        <v>1138</v>
      </c>
      <c r="E92" s="8">
        <v>1184</v>
      </c>
    </row>
    <row r="93" spans="1:5" ht="21" customHeight="1" x14ac:dyDescent="0.4">
      <c r="A93" s="8">
        <v>75</v>
      </c>
      <c r="B93" s="8" t="s">
        <v>86</v>
      </c>
      <c r="C93" s="8">
        <v>4055</v>
      </c>
      <c r="D93" s="8">
        <v>1934</v>
      </c>
      <c r="E93" s="8">
        <v>2121</v>
      </c>
    </row>
    <row r="94" spans="1:5" ht="21" customHeight="1" x14ac:dyDescent="0.4">
      <c r="A94" s="8">
        <v>76</v>
      </c>
      <c r="B94" s="8" t="s">
        <v>87</v>
      </c>
      <c r="C94" s="8">
        <v>3216</v>
      </c>
      <c r="D94" s="8">
        <v>1550</v>
      </c>
      <c r="E94" s="8">
        <v>1666</v>
      </c>
    </row>
    <row r="95" spans="1:5" ht="21" customHeight="1" x14ac:dyDescent="0.4">
      <c r="A95" s="8">
        <v>77</v>
      </c>
      <c r="B95" s="8" t="s">
        <v>88</v>
      </c>
      <c r="C95" s="8">
        <v>15112</v>
      </c>
      <c r="D95" s="8">
        <v>7636</v>
      </c>
      <c r="E95" s="8">
        <v>7476</v>
      </c>
    </row>
    <row r="96" spans="1:5" ht="21" customHeight="1" x14ac:dyDescent="0.4">
      <c r="A96" s="8">
        <v>78</v>
      </c>
      <c r="B96" s="8" t="s">
        <v>89</v>
      </c>
      <c r="C96" s="8">
        <v>4532</v>
      </c>
      <c r="D96" s="8">
        <v>2026</v>
      </c>
      <c r="E96" s="8">
        <v>2506</v>
      </c>
    </row>
    <row r="97" spans="1:5" ht="21" customHeight="1" x14ac:dyDescent="0.4">
      <c r="A97" s="8">
        <v>79</v>
      </c>
      <c r="B97" s="8" t="s">
        <v>90</v>
      </c>
      <c r="C97" s="8">
        <v>9935</v>
      </c>
      <c r="D97" s="8">
        <v>4914</v>
      </c>
      <c r="E97" s="8">
        <v>5021</v>
      </c>
    </row>
    <row r="98" spans="1:5" ht="21" customHeight="1" x14ac:dyDescent="0.4">
      <c r="A98" s="8">
        <v>80</v>
      </c>
      <c r="B98" s="8" t="s">
        <v>91</v>
      </c>
      <c r="C98" s="8">
        <v>1331</v>
      </c>
      <c r="D98" s="8">
        <v>651</v>
      </c>
      <c r="E98" s="8">
        <v>680</v>
      </c>
    </row>
    <row r="99" spans="1:5" ht="21" customHeight="1" x14ac:dyDescent="0.4">
      <c r="A99" s="8">
        <v>81</v>
      </c>
      <c r="B99" s="8" t="s">
        <v>92</v>
      </c>
      <c r="C99" s="8">
        <v>2517</v>
      </c>
      <c r="D99" s="8">
        <v>1233</v>
      </c>
      <c r="E99" s="8">
        <v>1284</v>
      </c>
    </row>
    <row r="100" spans="1:5" ht="21" customHeight="1" x14ac:dyDescent="0.4">
      <c r="A100" s="8">
        <v>82</v>
      </c>
      <c r="B100" s="8" t="s">
        <v>93</v>
      </c>
      <c r="C100" s="8">
        <v>1805</v>
      </c>
      <c r="D100" s="8">
        <v>859</v>
      </c>
      <c r="E100" s="8">
        <v>946</v>
      </c>
    </row>
    <row r="101" spans="1:5" ht="21" customHeight="1" x14ac:dyDescent="0.4">
      <c r="A101" s="8">
        <v>83</v>
      </c>
      <c r="B101" s="8" t="s">
        <v>94</v>
      </c>
      <c r="C101" s="8">
        <v>2611</v>
      </c>
      <c r="D101" s="8">
        <v>1256</v>
      </c>
      <c r="E101" s="8">
        <v>1355</v>
      </c>
    </row>
    <row r="102" spans="1:5" ht="21" customHeight="1" x14ac:dyDescent="0.4">
      <c r="A102" s="8">
        <v>84</v>
      </c>
      <c r="B102" s="8" t="s">
        <v>95</v>
      </c>
      <c r="C102" s="8">
        <v>3089</v>
      </c>
      <c r="D102" s="8">
        <v>1515</v>
      </c>
      <c r="E102" s="8">
        <v>1574</v>
      </c>
    </row>
    <row r="103" spans="1:5" ht="21" customHeight="1" x14ac:dyDescent="0.4">
      <c r="A103" s="8">
        <v>85</v>
      </c>
      <c r="B103" s="8" t="s">
        <v>96</v>
      </c>
      <c r="C103" s="8">
        <v>5692</v>
      </c>
      <c r="D103" s="8">
        <v>2632</v>
      </c>
      <c r="E103" s="8">
        <v>3060</v>
      </c>
    </row>
    <row r="104" spans="1:5" ht="21" customHeight="1" x14ac:dyDescent="0.4">
      <c r="A104" s="8">
        <v>86</v>
      </c>
      <c r="B104" s="8" t="s">
        <v>97</v>
      </c>
      <c r="C104" s="8">
        <v>2733</v>
      </c>
      <c r="D104" s="8">
        <v>1369</v>
      </c>
      <c r="E104" s="8">
        <v>1364</v>
      </c>
    </row>
    <row r="105" spans="1:5" ht="21" customHeight="1" x14ac:dyDescent="0.4">
      <c r="A105" s="8">
        <v>87</v>
      </c>
      <c r="B105" s="8" t="s">
        <v>98</v>
      </c>
      <c r="C105" s="8">
        <v>3913</v>
      </c>
      <c r="D105" s="8">
        <v>1802</v>
      </c>
      <c r="E105" s="8">
        <v>2111</v>
      </c>
    </row>
    <row r="106" spans="1:5" ht="21" customHeight="1" x14ac:dyDescent="0.4">
      <c r="A106" s="8">
        <v>88</v>
      </c>
      <c r="B106" s="8" t="s">
        <v>99</v>
      </c>
      <c r="C106" s="8">
        <v>2098</v>
      </c>
      <c r="D106" s="8">
        <v>1025</v>
      </c>
      <c r="E106" s="8">
        <v>1073</v>
      </c>
    </row>
    <row r="107" spans="1:5" ht="21" customHeight="1" x14ac:dyDescent="0.4">
      <c r="A107" s="8">
        <v>89</v>
      </c>
      <c r="B107" s="8" t="s">
        <v>100</v>
      </c>
      <c r="C107" s="8">
        <v>2830</v>
      </c>
      <c r="D107" s="8">
        <v>1317</v>
      </c>
      <c r="E107" s="8">
        <v>1513</v>
      </c>
    </row>
    <row r="108" spans="1:5" ht="21" customHeight="1" x14ac:dyDescent="0.4">
      <c r="A108" s="8">
        <v>90</v>
      </c>
      <c r="B108" s="8" t="s">
        <v>101</v>
      </c>
      <c r="C108" s="8">
        <v>7761</v>
      </c>
      <c r="D108" s="8">
        <v>3632</v>
      </c>
      <c r="E108" s="8">
        <v>4129</v>
      </c>
    </row>
    <row r="109" spans="1:5" ht="21" customHeight="1" x14ac:dyDescent="0.4">
      <c r="A109" s="12">
        <v>91</v>
      </c>
      <c r="B109" s="12" t="s">
        <v>102</v>
      </c>
      <c r="C109" s="12">
        <v>2239</v>
      </c>
      <c r="D109" s="12">
        <v>1065</v>
      </c>
      <c r="E109" s="12">
        <v>1174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Kayin State,  Hpa-an District,Hpa-an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zoomScaleNormal="100"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0" customWidth="1"/>
    <col min="6" max="16384" width="9.140625" style="1"/>
  </cols>
  <sheetData>
    <row r="1" spans="1:5" ht="25.5" customHeight="1" x14ac:dyDescent="0.4">
      <c r="A1" s="36" t="s">
        <v>395</v>
      </c>
      <c r="B1" s="36"/>
      <c r="C1" s="36"/>
      <c r="D1" s="36"/>
      <c r="E1" s="36"/>
    </row>
    <row r="2" spans="1:5" ht="25.5" customHeight="1" x14ac:dyDescent="0.4">
      <c r="E2" s="18" t="s">
        <v>391</v>
      </c>
    </row>
    <row r="3" spans="1:5" ht="12.75" customHeight="1" x14ac:dyDescent="0.4"/>
    <row r="4" spans="1:5" ht="25.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5.5" customHeight="1" x14ac:dyDescent="0.4">
      <c r="A5" s="27"/>
      <c r="B5" s="27"/>
      <c r="C5" s="21" t="s">
        <v>0</v>
      </c>
      <c r="D5" s="21" t="s">
        <v>1</v>
      </c>
      <c r="E5" s="21" t="s">
        <v>2</v>
      </c>
    </row>
    <row r="6" spans="1:5" ht="25.5" customHeight="1" x14ac:dyDescent="0.4">
      <c r="A6" s="5"/>
      <c r="B6" s="16" t="s">
        <v>409</v>
      </c>
      <c r="C6" s="16">
        <v>155544</v>
      </c>
      <c r="D6" s="16">
        <v>75960</v>
      </c>
      <c r="E6" s="16">
        <v>79584</v>
      </c>
    </row>
    <row r="7" spans="1:5" ht="10.5" customHeight="1" x14ac:dyDescent="0.4">
      <c r="A7" s="4"/>
      <c r="B7" s="8"/>
      <c r="C7" s="8"/>
      <c r="D7" s="8"/>
      <c r="E7" s="8"/>
    </row>
    <row r="8" spans="1:5" x14ac:dyDescent="0.4">
      <c r="A8" s="4"/>
      <c r="B8" s="7" t="s">
        <v>389</v>
      </c>
      <c r="C8" s="7">
        <f>SUM(C9:C12)</f>
        <v>11511</v>
      </c>
      <c r="D8" s="7">
        <f t="shared" ref="D8:E8" si="0">SUM(D9:D12)</f>
        <v>5622</v>
      </c>
      <c r="E8" s="7">
        <f t="shared" si="0"/>
        <v>5889</v>
      </c>
    </row>
    <row r="9" spans="1:5" x14ac:dyDescent="0.4">
      <c r="A9" s="8">
        <v>1</v>
      </c>
      <c r="B9" s="8" t="s">
        <v>103</v>
      </c>
      <c r="C9" s="8">
        <v>4432</v>
      </c>
      <c r="D9" s="8">
        <v>2140</v>
      </c>
      <c r="E9" s="8">
        <v>2292</v>
      </c>
    </row>
    <row r="10" spans="1:5" x14ac:dyDescent="0.4">
      <c r="A10" s="8">
        <v>2</v>
      </c>
      <c r="B10" s="8" t="s">
        <v>104</v>
      </c>
      <c r="C10" s="8">
        <v>2007</v>
      </c>
      <c r="D10" s="8">
        <v>1022</v>
      </c>
      <c r="E10" s="8">
        <v>985</v>
      </c>
    </row>
    <row r="11" spans="1:5" x14ac:dyDescent="0.4">
      <c r="A11" s="8">
        <v>3</v>
      </c>
      <c r="B11" s="8" t="s">
        <v>105</v>
      </c>
      <c r="C11" s="8">
        <v>2346</v>
      </c>
      <c r="D11" s="8">
        <v>1089</v>
      </c>
      <c r="E11" s="8">
        <v>1257</v>
      </c>
    </row>
    <row r="12" spans="1:5" x14ac:dyDescent="0.4">
      <c r="A12" s="8">
        <v>4</v>
      </c>
      <c r="B12" s="8" t="s">
        <v>106</v>
      </c>
      <c r="C12" s="8">
        <v>2726</v>
      </c>
      <c r="D12" s="8">
        <v>1371</v>
      </c>
      <c r="E12" s="8">
        <v>1355</v>
      </c>
    </row>
    <row r="13" spans="1:5" x14ac:dyDescent="0.4">
      <c r="A13" s="19"/>
      <c r="B13" s="7" t="s">
        <v>410</v>
      </c>
      <c r="C13" s="7">
        <f>SUM(C14:C49)</f>
        <v>144033</v>
      </c>
      <c r="D13" s="7">
        <f t="shared" ref="D13:E13" si="1">SUM(D14:D49)</f>
        <v>70338</v>
      </c>
      <c r="E13" s="7">
        <f t="shared" si="1"/>
        <v>73695</v>
      </c>
    </row>
    <row r="14" spans="1:5" x14ac:dyDescent="0.4">
      <c r="A14" s="8">
        <v>1</v>
      </c>
      <c r="B14" s="8" t="s">
        <v>107</v>
      </c>
      <c r="C14" s="8">
        <v>4190</v>
      </c>
      <c r="D14" s="8">
        <v>1988</v>
      </c>
      <c r="E14" s="8">
        <v>2202</v>
      </c>
    </row>
    <row r="15" spans="1:5" x14ac:dyDescent="0.4">
      <c r="A15" s="8">
        <v>2</v>
      </c>
      <c r="B15" s="8" t="s">
        <v>108</v>
      </c>
      <c r="C15" s="8">
        <v>1826</v>
      </c>
      <c r="D15" s="8">
        <v>1068</v>
      </c>
      <c r="E15" s="8">
        <v>758</v>
      </c>
    </row>
    <row r="16" spans="1:5" x14ac:dyDescent="0.4">
      <c r="A16" s="8">
        <v>3</v>
      </c>
      <c r="B16" s="8" t="s">
        <v>109</v>
      </c>
      <c r="C16" s="8">
        <v>2286</v>
      </c>
      <c r="D16" s="8">
        <v>1132</v>
      </c>
      <c r="E16" s="8">
        <v>1154</v>
      </c>
    </row>
    <row r="17" spans="1:5" x14ac:dyDescent="0.4">
      <c r="A17" s="8">
        <v>4</v>
      </c>
      <c r="B17" s="8" t="s">
        <v>110</v>
      </c>
      <c r="C17" s="8">
        <v>4527</v>
      </c>
      <c r="D17" s="8">
        <v>2234</v>
      </c>
      <c r="E17" s="8">
        <v>2293</v>
      </c>
    </row>
    <row r="18" spans="1:5" x14ac:dyDescent="0.4">
      <c r="A18" s="8">
        <v>5</v>
      </c>
      <c r="B18" s="8" t="s">
        <v>111</v>
      </c>
      <c r="C18" s="8">
        <v>4795</v>
      </c>
      <c r="D18" s="8">
        <v>2379</v>
      </c>
      <c r="E18" s="8">
        <v>2416</v>
      </c>
    </row>
    <row r="19" spans="1:5" x14ac:dyDescent="0.4">
      <c r="A19" s="8">
        <v>6</v>
      </c>
      <c r="B19" s="8" t="s">
        <v>112</v>
      </c>
      <c r="C19" s="8">
        <v>2520</v>
      </c>
      <c r="D19" s="8">
        <v>1234</v>
      </c>
      <c r="E19" s="8">
        <v>1286</v>
      </c>
    </row>
    <row r="20" spans="1:5" x14ac:dyDescent="0.4">
      <c r="A20" s="8">
        <v>7</v>
      </c>
      <c r="B20" s="8" t="s">
        <v>113</v>
      </c>
      <c r="C20" s="8">
        <v>5992</v>
      </c>
      <c r="D20" s="8">
        <v>2946</v>
      </c>
      <c r="E20" s="8">
        <v>3046</v>
      </c>
    </row>
    <row r="21" spans="1:5" x14ac:dyDescent="0.4">
      <c r="A21" s="8">
        <v>8</v>
      </c>
      <c r="B21" s="8" t="s">
        <v>114</v>
      </c>
      <c r="C21" s="8">
        <v>3937</v>
      </c>
      <c r="D21" s="8">
        <v>1871</v>
      </c>
      <c r="E21" s="8">
        <v>2066</v>
      </c>
    </row>
    <row r="22" spans="1:5" x14ac:dyDescent="0.4">
      <c r="A22" s="8">
        <v>9</v>
      </c>
      <c r="B22" s="8" t="s">
        <v>115</v>
      </c>
      <c r="C22" s="8">
        <v>3575</v>
      </c>
      <c r="D22" s="8">
        <v>1681</v>
      </c>
      <c r="E22" s="8">
        <v>1894</v>
      </c>
    </row>
    <row r="23" spans="1:5" x14ac:dyDescent="0.4">
      <c r="A23" s="8">
        <v>10</v>
      </c>
      <c r="B23" s="8" t="s">
        <v>116</v>
      </c>
      <c r="C23" s="8">
        <v>3777</v>
      </c>
      <c r="D23" s="8">
        <v>1790</v>
      </c>
      <c r="E23" s="8">
        <v>1987</v>
      </c>
    </row>
    <row r="24" spans="1:5" x14ac:dyDescent="0.4">
      <c r="A24" s="8">
        <v>11</v>
      </c>
      <c r="B24" s="8" t="s">
        <v>117</v>
      </c>
      <c r="C24" s="8">
        <v>5939</v>
      </c>
      <c r="D24" s="8">
        <v>2827</v>
      </c>
      <c r="E24" s="8">
        <v>3112</v>
      </c>
    </row>
    <row r="25" spans="1:5" x14ac:dyDescent="0.4">
      <c r="A25" s="8">
        <v>12</v>
      </c>
      <c r="B25" s="8" t="s">
        <v>118</v>
      </c>
      <c r="C25" s="8">
        <v>5724</v>
      </c>
      <c r="D25" s="8">
        <v>2734</v>
      </c>
      <c r="E25" s="8">
        <v>2990</v>
      </c>
    </row>
    <row r="26" spans="1:5" x14ac:dyDescent="0.4">
      <c r="A26" s="8">
        <v>13</v>
      </c>
      <c r="B26" s="8" t="s">
        <v>119</v>
      </c>
      <c r="C26" s="8">
        <v>1092</v>
      </c>
      <c r="D26" s="8">
        <v>537</v>
      </c>
      <c r="E26" s="8">
        <v>555</v>
      </c>
    </row>
    <row r="27" spans="1:5" x14ac:dyDescent="0.4">
      <c r="A27" s="8">
        <v>14</v>
      </c>
      <c r="B27" s="8" t="s">
        <v>120</v>
      </c>
      <c r="C27" s="8">
        <v>517</v>
      </c>
      <c r="D27" s="8">
        <v>252</v>
      </c>
      <c r="E27" s="8">
        <v>265</v>
      </c>
    </row>
    <row r="28" spans="1:5" x14ac:dyDescent="0.4">
      <c r="A28" s="8">
        <v>15</v>
      </c>
      <c r="B28" s="8" t="s">
        <v>121</v>
      </c>
      <c r="C28" s="8">
        <v>1697</v>
      </c>
      <c r="D28" s="8">
        <v>841</v>
      </c>
      <c r="E28" s="8">
        <v>856</v>
      </c>
    </row>
    <row r="29" spans="1:5" x14ac:dyDescent="0.4">
      <c r="A29" s="8">
        <v>16</v>
      </c>
      <c r="B29" s="8" t="s">
        <v>122</v>
      </c>
      <c r="C29" s="8">
        <v>5506</v>
      </c>
      <c r="D29" s="8">
        <v>2683</v>
      </c>
      <c r="E29" s="8">
        <v>2823</v>
      </c>
    </row>
    <row r="30" spans="1:5" x14ac:dyDescent="0.4">
      <c r="A30" s="8">
        <v>17</v>
      </c>
      <c r="B30" s="8" t="s">
        <v>123</v>
      </c>
      <c r="C30" s="8">
        <v>1417</v>
      </c>
      <c r="D30" s="8">
        <v>721</v>
      </c>
      <c r="E30" s="8">
        <v>696</v>
      </c>
    </row>
    <row r="31" spans="1:5" x14ac:dyDescent="0.4">
      <c r="A31" s="8">
        <v>18</v>
      </c>
      <c r="B31" s="8" t="s">
        <v>124</v>
      </c>
      <c r="C31" s="8">
        <v>1951</v>
      </c>
      <c r="D31" s="8">
        <v>981</v>
      </c>
      <c r="E31" s="8">
        <v>970</v>
      </c>
    </row>
    <row r="32" spans="1:5" x14ac:dyDescent="0.4">
      <c r="A32" s="8">
        <v>19</v>
      </c>
      <c r="B32" s="8" t="s">
        <v>125</v>
      </c>
      <c r="C32" s="8">
        <v>4258</v>
      </c>
      <c r="D32" s="8">
        <v>2066</v>
      </c>
      <c r="E32" s="8">
        <v>2192</v>
      </c>
    </row>
    <row r="33" spans="1:5" x14ac:dyDescent="0.4">
      <c r="A33" s="8">
        <v>20</v>
      </c>
      <c r="B33" s="8" t="s">
        <v>126</v>
      </c>
      <c r="C33" s="8">
        <v>1943</v>
      </c>
      <c r="D33" s="8">
        <v>953</v>
      </c>
      <c r="E33" s="8">
        <v>990</v>
      </c>
    </row>
    <row r="34" spans="1:5" x14ac:dyDescent="0.4">
      <c r="A34" s="8">
        <v>21</v>
      </c>
      <c r="B34" s="8" t="s">
        <v>127</v>
      </c>
      <c r="C34" s="8">
        <v>3541</v>
      </c>
      <c r="D34" s="8">
        <v>1764</v>
      </c>
      <c r="E34" s="8">
        <v>1777</v>
      </c>
    </row>
    <row r="35" spans="1:5" x14ac:dyDescent="0.4">
      <c r="A35" s="8">
        <v>22</v>
      </c>
      <c r="B35" s="8" t="s">
        <v>128</v>
      </c>
      <c r="C35" s="8">
        <v>3429</v>
      </c>
      <c r="D35" s="8">
        <v>1719</v>
      </c>
      <c r="E35" s="8">
        <v>1710</v>
      </c>
    </row>
    <row r="36" spans="1:5" x14ac:dyDescent="0.4">
      <c r="A36" s="8">
        <v>23</v>
      </c>
      <c r="B36" s="8" t="s">
        <v>129</v>
      </c>
      <c r="C36" s="8">
        <v>18282</v>
      </c>
      <c r="D36" s="8">
        <v>9022</v>
      </c>
      <c r="E36" s="8">
        <v>9260</v>
      </c>
    </row>
    <row r="37" spans="1:5" x14ac:dyDescent="0.4">
      <c r="A37" s="8">
        <v>24</v>
      </c>
      <c r="B37" s="8" t="s">
        <v>130</v>
      </c>
      <c r="C37" s="8">
        <v>8414</v>
      </c>
      <c r="D37" s="8">
        <v>4074</v>
      </c>
      <c r="E37" s="8">
        <v>4340</v>
      </c>
    </row>
    <row r="38" spans="1:5" x14ac:dyDescent="0.4">
      <c r="A38" s="8">
        <v>25</v>
      </c>
      <c r="B38" s="8" t="s">
        <v>131</v>
      </c>
      <c r="C38" s="8">
        <v>5187</v>
      </c>
      <c r="D38" s="8">
        <v>2571</v>
      </c>
      <c r="E38" s="8">
        <v>2616</v>
      </c>
    </row>
    <row r="39" spans="1:5" x14ac:dyDescent="0.4">
      <c r="A39" s="8">
        <v>26</v>
      </c>
      <c r="B39" s="8" t="s">
        <v>132</v>
      </c>
      <c r="C39" s="8">
        <v>3624</v>
      </c>
      <c r="D39" s="8">
        <v>1767</v>
      </c>
      <c r="E39" s="8">
        <v>1857</v>
      </c>
    </row>
    <row r="40" spans="1:5" x14ac:dyDescent="0.4">
      <c r="A40" s="8">
        <v>27</v>
      </c>
      <c r="B40" s="8" t="s">
        <v>133</v>
      </c>
      <c r="C40" s="8">
        <v>5330</v>
      </c>
      <c r="D40" s="8">
        <v>2649</v>
      </c>
      <c r="E40" s="8">
        <v>2681</v>
      </c>
    </row>
    <row r="41" spans="1:5" x14ac:dyDescent="0.4">
      <c r="A41" s="8">
        <v>28</v>
      </c>
      <c r="B41" s="8" t="s">
        <v>134</v>
      </c>
      <c r="C41" s="8">
        <v>2357</v>
      </c>
      <c r="D41" s="8">
        <v>1145</v>
      </c>
      <c r="E41" s="8">
        <v>1212</v>
      </c>
    </row>
    <row r="42" spans="1:5" x14ac:dyDescent="0.4">
      <c r="A42" s="8">
        <v>29</v>
      </c>
      <c r="B42" s="8" t="s">
        <v>135</v>
      </c>
      <c r="C42" s="8">
        <v>3387</v>
      </c>
      <c r="D42" s="8">
        <v>1626</v>
      </c>
      <c r="E42" s="8">
        <v>1761</v>
      </c>
    </row>
    <row r="43" spans="1:5" x14ac:dyDescent="0.4">
      <c r="A43" s="8">
        <v>30</v>
      </c>
      <c r="B43" s="8" t="s">
        <v>136</v>
      </c>
      <c r="C43" s="8">
        <v>2440</v>
      </c>
      <c r="D43" s="8">
        <v>1185</v>
      </c>
      <c r="E43" s="8">
        <v>1255</v>
      </c>
    </row>
    <row r="44" spans="1:5" x14ac:dyDescent="0.4">
      <c r="A44" s="8">
        <v>31</v>
      </c>
      <c r="B44" s="8" t="s">
        <v>137</v>
      </c>
      <c r="C44" s="8">
        <v>2836</v>
      </c>
      <c r="D44" s="8">
        <v>1353</v>
      </c>
      <c r="E44" s="8">
        <v>1483</v>
      </c>
    </row>
    <row r="45" spans="1:5" x14ac:dyDescent="0.4">
      <c r="A45" s="8">
        <v>32</v>
      </c>
      <c r="B45" s="8" t="s">
        <v>138</v>
      </c>
      <c r="C45" s="8">
        <v>1016</v>
      </c>
      <c r="D45" s="8">
        <v>528</v>
      </c>
      <c r="E45" s="8">
        <v>488</v>
      </c>
    </row>
    <row r="46" spans="1:5" x14ac:dyDescent="0.4">
      <c r="A46" s="8">
        <v>33</v>
      </c>
      <c r="B46" s="8" t="s">
        <v>139</v>
      </c>
      <c r="C46" s="8">
        <v>8515</v>
      </c>
      <c r="D46" s="8">
        <v>4036</v>
      </c>
      <c r="E46" s="8">
        <v>4479</v>
      </c>
    </row>
    <row r="47" spans="1:5" x14ac:dyDescent="0.4">
      <c r="A47" s="8">
        <v>34</v>
      </c>
      <c r="B47" s="8" t="s">
        <v>140</v>
      </c>
      <c r="C47" s="8">
        <v>2131</v>
      </c>
      <c r="D47" s="8">
        <v>1056</v>
      </c>
      <c r="E47" s="8">
        <v>1075</v>
      </c>
    </row>
    <row r="48" spans="1:5" x14ac:dyDescent="0.4">
      <c r="A48" s="8">
        <v>35</v>
      </c>
      <c r="B48" s="8" t="s">
        <v>141</v>
      </c>
      <c r="C48" s="8">
        <v>5768</v>
      </c>
      <c r="D48" s="8">
        <v>2782</v>
      </c>
      <c r="E48" s="8">
        <v>2986</v>
      </c>
    </row>
    <row r="49" spans="1:5" x14ac:dyDescent="0.4">
      <c r="A49" s="12">
        <v>36</v>
      </c>
      <c r="B49" s="12" t="s">
        <v>142</v>
      </c>
      <c r="C49" s="12">
        <v>307</v>
      </c>
      <c r="D49" s="12">
        <v>143</v>
      </c>
      <c r="E49" s="12">
        <v>164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Kayin State,  Hpa-an District,   Hlaingbwe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sqref="A1:E1"/>
    </sheetView>
  </sheetViews>
  <sheetFormatPr defaultColWidth="18.42578125" defaultRowHeight="21.75" x14ac:dyDescent="0.4"/>
  <cols>
    <col min="1" max="1" width="9.140625" style="1" customWidth="1"/>
    <col min="2" max="2" width="31.140625" style="1" customWidth="1"/>
    <col min="3" max="5" width="15.7109375" style="1" customWidth="1"/>
    <col min="6" max="16384" width="18.42578125" style="1"/>
  </cols>
  <sheetData>
    <row r="1" spans="1:7" ht="24.75" customHeight="1" x14ac:dyDescent="0.4">
      <c r="A1" s="36" t="s">
        <v>396</v>
      </c>
      <c r="B1" s="36"/>
      <c r="C1" s="36"/>
      <c r="D1" s="36"/>
      <c r="E1" s="36"/>
    </row>
    <row r="2" spans="1:7" ht="24" customHeight="1" x14ac:dyDescent="0.4">
      <c r="E2" s="18" t="s">
        <v>391</v>
      </c>
    </row>
    <row r="3" spans="1:7" ht="12.75" customHeight="1" x14ac:dyDescent="0.4"/>
    <row r="4" spans="1:7" ht="24" customHeight="1" x14ac:dyDescent="0.4">
      <c r="A4" s="24" t="s">
        <v>387</v>
      </c>
      <c r="B4" s="24" t="s">
        <v>411</v>
      </c>
      <c r="C4" s="25" t="s">
        <v>388</v>
      </c>
      <c r="D4" s="25"/>
      <c r="E4" s="25"/>
    </row>
    <row r="5" spans="1:7" ht="24" customHeight="1" x14ac:dyDescent="0.4">
      <c r="A5" s="24"/>
      <c r="B5" s="24"/>
      <c r="C5" s="14" t="s">
        <v>0</v>
      </c>
      <c r="D5" s="14" t="s">
        <v>1</v>
      </c>
      <c r="E5" s="14" t="s">
        <v>2</v>
      </c>
    </row>
    <row r="6" spans="1:7" ht="24.75" customHeight="1" x14ac:dyDescent="0.4">
      <c r="A6" s="5"/>
      <c r="B6" s="16" t="s">
        <v>409</v>
      </c>
      <c r="C6" s="16">
        <v>30209</v>
      </c>
      <c r="D6" s="16">
        <v>15297</v>
      </c>
      <c r="E6" s="16">
        <v>14912</v>
      </c>
      <c r="G6" s="16"/>
    </row>
    <row r="7" spans="1:7" ht="14.25" customHeight="1" x14ac:dyDescent="0.4">
      <c r="A7" s="4"/>
      <c r="B7" s="7"/>
      <c r="C7" s="7"/>
      <c r="D7" s="7"/>
      <c r="E7" s="7"/>
    </row>
    <row r="8" spans="1:7" x14ac:dyDescent="0.4">
      <c r="A8" s="4"/>
      <c r="B8" s="7" t="s">
        <v>389</v>
      </c>
      <c r="C8" s="7">
        <f>SUM(C9:C18)</f>
        <v>16056</v>
      </c>
      <c r="D8" s="7">
        <f t="shared" ref="D8:E8" si="0">SUM(D9:D18)</f>
        <v>8148</v>
      </c>
      <c r="E8" s="7">
        <f t="shared" si="0"/>
        <v>7908</v>
      </c>
    </row>
    <row r="9" spans="1:7" x14ac:dyDescent="0.4">
      <c r="A9" s="8">
        <v>1</v>
      </c>
      <c r="B9" s="8" t="s">
        <v>143</v>
      </c>
      <c r="C9" s="8">
        <v>2683</v>
      </c>
      <c r="D9" s="8">
        <v>1323</v>
      </c>
      <c r="E9" s="8">
        <v>1360</v>
      </c>
    </row>
    <row r="10" spans="1:7" x14ac:dyDescent="0.4">
      <c r="A10" s="8">
        <v>2</v>
      </c>
      <c r="B10" s="8" t="s">
        <v>144</v>
      </c>
      <c r="C10" s="8">
        <v>1238</v>
      </c>
      <c r="D10" s="8">
        <v>581</v>
      </c>
      <c r="E10" s="8">
        <v>657</v>
      </c>
    </row>
    <row r="11" spans="1:7" x14ac:dyDescent="0.4">
      <c r="A11" s="8">
        <v>3</v>
      </c>
      <c r="B11" s="8" t="s">
        <v>145</v>
      </c>
      <c r="C11" s="8">
        <v>1983</v>
      </c>
      <c r="D11" s="8">
        <v>1009</v>
      </c>
      <c r="E11" s="8">
        <v>974</v>
      </c>
    </row>
    <row r="12" spans="1:7" x14ac:dyDescent="0.4">
      <c r="A12" s="8">
        <v>4</v>
      </c>
      <c r="B12" s="8" t="s">
        <v>146</v>
      </c>
      <c r="C12" s="8">
        <v>1038</v>
      </c>
      <c r="D12" s="8">
        <v>562</v>
      </c>
      <c r="E12" s="8">
        <v>476</v>
      </c>
    </row>
    <row r="13" spans="1:7" x14ac:dyDescent="0.4">
      <c r="A13" s="8">
        <v>5</v>
      </c>
      <c r="B13" s="8" t="s">
        <v>147</v>
      </c>
      <c r="C13" s="8">
        <v>2498</v>
      </c>
      <c r="D13" s="8">
        <v>1432</v>
      </c>
      <c r="E13" s="8">
        <v>1066</v>
      </c>
    </row>
    <row r="14" spans="1:7" x14ac:dyDescent="0.4">
      <c r="A14" s="4"/>
      <c r="B14" s="16" t="s">
        <v>390</v>
      </c>
      <c r="C14" s="7"/>
      <c r="D14" s="7"/>
      <c r="E14" s="7"/>
    </row>
    <row r="15" spans="1:7" x14ac:dyDescent="0.4">
      <c r="A15" s="8">
        <v>6</v>
      </c>
      <c r="B15" s="8" t="s">
        <v>143</v>
      </c>
      <c r="C15" s="8">
        <v>1676</v>
      </c>
      <c r="D15" s="8">
        <v>813</v>
      </c>
      <c r="E15" s="8">
        <v>863</v>
      </c>
    </row>
    <row r="16" spans="1:7" x14ac:dyDescent="0.4">
      <c r="A16" s="8">
        <v>7</v>
      </c>
      <c r="B16" s="8" t="s">
        <v>144</v>
      </c>
      <c r="C16" s="8">
        <v>1410</v>
      </c>
      <c r="D16" s="8">
        <v>705</v>
      </c>
      <c r="E16" s="8">
        <v>705</v>
      </c>
    </row>
    <row r="17" spans="1:5" x14ac:dyDescent="0.4">
      <c r="A17" s="8">
        <v>8</v>
      </c>
      <c r="B17" s="8" t="s">
        <v>145</v>
      </c>
      <c r="C17" s="8">
        <v>1490</v>
      </c>
      <c r="D17" s="8">
        <v>737</v>
      </c>
      <c r="E17" s="8">
        <v>753</v>
      </c>
    </row>
    <row r="18" spans="1:5" x14ac:dyDescent="0.4">
      <c r="A18" s="8">
        <v>9</v>
      </c>
      <c r="B18" s="8" t="s">
        <v>146</v>
      </c>
      <c r="C18" s="8">
        <v>2040</v>
      </c>
      <c r="D18" s="8">
        <v>986</v>
      </c>
      <c r="E18" s="8">
        <v>1054</v>
      </c>
    </row>
    <row r="19" spans="1:5" x14ac:dyDescent="0.4">
      <c r="A19" s="4"/>
      <c r="B19" s="7" t="s">
        <v>410</v>
      </c>
      <c r="C19" s="7">
        <f>SUM(C20:C30)</f>
        <v>14153</v>
      </c>
      <c r="D19" s="7">
        <f t="shared" ref="D19:E19" si="1">SUM(D20:D30)</f>
        <v>7149</v>
      </c>
      <c r="E19" s="7">
        <f t="shared" si="1"/>
        <v>7004</v>
      </c>
    </row>
    <row r="20" spans="1:5" x14ac:dyDescent="0.4">
      <c r="A20" s="8">
        <v>1</v>
      </c>
      <c r="B20" s="8" t="s">
        <v>148</v>
      </c>
      <c r="C20" s="8">
        <v>4869</v>
      </c>
      <c r="D20" s="8">
        <v>2450</v>
      </c>
      <c r="E20" s="8">
        <v>2419</v>
      </c>
    </row>
    <row r="21" spans="1:5" x14ac:dyDescent="0.4">
      <c r="A21" s="8">
        <v>2</v>
      </c>
      <c r="B21" s="8" t="s">
        <v>149</v>
      </c>
      <c r="C21" s="8">
        <v>943</v>
      </c>
      <c r="D21" s="8">
        <v>477</v>
      </c>
      <c r="E21" s="8">
        <v>466</v>
      </c>
    </row>
    <row r="22" spans="1:5" x14ac:dyDescent="0.4">
      <c r="A22" s="8">
        <v>3</v>
      </c>
      <c r="B22" s="8" t="s">
        <v>150</v>
      </c>
      <c r="C22" s="8">
        <v>1459</v>
      </c>
      <c r="D22" s="8">
        <v>740</v>
      </c>
      <c r="E22" s="8">
        <v>719</v>
      </c>
    </row>
    <row r="23" spans="1:5" x14ac:dyDescent="0.4">
      <c r="A23" s="8">
        <v>4</v>
      </c>
      <c r="B23" s="8" t="s">
        <v>151</v>
      </c>
      <c r="C23" s="8">
        <v>1087</v>
      </c>
      <c r="D23" s="8">
        <v>562</v>
      </c>
      <c r="E23" s="8">
        <v>525</v>
      </c>
    </row>
    <row r="24" spans="1:5" x14ac:dyDescent="0.4">
      <c r="A24" s="8">
        <v>5</v>
      </c>
      <c r="B24" s="8" t="s">
        <v>152</v>
      </c>
      <c r="C24" s="8">
        <v>1542</v>
      </c>
      <c r="D24" s="8">
        <v>758</v>
      </c>
      <c r="E24" s="8">
        <v>784</v>
      </c>
    </row>
    <row r="25" spans="1:5" x14ac:dyDescent="0.4">
      <c r="A25" s="8">
        <v>6</v>
      </c>
      <c r="B25" s="8" t="s">
        <v>153</v>
      </c>
      <c r="C25" s="8">
        <v>564</v>
      </c>
      <c r="D25" s="8">
        <v>297</v>
      </c>
      <c r="E25" s="8">
        <v>267</v>
      </c>
    </row>
    <row r="26" spans="1:5" x14ac:dyDescent="0.4">
      <c r="A26" s="8">
        <v>7</v>
      </c>
      <c r="B26" s="8" t="s">
        <v>154</v>
      </c>
      <c r="C26" s="8">
        <v>1384</v>
      </c>
      <c r="D26" s="8">
        <v>695</v>
      </c>
      <c r="E26" s="8">
        <v>689</v>
      </c>
    </row>
    <row r="27" spans="1:5" x14ac:dyDescent="0.4">
      <c r="A27" s="8">
        <v>8</v>
      </c>
      <c r="B27" s="8" t="s">
        <v>155</v>
      </c>
      <c r="C27" s="8">
        <v>298</v>
      </c>
      <c r="D27" s="8">
        <v>154</v>
      </c>
      <c r="E27" s="8">
        <v>144</v>
      </c>
    </row>
    <row r="28" spans="1:5" x14ac:dyDescent="0.4">
      <c r="A28" s="8">
        <v>9</v>
      </c>
      <c r="B28" s="8" t="s">
        <v>156</v>
      </c>
      <c r="C28" s="8">
        <v>387</v>
      </c>
      <c r="D28" s="8">
        <v>210</v>
      </c>
      <c r="E28" s="8">
        <v>177</v>
      </c>
    </row>
    <row r="29" spans="1:5" x14ac:dyDescent="0.4">
      <c r="A29" s="8">
        <v>10</v>
      </c>
      <c r="B29" s="8" t="s">
        <v>157</v>
      </c>
      <c r="C29" s="8">
        <v>1244</v>
      </c>
      <c r="D29" s="8">
        <v>635</v>
      </c>
      <c r="E29" s="8">
        <v>609</v>
      </c>
    </row>
    <row r="30" spans="1:5" x14ac:dyDescent="0.4">
      <c r="A30" s="12">
        <v>11</v>
      </c>
      <c r="B30" s="12" t="s">
        <v>158</v>
      </c>
      <c r="C30" s="12">
        <v>376</v>
      </c>
      <c r="D30" s="12">
        <v>171</v>
      </c>
      <c r="E30" s="12">
        <v>205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Kayin State,  Hpa-an District, Thandaunggyi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E1"/>
    </sheetView>
  </sheetViews>
  <sheetFormatPr defaultRowHeight="21.75" x14ac:dyDescent="0.4"/>
  <cols>
    <col min="1" max="1" width="9.140625" style="1" customWidth="1"/>
    <col min="2" max="2" width="30" style="1" customWidth="1"/>
    <col min="3" max="5" width="15.7109375" style="1" customWidth="1"/>
    <col min="6" max="16384" width="9.140625" style="1"/>
  </cols>
  <sheetData>
    <row r="1" spans="1:5" ht="24" customHeight="1" x14ac:dyDescent="0.4">
      <c r="A1" s="37" t="s">
        <v>397</v>
      </c>
      <c r="B1" s="37"/>
      <c r="C1" s="37"/>
      <c r="D1" s="37"/>
      <c r="E1" s="37"/>
    </row>
    <row r="2" spans="1:5" ht="24" customHeight="1" x14ac:dyDescent="0.4">
      <c r="E2" s="18" t="s">
        <v>391</v>
      </c>
    </row>
    <row r="3" spans="1:5" ht="12" customHeight="1" x14ac:dyDescent="0.4"/>
    <row r="4" spans="1:5" ht="24" customHeight="1" x14ac:dyDescent="0.4">
      <c r="A4" s="24" t="s">
        <v>387</v>
      </c>
      <c r="B4" s="24" t="s">
        <v>411</v>
      </c>
      <c r="C4" s="25" t="s">
        <v>388</v>
      </c>
      <c r="D4" s="25"/>
      <c r="E4" s="25"/>
    </row>
    <row r="5" spans="1:5" ht="24" customHeight="1" x14ac:dyDescent="0.4">
      <c r="A5" s="24"/>
      <c r="B5" s="24"/>
      <c r="C5" s="14" t="s">
        <v>0</v>
      </c>
      <c r="D5" s="14" t="s">
        <v>1</v>
      </c>
      <c r="E5" s="14" t="s">
        <v>2</v>
      </c>
    </row>
    <row r="6" spans="1:5" ht="24" customHeight="1" x14ac:dyDescent="0.4">
      <c r="A6" s="11"/>
      <c r="B6" s="16" t="s">
        <v>409</v>
      </c>
      <c r="C6" s="13">
        <v>88604</v>
      </c>
      <c r="D6" s="13">
        <v>42977</v>
      </c>
      <c r="E6" s="13">
        <v>45627</v>
      </c>
    </row>
    <row r="7" spans="1:5" ht="12" customHeight="1" x14ac:dyDescent="0.4">
      <c r="A7" s="8"/>
      <c r="B7" s="8"/>
      <c r="C7" s="8"/>
      <c r="D7" s="8"/>
      <c r="E7" s="8"/>
    </row>
    <row r="8" spans="1:5" x14ac:dyDescent="0.4">
      <c r="A8" s="8"/>
      <c r="B8" s="7" t="s">
        <v>389</v>
      </c>
      <c r="C8" s="7">
        <f>SUM(C9:C13)</f>
        <v>4074</v>
      </c>
      <c r="D8" s="7">
        <f t="shared" ref="D8:E8" si="0">SUM(D9:D13)</f>
        <v>1935</v>
      </c>
      <c r="E8" s="7">
        <f t="shared" si="0"/>
        <v>2139</v>
      </c>
    </row>
    <row r="9" spans="1:5" x14ac:dyDescent="0.4">
      <c r="A9" s="8">
        <v>1</v>
      </c>
      <c r="B9" s="8" t="s">
        <v>143</v>
      </c>
      <c r="C9" s="8">
        <v>194</v>
      </c>
      <c r="D9" s="8">
        <v>95</v>
      </c>
      <c r="E9" s="8">
        <v>99</v>
      </c>
    </row>
    <row r="10" spans="1:5" x14ac:dyDescent="0.4">
      <c r="A10" s="8">
        <v>2</v>
      </c>
      <c r="B10" s="8" t="s">
        <v>144</v>
      </c>
      <c r="C10" s="8">
        <v>648</v>
      </c>
      <c r="D10" s="8">
        <v>315</v>
      </c>
      <c r="E10" s="8">
        <v>333</v>
      </c>
    </row>
    <row r="11" spans="1:5" x14ac:dyDescent="0.4">
      <c r="A11" s="8">
        <v>3</v>
      </c>
      <c r="B11" s="8" t="s">
        <v>145</v>
      </c>
      <c r="C11" s="8">
        <v>570</v>
      </c>
      <c r="D11" s="8">
        <v>298</v>
      </c>
      <c r="E11" s="8">
        <v>272</v>
      </c>
    </row>
    <row r="12" spans="1:5" x14ac:dyDescent="0.4">
      <c r="A12" s="8">
        <v>4</v>
      </c>
      <c r="B12" s="8" t="s">
        <v>146</v>
      </c>
      <c r="C12" s="8">
        <v>897</v>
      </c>
      <c r="D12" s="8">
        <v>401</v>
      </c>
      <c r="E12" s="8">
        <v>496</v>
      </c>
    </row>
    <row r="13" spans="1:5" x14ac:dyDescent="0.4">
      <c r="A13" s="8">
        <v>5</v>
      </c>
      <c r="B13" s="8" t="s">
        <v>147</v>
      </c>
      <c r="C13" s="8">
        <v>1765</v>
      </c>
      <c r="D13" s="8">
        <v>826</v>
      </c>
      <c r="E13" s="8">
        <v>939</v>
      </c>
    </row>
    <row r="14" spans="1:5" x14ac:dyDescent="0.4">
      <c r="A14" s="8"/>
      <c r="B14" s="7" t="s">
        <v>410</v>
      </c>
      <c r="C14" s="7">
        <f>SUM(C15:C41)</f>
        <v>84530</v>
      </c>
      <c r="D14" s="7">
        <f t="shared" ref="D14:E14" si="1">SUM(D15:D41)</f>
        <v>41042</v>
      </c>
      <c r="E14" s="7">
        <f t="shared" si="1"/>
        <v>43488</v>
      </c>
    </row>
    <row r="15" spans="1:5" x14ac:dyDescent="0.4">
      <c r="A15" s="8">
        <v>1</v>
      </c>
      <c r="B15" s="8" t="s">
        <v>159</v>
      </c>
      <c r="C15" s="8">
        <v>4310</v>
      </c>
      <c r="D15" s="8">
        <v>2066</v>
      </c>
      <c r="E15" s="8">
        <v>2244</v>
      </c>
    </row>
    <row r="16" spans="1:5" x14ac:dyDescent="0.4">
      <c r="A16" s="8">
        <v>2</v>
      </c>
      <c r="B16" s="8" t="s">
        <v>160</v>
      </c>
      <c r="C16" s="8">
        <v>1332</v>
      </c>
      <c r="D16" s="8">
        <v>662</v>
      </c>
      <c r="E16" s="8">
        <v>670</v>
      </c>
    </row>
    <row r="17" spans="1:5" x14ac:dyDescent="0.4">
      <c r="A17" s="8">
        <v>3</v>
      </c>
      <c r="B17" s="8" t="s">
        <v>161</v>
      </c>
      <c r="C17" s="8">
        <v>4014</v>
      </c>
      <c r="D17" s="8">
        <v>1975</v>
      </c>
      <c r="E17" s="8">
        <v>2039</v>
      </c>
    </row>
    <row r="18" spans="1:5" x14ac:dyDescent="0.4">
      <c r="A18" s="8">
        <v>4</v>
      </c>
      <c r="B18" s="8" t="s">
        <v>162</v>
      </c>
      <c r="C18" s="8">
        <v>2208</v>
      </c>
      <c r="D18" s="8">
        <v>1045</v>
      </c>
      <c r="E18" s="8">
        <v>1163</v>
      </c>
    </row>
    <row r="19" spans="1:5" x14ac:dyDescent="0.4">
      <c r="A19" s="8">
        <v>5</v>
      </c>
      <c r="B19" s="8" t="s">
        <v>163</v>
      </c>
      <c r="C19" s="8">
        <v>3150</v>
      </c>
      <c r="D19" s="8">
        <v>1505</v>
      </c>
      <c r="E19" s="8">
        <v>1645</v>
      </c>
    </row>
    <row r="20" spans="1:5" x14ac:dyDescent="0.4">
      <c r="A20" s="8">
        <v>6</v>
      </c>
      <c r="B20" s="8" t="s">
        <v>164</v>
      </c>
      <c r="C20" s="8">
        <v>2378</v>
      </c>
      <c r="D20" s="8">
        <v>1135</v>
      </c>
      <c r="E20" s="8">
        <v>1243</v>
      </c>
    </row>
    <row r="21" spans="1:5" x14ac:dyDescent="0.4">
      <c r="A21" s="8">
        <v>7</v>
      </c>
      <c r="B21" s="8" t="s">
        <v>165</v>
      </c>
      <c r="C21" s="8">
        <v>2673</v>
      </c>
      <c r="D21" s="8">
        <v>1276</v>
      </c>
      <c r="E21" s="8">
        <v>1397</v>
      </c>
    </row>
    <row r="22" spans="1:5" x14ac:dyDescent="0.4">
      <c r="A22" s="8">
        <v>8</v>
      </c>
      <c r="B22" s="8" t="s">
        <v>166</v>
      </c>
      <c r="C22" s="8">
        <v>1942</v>
      </c>
      <c r="D22" s="8">
        <v>935</v>
      </c>
      <c r="E22" s="8">
        <v>1007</v>
      </c>
    </row>
    <row r="23" spans="1:5" x14ac:dyDescent="0.4">
      <c r="A23" s="8">
        <v>9</v>
      </c>
      <c r="B23" s="8" t="s">
        <v>167</v>
      </c>
      <c r="C23" s="8">
        <v>2162</v>
      </c>
      <c r="D23" s="8">
        <v>1051</v>
      </c>
      <c r="E23" s="8">
        <v>1111</v>
      </c>
    </row>
    <row r="24" spans="1:5" x14ac:dyDescent="0.4">
      <c r="A24" s="8">
        <v>10</v>
      </c>
      <c r="B24" s="8" t="s">
        <v>168</v>
      </c>
      <c r="C24" s="8">
        <v>3112</v>
      </c>
      <c r="D24" s="8">
        <v>1436</v>
      </c>
      <c r="E24" s="8">
        <v>1676</v>
      </c>
    </row>
    <row r="25" spans="1:5" x14ac:dyDescent="0.4">
      <c r="A25" s="8">
        <v>11</v>
      </c>
      <c r="B25" s="8" t="s">
        <v>169</v>
      </c>
      <c r="C25" s="8">
        <v>4634</v>
      </c>
      <c r="D25" s="8">
        <v>2259</v>
      </c>
      <c r="E25" s="8">
        <v>2375</v>
      </c>
    </row>
    <row r="26" spans="1:5" x14ac:dyDescent="0.4">
      <c r="A26" s="8">
        <v>12</v>
      </c>
      <c r="B26" s="8" t="s">
        <v>170</v>
      </c>
      <c r="C26" s="8">
        <v>4951</v>
      </c>
      <c r="D26" s="8">
        <v>2426</v>
      </c>
      <c r="E26" s="8">
        <v>2525</v>
      </c>
    </row>
    <row r="27" spans="1:5" x14ac:dyDescent="0.4">
      <c r="A27" s="8">
        <v>13</v>
      </c>
      <c r="B27" s="8" t="s">
        <v>171</v>
      </c>
      <c r="C27" s="8">
        <v>3094</v>
      </c>
      <c r="D27" s="8">
        <v>1466</v>
      </c>
      <c r="E27" s="8">
        <v>1628</v>
      </c>
    </row>
    <row r="28" spans="1:5" x14ac:dyDescent="0.4">
      <c r="A28" s="8">
        <v>14</v>
      </c>
      <c r="B28" s="8" t="s">
        <v>172</v>
      </c>
      <c r="C28" s="8">
        <v>1682</v>
      </c>
      <c r="D28" s="8">
        <v>766</v>
      </c>
      <c r="E28" s="8">
        <v>916</v>
      </c>
    </row>
    <row r="29" spans="1:5" x14ac:dyDescent="0.4">
      <c r="A29" s="8">
        <v>15</v>
      </c>
      <c r="B29" s="8" t="s">
        <v>173</v>
      </c>
      <c r="C29" s="8">
        <v>2731</v>
      </c>
      <c r="D29" s="8">
        <v>1306</v>
      </c>
      <c r="E29" s="8">
        <v>1425</v>
      </c>
    </row>
    <row r="30" spans="1:5" x14ac:dyDescent="0.4">
      <c r="A30" s="8">
        <v>16</v>
      </c>
      <c r="B30" s="8" t="s">
        <v>174</v>
      </c>
      <c r="C30" s="8">
        <v>5178</v>
      </c>
      <c r="D30" s="8">
        <v>2484</v>
      </c>
      <c r="E30" s="8">
        <v>2694</v>
      </c>
    </row>
    <row r="31" spans="1:5" x14ac:dyDescent="0.4">
      <c r="A31" s="8">
        <v>17</v>
      </c>
      <c r="B31" s="8" t="s">
        <v>175</v>
      </c>
      <c r="C31" s="8">
        <v>910</v>
      </c>
      <c r="D31" s="8">
        <v>415</v>
      </c>
      <c r="E31" s="8">
        <v>495</v>
      </c>
    </row>
    <row r="32" spans="1:5" x14ac:dyDescent="0.4">
      <c r="A32" s="8">
        <v>18</v>
      </c>
      <c r="B32" s="8" t="s">
        <v>176</v>
      </c>
      <c r="C32" s="8">
        <v>2604</v>
      </c>
      <c r="D32" s="8">
        <v>1241</v>
      </c>
      <c r="E32" s="8">
        <v>1363</v>
      </c>
    </row>
    <row r="33" spans="1:5" x14ac:dyDescent="0.4">
      <c r="A33" s="8">
        <v>19</v>
      </c>
      <c r="B33" s="8" t="s">
        <v>177</v>
      </c>
      <c r="C33" s="8">
        <v>2321</v>
      </c>
      <c r="D33" s="8">
        <v>1076</v>
      </c>
      <c r="E33" s="8">
        <v>1245</v>
      </c>
    </row>
    <row r="34" spans="1:5" x14ac:dyDescent="0.4">
      <c r="A34" s="8">
        <v>20</v>
      </c>
      <c r="B34" s="8" t="s">
        <v>178</v>
      </c>
      <c r="C34" s="8">
        <v>2814</v>
      </c>
      <c r="D34" s="8">
        <v>1353</v>
      </c>
      <c r="E34" s="8">
        <v>1461</v>
      </c>
    </row>
    <row r="35" spans="1:5" x14ac:dyDescent="0.4">
      <c r="A35" s="8">
        <v>21</v>
      </c>
      <c r="B35" s="8" t="s">
        <v>179</v>
      </c>
      <c r="C35" s="8">
        <v>3539</v>
      </c>
      <c r="D35" s="8">
        <v>1719</v>
      </c>
      <c r="E35" s="8">
        <v>1820</v>
      </c>
    </row>
    <row r="36" spans="1:5" x14ac:dyDescent="0.4">
      <c r="A36" s="8">
        <v>22</v>
      </c>
      <c r="B36" s="8" t="s">
        <v>180</v>
      </c>
      <c r="C36" s="8">
        <v>5951</v>
      </c>
      <c r="D36" s="8">
        <v>3123</v>
      </c>
      <c r="E36" s="8">
        <v>2828</v>
      </c>
    </row>
    <row r="37" spans="1:5" x14ac:dyDescent="0.4">
      <c r="A37" s="8">
        <v>23</v>
      </c>
      <c r="B37" s="8" t="s">
        <v>181</v>
      </c>
      <c r="C37" s="8">
        <v>4585</v>
      </c>
      <c r="D37" s="8">
        <v>2355</v>
      </c>
      <c r="E37" s="8">
        <v>2230</v>
      </c>
    </row>
    <row r="38" spans="1:5" x14ac:dyDescent="0.4">
      <c r="A38" s="8">
        <v>24</v>
      </c>
      <c r="B38" s="8" t="s">
        <v>182</v>
      </c>
      <c r="C38" s="8">
        <v>3120</v>
      </c>
      <c r="D38" s="8">
        <v>1513</v>
      </c>
      <c r="E38" s="8">
        <v>1607</v>
      </c>
    </row>
    <row r="39" spans="1:5" x14ac:dyDescent="0.4">
      <c r="A39" s="8">
        <v>25</v>
      </c>
      <c r="B39" s="8" t="s">
        <v>183</v>
      </c>
      <c r="C39" s="8">
        <v>2061</v>
      </c>
      <c r="D39" s="8">
        <v>1021</v>
      </c>
      <c r="E39" s="8">
        <v>1040</v>
      </c>
    </row>
    <row r="40" spans="1:5" x14ac:dyDescent="0.4">
      <c r="A40" s="8">
        <v>26</v>
      </c>
      <c r="B40" s="8" t="s">
        <v>184</v>
      </c>
      <c r="C40" s="8">
        <v>4898</v>
      </c>
      <c r="D40" s="8">
        <v>2387</v>
      </c>
      <c r="E40" s="8">
        <v>2511</v>
      </c>
    </row>
    <row r="41" spans="1:5" x14ac:dyDescent="0.4">
      <c r="A41" s="12">
        <v>27</v>
      </c>
      <c r="B41" s="12" t="s">
        <v>185</v>
      </c>
      <c r="C41" s="12">
        <v>2176</v>
      </c>
      <c r="D41" s="12">
        <v>1046</v>
      </c>
      <c r="E41" s="12">
        <v>1130</v>
      </c>
    </row>
  </sheetData>
  <mergeCells count="4">
    <mergeCell ref="A4:A5"/>
    <mergeCell ref="B4:B5"/>
    <mergeCell ref="C4:E4"/>
    <mergeCell ref="A1:E1"/>
  </mergeCells>
  <hyperlinks>
    <hyperlink ref="A1:E1" location="'List of Township'!A1" display="Kayin State,  Hpa-an District,   Paingkyon(Sub-Township) 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21.75" x14ac:dyDescent="0.4"/>
  <cols>
    <col min="1" max="1" width="9.140625" style="1" customWidth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26.25" customHeight="1" x14ac:dyDescent="0.25">
      <c r="A1" s="36" t="s">
        <v>398</v>
      </c>
      <c r="B1" s="36"/>
      <c r="C1" s="36"/>
      <c r="D1" s="36"/>
      <c r="E1" s="36"/>
    </row>
    <row r="2" spans="1:5" ht="26.25" customHeight="1" x14ac:dyDescent="0.4">
      <c r="C2" s="10"/>
      <c r="D2" s="10"/>
      <c r="E2" s="18" t="s">
        <v>391</v>
      </c>
    </row>
    <row r="3" spans="1:5" ht="10.5" customHeight="1" x14ac:dyDescent="0.4">
      <c r="C3" s="10"/>
      <c r="D3" s="10"/>
      <c r="E3" s="10"/>
    </row>
    <row r="4" spans="1:5" ht="26.2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6.25" customHeight="1" x14ac:dyDescent="0.4">
      <c r="A5" s="28"/>
      <c r="B5" s="27"/>
      <c r="C5" s="17" t="s">
        <v>0</v>
      </c>
      <c r="D5" s="17" t="s">
        <v>1</v>
      </c>
      <c r="E5" s="17" t="s">
        <v>2</v>
      </c>
    </row>
    <row r="6" spans="1:5" ht="26.25" customHeight="1" x14ac:dyDescent="0.4">
      <c r="A6" s="13"/>
      <c r="B6" s="16" t="s">
        <v>409</v>
      </c>
      <c r="C6" s="13">
        <v>21735</v>
      </c>
      <c r="D6" s="13">
        <v>10963</v>
      </c>
      <c r="E6" s="13">
        <v>10772</v>
      </c>
    </row>
    <row r="7" spans="1:5" ht="10.5" customHeight="1" x14ac:dyDescent="0.4">
      <c r="A7" s="8"/>
      <c r="B7" s="8"/>
      <c r="C7" s="8"/>
      <c r="D7" s="8"/>
      <c r="E7" s="8"/>
    </row>
    <row r="8" spans="1:5" x14ac:dyDescent="0.4">
      <c r="A8" s="8"/>
      <c r="B8" s="7" t="s">
        <v>389</v>
      </c>
      <c r="C8" s="7">
        <f>SUM(C9:C12)</f>
        <v>531</v>
      </c>
      <c r="D8" s="7">
        <f t="shared" ref="D8:E8" si="0">SUM(D9:D12)</f>
        <v>290</v>
      </c>
      <c r="E8" s="7">
        <f t="shared" si="0"/>
        <v>241</v>
      </c>
    </row>
    <row r="9" spans="1:5" x14ac:dyDescent="0.4">
      <c r="A9" s="8">
        <v>1</v>
      </c>
      <c r="B9" s="8" t="s">
        <v>143</v>
      </c>
      <c r="C9" s="8">
        <v>119</v>
      </c>
      <c r="D9" s="8">
        <v>52</v>
      </c>
      <c r="E9" s="8">
        <v>67</v>
      </c>
    </row>
    <row r="10" spans="1:5" x14ac:dyDescent="0.4">
      <c r="A10" s="8">
        <v>2</v>
      </c>
      <c r="B10" s="8" t="s">
        <v>144</v>
      </c>
      <c r="C10" s="8">
        <v>345</v>
      </c>
      <c r="D10" s="8">
        <v>202</v>
      </c>
      <c r="E10" s="8">
        <v>143</v>
      </c>
    </row>
    <row r="11" spans="1:5" x14ac:dyDescent="0.4">
      <c r="A11" s="8">
        <v>3</v>
      </c>
      <c r="B11" s="8" t="s">
        <v>145</v>
      </c>
      <c r="C11" s="8">
        <v>45</v>
      </c>
      <c r="D11" s="8">
        <v>24</v>
      </c>
      <c r="E11" s="8">
        <v>21</v>
      </c>
    </row>
    <row r="12" spans="1:5" x14ac:dyDescent="0.4">
      <c r="A12" s="8">
        <v>4</v>
      </c>
      <c r="B12" s="8" t="s">
        <v>146</v>
      </c>
      <c r="C12" s="8">
        <v>22</v>
      </c>
      <c r="D12" s="8">
        <v>12</v>
      </c>
      <c r="E12" s="8">
        <v>10</v>
      </c>
    </row>
    <row r="13" spans="1:5" x14ac:dyDescent="0.4">
      <c r="A13" s="8"/>
      <c r="B13" s="7" t="s">
        <v>410</v>
      </c>
      <c r="C13" s="7">
        <f>SUM(C14:C22)</f>
        <v>21204</v>
      </c>
      <c r="D13" s="7">
        <f t="shared" ref="D13:E13" si="1">SUM(D14:D22)</f>
        <v>10673</v>
      </c>
      <c r="E13" s="7">
        <f t="shared" si="1"/>
        <v>10531</v>
      </c>
    </row>
    <row r="14" spans="1:5" x14ac:dyDescent="0.4">
      <c r="A14" s="8">
        <v>1</v>
      </c>
      <c r="B14" s="8" t="s">
        <v>186</v>
      </c>
      <c r="C14" s="8">
        <v>2198</v>
      </c>
      <c r="D14" s="8">
        <v>1090</v>
      </c>
      <c r="E14" s="8">
        <v>1108</v>
      </c>
    </row>
    <row r="15" spans="1:5" x14ac:dyDescent="0.4">
      <c r="A15" s="8">
        <v>2</v>
      </c>
      <c r="B15" s="8" t="s">
        <v>187</v>
      </c>
      <c r="C15" s="8">
        <v>3429</v>
      </c>
      <c r="D15" s="8">
        <v>1707</v>
      </c>
      <c r="E15" s="8">
        <v>1722</v>
      </c>
    </row>
    <row r="16" spans="1:5" x14ac:dyDescent="0.4">
      <c r="A16" s="8">
        <v>3</v>
      </c>
      <c r="B16" s="8" t="s">
        <v>188</v>
      </c>
      <c r="C16" s="8">
        <v>3796</v>
      </c>
      <c r="D16" s="8">
        <v>1864</v>
      </c>
      <c r="E16" s="8">
        <v>1932</v>
      </c>
    </row>
    <row r="17" spans="1:5" x14ac:dyDescent="0.4">
      <c r="A17" s="8">
        <v>4</v>
      </c>
      <c r="B17" s="8" t="s">
        <v>189</v>
      </c>
      <c r="C17" s="8">
        <v>5838</v>
      </c>
      <c r="D17" s="8">
        <v>3062</v>
      </c>
      <c r="E17" s="8">
        <v>2776</v>
      </c>
    </row>
    <row r="18" spans="1:5" x14ac:dyDescent="0.4">
      <c r="A18" s="8">
        <v>5</v>
      </c>
      <c r="B18" s="8" t="s">
        <v>190</v>
      </c>
      <c r="C18" s="8">
        <v>1820</v>
      </c>
      <c r="D18" s="8">
        <v>896</v>
      </c>
      <c r="E18" s="8">
        <v>924</v>
      </c>
    </row>
    <row r="19" spans="1:5" x14ac:dyDescent="0.4">
      <c r="A19" s="8">
        <v>6</v>
      </c>
      <c r="B19" s="8" t="s">
        <v>191</v>
      </c>
      <c r="C19" s="8">
        <v>836</v>
      </c>
      <c r="D19" s="8">
        <v>405</v>
      </c>
      <c r="E19" s="8">
        <v>431</v>
      </c>
    </row>
    <row r="20" spans="1:5" x14ac:dyDescent="0.4">
      <c r="A20" s="8">
        <v>7</v>
      </c>
      <c r="B20" s="8" t="s">
        <v>192</v>
      </c>
      <c r="C20" s="8">
        <v>1095</v>
      </c>
      <c r="D20" s="8">
        <v>548</v>
      </c>
      <c r="E20" s="8">
        <v>547</v>
      </c>
    </row>
    <row r="21" spans="1:5" x14ac:dyDescent="0.4">
      <c r="A21" s="8">
        <v>8</v>
      </c>
      <c r="B21" s="8" t="s">
        <v>193</v>
      </c>
      <c r="C21" s="8">
        <v>811</v>
      </c>
      <c r="D21" s="8">
        <v>411</v>
      </c>
      <c r="E21" s="8">
        <v>400</v>
      </c>
    </row>
    <row r="22" spans="1:5" x14ac:dyDescent="0.4">
      <c r="A22" s="12">
        <v>9</v>
      </c>
      <c r="B22" s="12" t="s">
        <v>194</v>
      </c>
      <c r="C22" s="12">
        <v>1381</v>
      </c>
      <c r="D22" s="12">
        <v>690</v>
      </c>
      <c r="E22" s="12">
        <v>691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Hpa-an District,   Shan Ywathit(Sub- Township)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sqref="A1:E1"/>
    </sheetView>
  </sheetViews>
  <sheetFormatPr defaultRowHeight="24.75" customHeight="1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24.75" customHeight="1" x14ac:dyDescent="0.25">
      <c r="A1" s="36" t="s">
        <v>399</v>
      </c>
      <c r="B1" s="36"/>
      <c r="C1" s="36"/>
      <c r="D1" s="36"/>
      <c r="E1" s="36"/>
    </row>
    <row r="2" spans="1:5" ht="24.75" customHeight="1" x14ac:dyDescent="0.4">
      <c r="E2" s="18" t="s">
        <v>391</v>
      </c>
    </row>
    <row r="3" spans="1:5" ht="10.5" customHeight="1" x14ac:dyDescent="0.4"/>
    <row r="4" spans="1:5" ht="24.7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4.75" customHeight="1" x14ac:dyDescent="0.4">
      <c r="A5" s="27"/>
      <c r="B5" s="27"/>
      <c r="C5" s="20" t="s">
        <v>0</v>
      </c>
      <c r="D5" s="20" t="s">
        <v>1</v>
      </c>
      <c r="E5" s="20" t="s">
        <v>2</v>
      </c>
    </row>
    <row r="6" spans="1:5" ht="24.75" customHeight="1" x14ac:dyDescent="0.4">
      <c r="A6" s="11"/>
      <c r="B6" s="13" t="s">
        <v>409</v>
      </c>
      <c r="C6" s="13">
        <v>48606</v>
      </c>
      <c r="D6" s="13">
        <v>24703</v>
      </c>
      <c r="E6" s="13">
        <v>23903</v>
      </c>
    </row>
    <row r="7" spans="1:5" ht="10.5" customHeight="1" x14ac:dyDescent="0.4">
      <c r="A7" s="8"/>
      <c r="B7" s="8"/>
      <c r="C7" s="8"/>
      <c r="D7" s="8"/>
      <c r="E7" s="8"/>
    </row>
    <row r="8" spans="1:5" ht="21.75" x14ac:dyDescent="0.4">
      <c r="A8" s="8"/>
      <c r="B8" s="7" t="s">
        <v>389</v>
      </c>
      <c r="C8" s="7">
        <f>SUM(C9:C14)</f>
        <v>3093</v>
      </c>
      <c r="D8" s="7">
        <f t="shared" ref="D8:E8" si="0">SUM(D9:D14)</f>
        <v>1628</v>
      </c>
      <c r="E8" s="7">
        <f t="shared" si="0"/>
        <v>1465</v>
      </c>
    </row>
    <row r="9" spans="1:5" ht="21.75" x14ac:dyDescent="0.4">
      <c r="A9" s="8">
        <v>1</v>
      </c>
      <c r="B9" s="8" t="s">
        <v>143</v>
      </c>
      <c r="C9" s="8">
        <v>697</v>
      </c>
      <c r="D9" s="8">
        <v>404</v>
      </c>
      <c r="E9" s="8">
        <v>293</v>
      </c>
    </row>
    <row r="10" spans="1:5" ht="21.75" x14ac:dyDescent="0.4">
      <c r="A10" s="8">
        <v>2</v>
      </c>
      <c r="B10" s="8" t="s">
        <v>144</v>
      </c>
      <c r="C10" s="8">
        <v>378</v>
      </c>
      <c r="D10" s="8">
        <v>209</v>
      </c>
      <c r="E10" s="8">
        <v>169</v>
      </c>
    </row>
    <row r="11" spans="1:5" ht="21.75" x14ac:dyDescent="0.4">
      <c r="A11" s="8">
        <v>3</v>
      </c>
      <c r="B11" s="8" t="s">
        <v>145</v>
      </c>
      <c r="C11" s="8">
        <v>501</v>
      </c>
      <c r="D11" s="8">
        <v>243</v>
      </c>
      <c r="E11" s="8">
        <v>258</v>
      </c>
    </row>
    <row r="12" spans="1:5" ht="21.75" x14ac:dyDescent="0.4">
      <c r="A12" s="8">
        <v>4</v>
      </c>
      <c r="B12" s="8" t="s">
        <v>146</v>
      </c>
      <c r="C12" s="8">
        <v>507</v>
      </c>
      <c r="D12" s="8">
        <v>255</v>
      </c>
      <c r="E12" s="8">
        <v>252</v>
      </c>
    </row>
    <row r="13" spans="1:5" ht="21.75" x14ac:dyDescent="0.4">
      <c r="A13" s="8">
        <v>5</v>
      </c>
      <c r="B13" s="8" t="s">
        <v>147</v>
      </c>
      <c r="C13" s="8">
        <v>642</v>
      </c>
      <c r="D13" s="8">
        <v>325</v>
      </c>
      <c r="E13" s="8">
        <v>317</v>
      </c>
    </row>
    <row r="14" spans="1:5" ht="21.75" x14ac:dyDescent="0.4">
      <c r="A14" s="8">
        <v>6</v>
      </c>
      <c r="B14" s="8" t="s">
        <v>195</v>
      </c>
      <c r="C14" s="8">
        <v>368</v>
      </c>
      <c r="D14" s="8">
        <v>192</v>
      </c>
      <c r="E14" s="8">
        <v>176</v>
      </c>
    </row>
    <row r="15" spans="1:5" ht="21.75" x14ac:dyDescent="0.4">
      <c r="A15" s="8"/>
      <c r="B15" s="7" t="s">
        <v>410</v>
      </c>
      <c r="C15" s="7">
        <f>SUM(C16:C46)</f>
        <v>45513</v>
      </c>
      <c r="D15" s="7">
        <f t="shared" ref="D15:E15" si="1">SUM(D16:D46)</f>
        <v>23075</v>
      </c>
      <c r="E15" s="7">
        <f t="shared" si="1"/>
        <v>22438</v>
      </c>
    </row>
    <row r="16" spans="1:5" ht="21.75" x14ac:dyDescent="0.4">
      <c r="A16" s="8">
        <v>1</v>
      </c>
      <c r="B16" s="8" t="s">
        <v>196</v>
      </c>
      <c r="C16" s="8">
        <v>1147</v>
      </c>
      <c r="D16" s="8">
        <v>577</v>
      </c>
      <c r="E16" s="8">
        <v>570</v>
      </c>
    </row>
    <row r="17" spans="1:5" ht="21.75" x14ac:dyDescent="0.4">
      <c r="A17" s="8">
        <v>2</v>
      </c>
      <c r="B17" s="8" t="s">
        <v>197</v>
      </c>
      <c r="C17" s="8">
        <v>2093</v>
      </c>
      <c r="D17" s="8">
        <v>1090</v>
      </c>
      <c r="E17" s="8">
        <v>1003</v>
      </c>
    </row>
    <row r="18" spans="1:5" ht="21.75" x14ac:dyDescent="0.4">
      <c r="A18" s="8">
        <v>3</v>
      </c>
      <c r="B18" s="8" t="s">
        <v>198</v>
      </c>
      <c r="C18" s="8">
        <v>2262</v>
      </c>
      <c r="D18" s="8">
        <v>1175</v>
      </c>
      <c r="E18" s="8">
        <v>1087</v>
      </c>
    </row>
    <row r="19" spans="1:5" ht="21.75" x14ac:dyDescent="0.4">
      <c r="A19" s="8">
        <v>4</v>
      </c>
      <c r="B19" s="8" t="s">
        <v>199</v>
      </c>
      <c r="C19" s="8">
        <v>1748</v>
      </c>
      <c r="D19" s="8">
        <v>873</v>
      </c>
      <c r="E19" s="8">
        <v>875</v>
      </c>
    </row>
    <row r="20" spans="1:5" ht="21.75" x14ac:dyDescent="0.4">
      <c r="A20" s="8">
        <v>5</v>
      </c>
      <c r="B20" s="8" t="s">
        <v>200</v>
      </c>
      <c r="C20" s="8">
        <v>778</v>
      </c>
      <c r="D20" s="8">
        <v>387</v>
      </c>
      <c r="E20" s="8">
        <v>391</v>
      </c>
    </row>
    <row r="21" spans="1:5" ht="21.75" x14ac:dyDescent="0.4">
      <c r="A21" s="8">
        <v>6</v>
      </c>
      <c r="B21" s="8" t="s">
        <v>201</v>
      </c>
      <c r="C21" s="8">
        <v>785</v>
      </c>
      <c r="D21" s="8">
        <v>405</v>
      </c>
      <c r="E21" s="8">
        <v>380</v>
      </c>
    </row>
    <row r="22" spans="1:5" ht="21.75" x14ac:dyDescent="0.4">
      <c r="A22" s="8">
        <v>7</v>
      </c>
      <c r="B22" s="8" t="s">
        <v>202</v>
      </c>
      <c r="C22" s="8">
        <v>2475</v>
      </c>
      <c r="D22" s="8">
        <v>1221</v>
      </c>
      <c r="E22" s="8">
        <v>1254</v>
      </c>
    </row>
    <row r="23" spans="1:5" ht="21.75" x14ac:dyDescent="0.4">
      <c r="A23" s="8">
        <v>8</v>
      </c>
      <c r="B23" s="8" t="s">
        <v>203</v>
      </c>
      <c r="C23" s="8">
        <v>3558</v>
      </c>
      <c r="D23" s="8">
        <v>1774</v>
      </c>
      <c r="E23" s="8">
        <v>1784</v>
      </c>
    </row>
    <row r="24" spans="1:5" ht="21.75" x14ac:dyDescent="0.4">
      <c r="A24" s="8">
        <v>9</v>
      </c>
      <c r="B24" s="8" t="s">
        <v>204</v>
      </c>
      <c r="C24" s="8">
        <v>1919</v>
      </c>
      <c r="D24" s="8">
        <v>1006</v>
      </c>
      <c r="E24" s="8">
        <v>913</v>
      </c>
    </row>
    <row r="25" spans="1:5" ht="21.75" x14ac:dyDescent="0.4">
      <c r="A25" s="8">
        <v>10</v>
      </c>
      <c r="B25" s="8" t="s">
        <v>205</v>
      </c>
      <c r="C25" s="8">
        <v>1815</v>
      </c>
      <c r="D25" s="8">
        <v>898</v>
      </c>
      <c r="E25" s="8">
        <v>917</v>
      </c>
    </row>
    <row r="26" spans="1:5" ht="21.75" x14ac:dyDescent="0.4">
      <c r="A26" s="8">
        <v>11</v>
      </c>
      <c r="B26" s="8" t="s">
        <v>206</v>
      </c>
      <c r="C26" s="8">
        <v>1598</v>
      </c>
      <c r="D26" s="8">
        <v>813</v>
      </c>
      <c r="E26" s="8">
        <v>785</v>
      </c>
    </row>
    <row r="27" spans="1:5" ht="21.75" x14ac:dyDescent="0.4">
      <c r="A27" s="8">
        <v>12</v>
      </c>
      <c r="B27" s="8" t="s">
        <v>207</v>
      </c>
      <c r="C27" s="8">
        <v>1317</v>
      </c>
      <c r="D27" s="8">
        <v>663</v>
      </c>
      <c r="E27" s="8">
        <v>654</v>
      </c>
    </row>
    <row r="28" spans="1:5" ht="21.75" x14ac:dyDescent="0.4">
      <c r="A28" s="8">
        <v>13</v>
      </c>
      <c r="B28" s="8" t="s">
        <v>208</v>
      </c>
      <c r="C28" s="8">
        <v>803</v>
      </c>
      <c r="D28" s="8">
        <v>418</v>
      </c>
      <c r="E28" s="8">
        <v>385</v>
      </c>
    </row>
    <row r="29" spans="1:5" ht="21.75" x14ac:dyDescent="0.4">
      <c r="A29" s="8">
        <v>14</v>
      </c>
      <c r="B29" s="8" t="s">
        <v>209</v>
      </c>
      <c r="C29" s="8">
        <v>881</v>
      </c>
      <c r="D29" s="8">
        <v>460</v>
      </c>
      <c r="E29" s="8">
        <v>421</v>
      </c>
    </row>
    <row r="30" spans="1:5" ht="21.75" x14ac:dyDescent="0.4">
      <c r="A30" s="8">
        <v>15</v>
      </c>
      <c r="B30" s="8" t="s">
        <v>210</v>
      </c>
      <c r="C30" s="8">
        <v>1397</v>
      </c>
      <c r="D30" s="8">
        <v>699</v>
      </c>
      <c r="E30" s="8">
        <v>698</v>
      </c>
    </row>
    <row r="31" spans="1:5" ht="21.75" x14ac:dyDescent="0.4">
      <c r="A31" s="8">
        <v>16</v>
      </c>
      <c r="B31" s="8" t="s">
        <v>211</v>
      </c>
      <c r="C31" s="8">
        <v>1945</v>
      </c>
      <c r="D31" s="8">
        <v>992</v>
      </c>
      <c r="E31" s="8">
        <v>953</v>
      </c>
    </row>
    <row r="32" spans="1:5" ht="21.75" x14ac:dyDescent="0.4">
      <c r="A32" s="8">
        <v>17</v>
      </c>
      <c r="B32" s="8" t="s">
        <v>212</v>
      </c>
      <c r="C32" s="8">
        <v>1048</v>
      </c>
      <c r="D32" s="8">
        <v>512</v>
      </c>
      <c r="E32" s="8">
        <v>536</v>
      </c>
    </row>
    <row r="33" spans="1:5" ht="21.75" x14ac:dyDescent="0.4">
      <c r="A33" s="8">
        <v>18</v>
      </c>
      <c r="B33" s="8" t="s">
        <v>213</v>
      </c>
      <c r="C33" s="8">
        <v>1236</v>
      </c>
      <c r="D33" s="8">
        <v>658</v>
      </c>
      <c r="E33" s="8">
        <v>578</v>
      </c>
    </row>
    <row r="34" spans="1:5" ht="21.75" x14ac:dyDescent="0.4">
      <c r="A34" s="8">
        <v>19</v>
      </c>
      <c r="B34" s="8" t="s">
        <v>214</v>
      </c>
      <c r="C34" s="8">
        <v>935</v>
      </c>
      <c r="D34" s="8">
        <v>474</v>
      </c>
      <c r="E34" s="8">
        <v>461</v>
      </c>
    </row>
    <row r="35" spans="1:5" ht="21.75" x14ac:dyDescent="0.4">
      <c r="A35" s="8">
        <v>20</v>
      </c>
      <c r="B35" s="8" t="s">
        <v>215</v>
      </c>
      <c r="C35" s="8">
        <v>1576</v>
      </c>
      <c r="D35" s="8">
        <v>761</v>
      </c>
      <c r="E35" s="8">
        <v>815</v>
      </c>
    </row>
    <row r="36" spans="1:5" ht="21.75" x14ac:dyDescent="0.4">
      <c r="A36" s="8">
        <v>21</v>
      </c>
      <c r="B36" s="8" t="s">
        <v>216</v>
      </c>
      <c r="C36" s="8">
        <v>1028</v>
      </c>
      <c r="D36" s="8">
        <v>528</v>
      </c>
      <c r="E36" s="8">
        <v>500</v>
      </c>
    </row>
    <row r="37" spans="1:5" ht="21.75" x14ac:dyDescent="0.4">
      <c r="A37" s="15">
        <v>22</v>
      </c>
      <c r="B37" s="15" t="s">
        <v>217</v>
      </c>
      <c r="C37" s="15">
        <v>1160</v>
      </c>
      <c r="D37" s="15">
        <v>606</v>
      </c>
      <c r="E37" s="15">
        <v>554</v>
      </c>
    </row>
    <row r="38" spans="1:5" ht="21.75" x14ac:dyDescent="0.4">
      <c r="A38" s="15">
        <v>23</v>
      </c>
      <c r="B38" s="15" t="s">
        <v>218</v>
      </c>
      <c r="C38" s="15">
        <v>1163</v>
      </c>
      <c r="D38" s="15">
        <v>571</v>
      </c>
      <c r="E38" s="15">
        <v>592</v>
      </c>
    </row>
    <row r="39" spans="1:5" ht="21.75" x14ac:dyDescent="0.4">
      <c r="A39" s="8">
        <v>24</v>
      </c>
      <c r="B39" s="8" t="s">
        <v>219</v>
      </c>
      <c r="C39" s="8">
        <v>1931</v>
      </c>
      <c r="D39" s="8">
        <v>1010</v>
      </c>
      <c r="E39" s="8">
        <v>921</v>
      </c>
    </row>
    <row r="40" spans="1:5" ht="21.75" x14ac:dyDescent="0.4">
      <c r="A40" s="8">
        <v>25</v>
      </c>
      <c r="B40" s="8" t="s">
        <v>220</v>
      </c>
      <c r="C40" s="8">
        <v>940</v>
      </c>
      <c r="D40" s="8">
        <v>489</v>
      </c>
      <c r="E40" s="8">
        <v>451</v>
      </c>
    </row>
    <row r="41" spans="1:5" ht="21.75" x14ac:dyDescent="0.4">
      <c r="A41" s="8">
        <v>26</v>
      </c>
      <c r="B41" s="8" t="s">
        <v>221</v>
      </c>
      <c r="C41" s="8">
        <v>1034</v>
      </c>
      <c r="D41" s="8">
        <v>526</v>
      </c>
      <c r="E41" s="8">
        <v>508</v>
      </c>
    </row>
    <row r="42" spans="1:5" ht="21.75" x14ac:dyDescent="0.4">
      <c r="A42" s="8">
        <v>27</v>
      </c>
      <c r="B42" s="8" t="s">
        <v>222</v>
      </c>
      <c r="C42" s="8">
        <v>2318</v>
      </c>
      <c r="D42" s="8">
        <v>1191</v>
      </c>
      <c r="E42" s="8">
        <v>1127</v>
      </c>
    </row>
    <row r="43" spans="1:5" ht="21.75" x14ac:dyDescent="0.4">
      <c r="A43" s="8">
        <v>28</v>
      </c>
      <c r="B43" s="8" t="s">
        <v>223</v>
      </c>
      <c r="C43" s="8">
        <v>1193</v>
      </c>
      <c r="D43" s="8">
        <v>593</v>
      </c>
      <c r="E43" s="8">
        <v>600</v>
      </c>
    </row>
    <row r="44" spans="1:5" ht="21.75" x14ac:dyDescent="0.4">
      <c r="A44" s="8">
        <v>29</v>
      </c>
      <c r="B44" s="8" t="s">
        <v>224</v>
      </c>
      <c r="C44" s="8">
        <v>1012</v>
      </c>
      <c r="D44" s="8">
        <v>493</v>
      </c>
      <c r="E44" s="8">
        <v>519</v>
      </c>
    </row>
    <row r="45" spans="1:5" ht="21.75" x14ac:dyDescent="0.4">
      <c r="A45" s="8">
        <v>30</v>
      </c>
      <c r="B45" s="8" t="s">
        <v>225</v>
      </c>
      <c r="C45" s="8">
        <v>1082</v>
      </c>
      <c r="D45" s="8">
        <v>541</v>
      </c>
      <c r="E45" s="8">
        <v>541</v>
      </c>
    </row>
    <row r="46" spans="1:5" ht="21.75" x14ac:dyDescent="0.4">
      <c r="A46" s="12">
        <v>31</v>
      </c>
      <c r="B46" s="12" t="s">
        <v>226</v>
      </c>
      <c r="C46" s="12">
        <v>1336</v>
      </c>
      <c r="D46" s="12">
        <v>671</v>
      </c>
      <c r="E46" s="12">
        <v>665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Hpa-an District,  Leiktho(Sub- Township)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E1"/>
    </sheetView>
  </sheetViews>
  <sheetFormatPr defaultRowHeight="24.75" customHeight="1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24.75" customHeight="1" x14ac:dyDescent="0.25">
      <c r="A1" s="36" t="s">
        <v>400</v>
      </c>
      <c r="B1" s="36"/>
      <c r="C1" s="36"/>
      <c r="D1" s="36"/>
      <c r="E1" s="36"/>
    </row>
    <row r="2" spans="1:5" ht="24.75" customHeight="1" x14ac:dyDescent="0.4">
      <c r="E2" s="18" t="s">
        <v>391</v>
      </c>
    </row>
    <row r="3" spans="1:5" ht="10.5" customHeight="1" x14ac:dyDescent="0.4"/>
    <row r="4" spans="1:5" ht="24.7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4.75" customHeight="1" x14ac:dyDescent="0.4">
      <c r="A5" s="28"/>
      <c r="B5" s="27"/>
      <c r="C5" s="17" t="s">
        <v>0</v>
      </c>
      <c r="D5" s="17" t="s">
        <v>1</v>
      </c>
      <c r="E5" s="17" t="s">
        <v>2</v>
      </c>
    </row>
    <row r="6" spans="1:5" ht="24.75" customHeight="1" x14ac:dyDescent="0.4">
      <c r="A6" s="11"/>
      <c r="B6" s="16" t="s">
        <v>409</v>
      </c>
      <c r="C6" s="13">
        <v>17237</v>
      </c>
      <c r="D6" s="13">
        <v>8517</v>
      </c>
      <c r="E6" s="13">
        <v>8720</v>
      </c>
    </row>
    <row r="7" spans="1:5" ht="10.5" customHeight="1" x14ac:dyDescent="0.4">
      <c r="A7" s="8"/>
      <c r="B7" s="8"/>
      <c r="C7" s="8"/>
      <c r="D7" s="8"/>
      <c r="E7" s="8"/>
    </row>
    <row r="8" spans="1:5" ht="21.75" x14ac:dyDescent="0.4">
      <c r="A8" s="8"/>
      <c r="B8" s="7" t="s">
        <v>389</v>
      </c>
      <c r="C8" s="7">
        <f>SUM(C9:C12)</f>
        <v>1999</v>
      </c>
      <c r="D8" s="7">
        <f t="shared" ref="D8:E8" si="0">SUM(D9:D12)</f>
        <v>989</v>
      </c>
      <c r="E8" s="7">
        <f t="shared" si="0"/>
        <v>1010</v>
      </c>
    </row>
    <row r="9" spans="1:5" ht="21.75" x14ac:dyDescent="0.4">
      <c r="A9" s="8">
        <v>1</v>
      </c>
      <c r="B9" s="8" t="s">
        <v>143</v>
      </c>
      <c r="C9" s="8">
        <v>452</v>
      </c>
      <c r="D9" s="8">
        <v>227</v>
      </c>
      <c r="E9" s="8">
        <v>225</v>
      </c>
    </row>
    <row r="10" spans="1:5" ht="21.75" x14ac:dyDescent="0.4">
      <c r="A10" s="8">
        <v>2</v>
      </c>
      <c r="B10" s="8" t="s">
        <v>144</v>
      </c>
      <c r="C10" s="8">
        <v>539</v>
      </c>
      <c r="D10" s="8">
        <v>263</v>
      </c>
      <c r="E10" s="8">
        <v>276</v>
      </c>
    </row>
    <row r="11" spans="1:5" ht="21.75" x14ac:dyDescent="0.4">
      <c r="A11" s="8">
        <v>3</v>
      </c>
      <c r="B11" s="8" t="s">
        <v>145</v>
      </c>
      <c r="C11" s="8">
        <v>587</v>
      </c>
      <c r="D11" s="8">
        <v>294</v>
      </c>
      <c r="E11" s="8">
        <v>293</v>
      </c>
    </row>
    <row r="12" spans="1:5" ht="21.75" x14ac:dyDescent="0.4">
      <c r="A12" s="8">
        <v>4</v>
      </c>
      <c r="B12" s="8" t="s">
        <v>146</v>
      </c>
      <c r="C12" s="8">
        <v>421</v>
      </c>
      <c r="D12" s="8">
        <v>205</v>
      </c>
      <c r="E12" s="8">
        <v>216</v>
      </c>
    </row>
    <row r="13" spans="1:5" ht="21.75" x14ac:dyDescent="0.4">
      <c r="A13" s="8"/>
      <c r="B13" s="7" t="s">
        <v>410</v>
      </c>
      <c r="C13" s="7">
        <f>SUM(C14:C28)</f>
        <v>15238</v>
      </c>
      <c r="D13" s="7">
        <f t="shared" ref="D13:E13" si="1">SUM(D14:D28)</f>
        <v>7528</v>
      </c>
      <c r="E13" s="7">
        <f t="shared" si="1"/>
        <v>7710</v>
      </c>
    </row>
    <row r="14" spans="1:5" ht="21.75" x14ac:dyDescent="0.4">
      <c r="A14" s="8">
        <v>1</v>
      </c>
      <c r="B14" s="8" t="s">
        <v>227</v>
      </c>
      <c r="C14" s="8">
        <v>270</v>
      </c>
      <c r="D14" s="8">
        <v>145</v>
      </c>
      <c r="E14" s="8">
        <v>125</v>
      </c>
    </row>
    <row r="15" spans="1:5" ht="21.75" x14ac:dyDescent="0.4">
      <c r="A15" s="8">
        <v>2</v>
      </c>
      <c r="B15" s="8" t="s">
        <v>228</v>
      </c>
      <c r="C15" s="8">
        <v>4067</v>
      </c>
      <c r="D15" s="8">
        <v>2043</v>
      </c>
      <c r="E15" s="8">
        <v>2024</v>
      </c>
    </row>
    <row r="16" spans="1:5" ht="21.75" x14ac:dyDescent="0.4">
      <c r="A16" s="8">
        <v>3</v>
      </c>
      <c r="B16" s="8" t="s">
        <v>229</v>
      </c>
      <c r="C16" s="8">
        <v>1601</v>
      </c>
      <c r="D16" s="8">
        <v>790</v>
      </c>
      <c r="E16" s="8">
        <v>811</v>
      </c>
    </row>
    <row r="17" spans="1:5" ht="21.75" x14ac:dyDescent="0.4">
      <c r="A17" s="8">
        <v>4</v>
      </c>
      <c r="B17" s="8" t="s">
        <v>230</v>
      </c>
      <c r="C17" s="8">
        <v>280</v>
      </c>
      <c r="D17" s="8">
        <v>138</v>
      </c>
      <c r="E17" s="8">
        <v>142</v>
      </c>
    </row>
    <row r="18" spans="1:5" ht="21.75" x14ac:dyDescent="0.4">
      <c r="A18" s="8">
        <v>5</v>
      </c>
      <c r="B18" s="8" t="s">
        <v>231</v>
      </c>
      <c r="C18" s="8">
        <v>950</v>
      </c>
      <c r="D18" s="8">
        <v>431</v>
      </c>
      <c r="E18" s="8">
        <v>519</v>
      </c>
    </row>
    <row r="19" spans="1:5" ht="21.75" x14ac:dyDescent="0.4">
      <c r="A19" s="8">
        <v>6</v>
      </c>
      <c r="B19" s="8" t="s">
        <v>232</v>
      </c>
      <c r="C19" s="8">
        <v>1731</v>
      </c>
      <c r="D19" s="8">
        <v>888</v>
      </c>
      <c r="E19" s="8">
        <v>843</v>
      </c>
    </row>
    <row r="20" spans="1:5" ht="21.75" x14ac:dyDescent="0.4">
      <c r="A20" s="8">
        <v>7</v>
      </c>
      <c r="B20" s="8" t="s">
        <v>233</v>
      </c>
      <c r="C20" s="8">
        <v>607</v>
      </c>
      <c r="D20" s="8">
        <v>300</v>
      </c>
      <c r="E20" s="8">
        <v>307</v>
      </c>
    </row>
    <row r="21" spans="1:5" ht="21.75" x14ac:dyDescent="0.4">
      <c r="A21" s="8">
        <v>8</v>
      </c>
      <c r="B21" s="8" t="s">
        <v>234</v>
      </c>
      <c r="C21" s="8">
        <v>1898</v>
      </c>
      <c r="D21" s="8">
        <v>931</v>
      </c>
      <c r="E21" s="8">
        <v>967</v>
      </c>
    </row>
    <row r="22" spans="1:5" ht="21.75" x14ac:dyDescent="0.4">
      <c r="A22" s="8">
        <v>9</v>
      </c>
      <c r="B22" s="8" t="s">
        <v>235</v>
      </c>
      <c r="C22" s="8">
        <v>669</v>
      </c>
      <c r="D22" s="8">
        <v>311</v>
      </c>
      <c r="E22" s="8">
        <v>358</v>
      </c>
    </row>
    <row r="23" spans="1:5" ht="21.75" x14ac:dyDescent="0.4">
      <c r="A23" s="8">
        <v>10</v>
      </c>
      <c r="B23" s="8" t="s">
        <v>236</v>
      </c>
      <c r="C23" s="8">
        <v>276</v>
      </c>
      <c r="D23" s="8">
        <v>141</v>
      </c>
      <c r="E23" s="8">
        <v>135</v>
      </c>
    </row>
    <row r="24" spans="1:5" ht="21.75" x14ac:dyDescent="0.4">
      <c r="A24" s="8">
        <v>11</v>
      </c>
      <c r="B24" s="8" t="s">
        <v>237</v>
      </c>
      <c r="C24" s="8">
        <v>1338</v>
      </c>
      <c r="D24" s="8">
        <v>641</v>
      </c>
      <c r="E24" s="8">
        <v>697</v>
      </c>
    </row>
    <row r="25" spans="1:5" ht="21.75" x14ac:dyDescent="0.4">
      <c r="A25" s="8">
        <v>12</v>
      </c>
      <c r="B25" s="8" t="s">
        <v>192</v>
      </c>
      <c r="C25" s="8">
        <v>908</v>
      </c>
      <c r="D25" s="8">
        <v>447</v>
      </c>
      <c r="E25" s="8">
        <v>461</v>
      </c>
    </row>
    <row r="26" spans="1:5" ht="21.75" x14ac:dyDescent="0.4">
      <c r="A26" s="8">
        <v>13</v>
      </c>
      <c r="B26" s="8" t="s">
        <v>238</v>
      </c>
      <c r="C26" s="8">
        <v>228</v>
      </c>
      <c r="D26" s="8">
        <v>102</v>
      </c>
      <c r="E26" s="8">
        <v>126</v>
      </c>
    </row>
    <row r="27" spans="1:5" ht="21.75" x14ac:dyDescent="0.4">
      <c r="A27" s="8">
        <v>14</v>
      </c>
      <c r="B27" s="8" t="s">
        <v>239</v>
      </c>
      <c r="C27" s="8">
        <v>72</v>
      </c>
      <c r="D27" s="8">
        <v>34</v>
      </c>
      <c r="E27" s="8">
        <v>38</v>
      </c>
    </row>
    <row r="28" spans="1:5" ht="21.75" x14ac:dyDescent="0.4">
      <c r="A28" s="12">
        <v>15</v>
      </c>
      <c r="B28" s="12" t="s">
        <v>240</v>
      </c>
      <c r="C28" s="12">
        <v>343</v>
      </c>
      <c r="D28" s="12">
        <v>186</v>
      </c>
      <c r="E28" s="12">
        <v>157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Hpa-an District,  Bawgali(Sub- Township)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25.5" customHeight="1" x14ac:dyDescent="0.25">
      <c r="A1" s="36" t="s">
        <v>401</v>
      </c>
      <c r="B1" s="36"/>
      <c r="C1" s="36"/>
      <c r="D1" s="36"/>
      <c r="E1" s="36"/>
    </row>
    <row r="2" spans="1:5" ht="25.5" customHeight="1" x14ac:dyDescent="0.4">
      <c r="E2" s="18" t="s">
        <v>391</v>
      </c>
    </row>
    <row r="3" spans="1:5" ht="10.5" customHeight="1" x14ac:dyDescent="0.4"/>
    <row r="4" spans="1:5" ht="24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4" customHeight="1" x14ac:dyDescent="0.4">
      <c r="A5" s="28"/>
      <c r="B5" s="27"/>
      <c r="C5" s="17" t="s">
        <v>0</v>
      </c>
      <c r="D5" s="17" t="s">
        <v>1</v>
      </c>
      <c r="E5" s="17" t="s">
        <v>2</v>
      </c>
    </row>
    <row r="6" spans="1:5" ht="24.75" customHeight="1" x14ac:dyDescent="0.4">
      <c r="A6" s="11"/>
      <c r="B6" s="16" t="s">
        <v>409</v>
      </c>
      <c r="C6" s="13">
        <v>14190</v>
      </c>
      <c r="D6" s="13">
        <v>7599</v>
      </c>
      <c r="E6" s="13">
        <v>6591</v>
      </c>
    </row>
    <row r="7" spans="1:5" ht="10.5" customHeight="1" x14ac:dyDescent="0.4">
      <c r="A7" s="8"/>
      <c r="B7" s="8"/>
      <c r="C7" s="8"/>
      <c r="D7" s="8"/>
      <c r="E7" s="8"/>
    </row>
    <row r="8" spans="1:5" x14ac:dyDescent="0.4">
      <c r="A8" s="8"/>
      <c r="B8" s="7" t="s">
        <v>389</v>
      </c>
      <c r="C8" s="7">
        <f>SUM(C9:C12)</f>
        <v>3328</v>
      </c>
      <c r="D8" s="7">
        <f t="shared" ref="D8:E8" si="0">SUM(D9:D12)</f>
        <v>1720</v>
      </c>
      <c r="E8" s="7">
        <f t="shared" si="0"/>
        <v>1608</v>
      </c>
    </row>
    <row r="9" spans="1:5" x14ac:dyDescent="0.4">
      <c r="A9" s="8">
        <v>1</v>
      </c>
      <c r="B9" s="8" t="s">
        <v>143</v>
      </c>
      <c r="C9" s="8">
        <v>481</v>
      </c>
      <c r="D9" s="8">
        <v>262</v>
      </c>
      <c r="E9" s="8">
        <v>219</v>
      </c>
    </row>
    <row r="10" spans="1:5" x14ac:dyDescent="0.4">
      <c r="A10" s="8">
        <v>2</v>
      </c>
      <c r="B10" s="8" t="s">
        <v>144</v>
      </c>
      <c r="C10" s="8">
        <v>1704</v>
      </c>
      <c r="D10" s="8">
        <v>891</v>
      </c>
      <c r="E10" s="8">
        <v>813</v>
      </c>
    </row>
    <row r="11" spans="1:5" x14ac:dyDescent="0.4">
      <c r="A11" s="8">
        <v>3</v>
      </c>
      <c r="B11" s="8" t="s">
        <v>145</v>
      </c>
      <c r="C11" s="8">
        <v>283</v>
      </c>
      <c r="D11" s="8">
        <v>132</v>
      </c>
      <c r="E11" s="8">
        <v>151</v>
      </c>
    </row>
    <row r="12" spans="1:5" x14ac:dyDescent="0.4">
      <c r="A12" s="8">
        <v>4</v>
      </c>
      <c r="B12" s="8" t="s">
        <v>146</v>
      </c>
      <c r="C12" s="8">
        <v>860</v>
      </c>
      <c r="D12" s="8">
        <v>435</v>
      </c>
      <c r="E12" s="8">
        <v>425</v>
      </c>
    </row>
    <row r="13" spans="1:5" x14ac:dyDescent="0.4">
      <c r="A13" s="8"/>
      <c r="B13" s="7" t="s">
        <v>410</v>
      </c>
      <c r="C13" s="7">
        <f>SUM(C14:C20)</f>
        <v>10862</v>
      </c>
      <c r="D13" s="7">
        <f t="shared" ref="D13:E13" si="1">SUM(D14:D20)</f>
        <v>5879</v>
      </c>
      <c r="E13" s="7">
        <f t="shared" si="1"/>
        <v>4983</v>
      </c>
    </row>
    <row r="14" spans="1:5" x14ac:dyDescent="0.4">
      <c r="A14" s="8">
        <v>1</v>
      </c>
      <c r="B14" s="8" t="s">
        <v>241</v>
      </c>
      <c r="C14" s="8">
        <v>757</v>
      </c>
      <c r="D14" s="8">
        <v>387</v>
      </c>
      <c r="E14" s="8">
        <v>370</v>
      </c>
    </row>
    <row r="15" spans="1:5" x14ac:dyDescent="0.4">
      <c r="A15" s="8">
        <v>2</v>
      </c>
      <c r="B15" s="8" t="s">
        <v>242</v>
      </c>
      <c r="C15" s="8">
        <v>2018</v>
      </c>
      <c r="D15" s="8">
        <v>1171</v>
      </c>
      <c r="E15" s="8">
        <v>847</v>
      </c>
    </row>
    <row r="16" spans="1:5" x14ac:dyDescent="0.4">
      <c r="A16" s="8">
        <v>3</v>
      </c>
      <c r="B16" s="8" t="s">
        <v>243</v>
      </c>
      <c r="C16" s="8">
        <v>2338</v>
      </c>
      <c r="D16" s="8">
        <v>1392</v>
      </c>
      <c r="E16" s="8">
        <v>946</v>
      </c>
    </row>
    <row r="17" spans="1:5" x14ac:dyDescent="0.4">
      <c r="A17" s="8">
        <v>4</v>
      </c>
      <c r="B17" s="8" t="s">
        <v>244</v>
      </c>
      <c r="C17" s="8">
        <v>457</v>
      </c>
      <c r="D17" s="8">
        <v>230</v>
      </c>
      <c r="E17" s="8">
        <v>227</v>
      </c>
    </row>
    <row r="18" spans="1:5" x14ac:dyDescent="0.4">
      <c r="A18" s="8">
        <v>5</v>
      </c>
      <c r="B18" s="8" t="s">
        <v>245</v>
      </c>
      <c r="C18" s="8">
        <v>1179</v>
      </c>
      <c r="D18" s="8">
        <v>627</v>
      </c>
      <c r="E18" s="8">
        <v>552</v>
      </c>
    </row>
    <row r="19" spans="1:5" x14ac:dyDescent="0.4">
      <c r="A19" s="8">
        <v>6</v>
      </c>
      <c r="B19" s="8" t="s">
        <v>246</v>
      </c>
      <c r="C19" s="8">
        <v>3745</v>
      </c>
      <c r="D19" s="8">
        <v>1885</v>
      </c>
      <c r="E19" s="8">
        <v>1860</v>
      </c>
    </row>
    <row r="20" spans="1:5" x14ac:dyDescent="0.4">
      <c r="A20" s="12">
        <v>7</v>
      </c>
      <c r="B20" s="12" t="s">
        <v>247</v>
      </c>
      <c r="C20" s="12">
        <v>368</v>
      </c>
      <c r="D20" s="12">
        <v>187</v>
      </c>
      <c r="E20" s="12">
        <v>181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Pharpon District,  Pharpon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8" s="40" customFormat="1" ht="24.75" customHeight="1" x14ac:dyDescent="0.25">
      <c r="A1" s="36" t="s">
        <v>402</v>
      </c>
      <c r="B1" s="36"/>
      <c r="C1" s="36"/>
      <c r="D1" s="36"/>
      <c r="E1" s="36"/>
    </row>
    <row r="2" spans="1:8" ht="24.75" customHeight="1" x14ac:dyDescent="0.4">
      <c r="E2" s="18" t="s">
        <v>391</v>
      </c>
    </row>
    <row r="3" spans="1:8" ht="13.5" customHeight="1" x14ac:dyDescent="0.4"/>
    <row r="4" spans="1:8" ht="24.7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8" ht="24.75" customHeight="1" x14ac:dyDescent="0.4">
      <c r="A5" s="28"/>
      <c r="B5" s="27"/>
      <c r="C5" s="17" t="s">
        <v>0</v>
      </c>
      <c r="D5" s="17" t="s">
        <v>1</v>
      </c>
      <c r="E5" s="17" t="s">
        <v>2</v>
      </c>
    </row>
    <row r="6" spans="1:8" ht="24.75" customHeight="1" x14ac:dyDescent="0.4">
      <c r="A6" s="11"/>
      <c r="B6" s="16" t="s">
        <v>409</v>
      </c>
      <c r="C6" s="13">
        <v>20895</v>
      </c>
      <c r="D6" s="13">
        <v>10384</v>
      </c>
      <c r="E6" s="13">
        <v>10511</v>
      </c>
    </row>
    <row r="7" spans="1:8" ht="10.5" customHeight="1" x14ac:dyDescent="0.4">
      <c r="A7" s="8"/>
      <c r="B7" s="8"/>
      <c r="C7" s="8"/>
      <c r="D7" s="8"/>
      <c r="E7" s="8"/>
    </row>
    <row r="8" spans="1:8" ht="24.75" customHeight="1" x14ac:dyDescent="0.4">
      <c r="A8" s="8"/>
      <c r="B8" s="7" t="s">
        <v>389</v>
      </c>
      <c r="C8" s="7">
        <f>SUM(C9:C12)</f>
        <v>13992</v>
      </c>
      <c r="D8" s="7">
        <f t="shared" ref="D8:E8" si="0">SUM(D9:D12)</f>
        <v>6752</v>
      </c>
      <c r="E8" s="7">
        <f t="shared" si="0"/>
        <v>7240</v>
      </c>
    </row>
    <row r="9" spans="1:8" ht="24.75" customHeight="1" x14ac:dyDescent="0.4">
      <c r="A9" s="8">
        <v>1</v>
      </c>
      <c r="B9" s="8" t="s">
        <v>143</v>
      </c>
      <c r="C9" s="8">
        <v>1284</v>
      </c>
      <c r="D9" s="8">
        <v>631</v>
      </c>
      <c r="E9" s="8">
        <v>653</v>
      </c>
    </row>
    <row r="10" spans="1:8" ht="24.75" customHeight="1" x14ac:dyDescent="0.4">
      <c r="A10" s="8">
        <v>2</v>
      </c>
      <c r="B10" s="8" t="s">
        <v>144</v>
      </c>
      <c r="C10" s="8">
        <v>6160</v>
      </c>
      <c r="D10" s="8">
        <v>2990</v>
      </c>
      <c r="E10" s="8">
        <v>3170</v>
      </c>
    </row>
    <row r="11" spans="1:8" ht="24.75" customHeight="1" x14ac:dyDescent="0.4">
      <c r="A11" s="8">
        <v>3</v>
      </c>
      <c r="B11" s="8" t="s">
        <v>145</v>
      </c>
      <c r="C11" s="8">
        <v>4530</v>
      </c>
      <c r="D11" s="8">
        <v>2159</v>
      </c>
      <c r="E11" s="8">
        <v>2371</v>
      </c>
    </row>
    <row r="12" spans="1:8" ht="24.75" customHeight="1" x14ac:dyDescent="0.4">
      <c r="A12" s="8">
        <v>4</v>
      </c>
      <c r="B12" s="8" t="s">
        <v>146</v>
      </c>
      <c r="C12" s="8">
        <v>2018</v>
      </c>
      <c r="D12" s="8">
        <v>972</v>
      </c>
      <c r="E12" s="8">
        <v>1046</v>
      </c>
    </row>
    <row r="13" spans="1:8" ht="24.75" customHeight="1" x14ac:dyDescent="0.4">
      <c r="A13" s="8"/>
      <c r="B13" s="7" t="s">
        <v>410</v>
      </c>
      <c r="C13" s="7">
        <f>SUM(C14:C16)</f>
        <v>6903</v>
      </c>
      <c r="D13" s="7">
        <f t="shared" ref="D13:E13" si="1">SUM(D14:D16)</f>
        <v>3632</v>
      </c>
      <c r="E13" s="7">
        <f t="shared" si="1"/>
        <v>3271</v>
      </c>
    </row>
    <row r="14" spans="1:8" ht="24.75" customHeight="1" x14ac:dyDescent="0.4">
      <c r="A14" s="8">
        <v>1</v>
      </c>
      <c r="B14" s="8" t="s">
        <v>248</v>
      </c>
      <c r="C14" s="8">
        <v>2820</v>
      </c>
      <c r="D14" s="8">
        <v>1522</v>
      </c>
      <c r="E14" s="8">
        <v>1298</v>
      </c>
    </row>
    <row r="15" spans="1:8" ht="24.75" customHeight="1" x14ac:dyDescent="0.4">
      <c r="A15" s="8">
        <v>2</v>
      </c>
      <c r="B15" s="8" t="s">
        <v>249</v>
      </c>
      <c r="C15" s="8">
        <v>959</v>
      </c>
      <c r="D15" s="8">
        <v>471</v>
      </c>
      <c r="E15" s="8">
        <v>488</v>
      </c>
    </row>
    <row r="16" spans="1:8" ht="24.75" customHeight="1" x14ac:dyDescent="0.4">
      <c r="A16" s="12">
        <v>3</v>
      </c>
      <c r="B16" s="12" t="s">
        <v>250</v>
      </c>
      <c r="C16" s="12">
        <v>3124</v>
      </c>
      <c r="D16" s="12">
        <v>1639</v>
      </c>
      <c r="E16" s="12">
        <v>1485</v>
      </c>
      <c r="H16" s="6"/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Pharpon District,  Kamamaung(Sub- Township)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E1"/>
    </sheetView>
  </sheetViews>
  <sheetFormatPr defaultRowHeight="24.75" customHeight="1" x14ac:dyDescent="0.4"/>
  <cols>
    <col min="1" max="1" width="9.140625" style="1"/>
    <col min="2" max="2" width="31.140625" style="1" customWidth="1"/>
    <col min="3" max="5" width="15.7109375" style="1" customWidth="1"/>
    <col min="6" max="6" width="9.140625" style="1"/>
    <col min="7" max="8" width="10.7109375" style="1" bestFit="1" customWidth="1"/>
    <col min="9" max="16384" width="9.140625" style="1"/>
  </cols>
  <sheetData>
    <row r="1" spans="1:8" s="40" customFormat="1" ht="24.75" customHeight="1" x14ac:dyDescent="0.25">
      <c r="A1" s="36" t="s">
        <v>403</v>
      </c>
      <c r="B1" s="36"/>
      <c r="C1" s="36"/>
      <c r="D1" s="36"/>
      <c r="E1" s="36"/>
    </row>
    <row r="2" spans="1:8" ht="24.75" customHeight="1" x14ac:dyDescent="0.4">
      <c r="E2" s="18" t="s">
        <v>391</v>
      </c>
    </row>
    <row r="3" spans="1:8" ht="10.5" customHeight="1" x14ac:dyDescent="0.4"/>
    <row r="4" spans="1:8" ht="24.75" customHeight="1" x14ac:dyDescent="0.4">
      <c r="A4" s="29" t="s">
        <v>387</v>
      </c>
      <c r="B4" s="29" t="s">
        <v>411</v>
      </c>
      <c r="C4" s="32" t="s">
        <v>388</v>
      </c>
      <c r="D4" s="33"/>
      <c r="E4" s="34"/>
    </row>
    <row r="5" spans="1:8" ht="24.75" customHeight="1" x14ac:dyDescent="0.4">
      <c r="A5" s="30"/>
      <c r="B5" s="31"/>
      <c r="C5" s="17" t="s">
        <v>0</v>
      </c>
      <c r="D5" s="17" t="s">
        <v>1</v>
      </c>
      <c r="E5" s="17" t="s">
        <v>2</v>
      </c>
    </row>
    <row r="6" spans="1:8" ht="24.75" customHeight="1" x14ac:dyDescent="0.4">
      <c r="A6" s="11"/>
      <c r="B6" s="16" t="s">
        <v>409</v>
      </c>
      <c r="C6" s="13">
        <v>195624</v>
      </c>
      <c r="D6" s="13">
        <v>99771</v>
      </c>
      <c r="E6" s="13">
        <v>95853</v>
      </c>
    </row>
    <row r="7" spans="1:8" ht="10.5" customHeight="1" x14ac:dyDescent="0.4">
      <c r="A7" s="8"/>
      <c r="B7" s="8"/>
      <c r="C7" s="8"/>
      <c r="D7" s="8"/>
      <c r="E7" s="8"/>
    </row>
    <row r="8" spans="1:8" ht="24.75" customHeight="1" x14ac:dyDescent="0.4">
      <c r="A8" s="8"/>
      <c r="B8" s="7" t="s">
        <v>389</v>
      </c>
      <c r="C8" s="7">
        <f>SUM(C9:C13)</f>
        <v>113155</v>
      </c>
      <c r="D8" s="7">
        <f t="shared" ref="D8:E8" si="0">SUM(D9:D13)</f>
        <v>57399</v>
      </c>
      <c r="E8" s="7">
        <f t="shared" si="0"/>
        <v>55756</v>
      </c>
      <c r="F8" s="3"/>
      <c r="G8" s="3"/>
      <c r="H8" s="3"/>
    </row>
    <row r="9" spans="1:8" ht="24.75" customHeight="1" x14ac:dyDescent="0.4">
      <c r="A9" s="8">
        <v>1</v>
      </c>
      <c r="B9" s="8" t="s">
        <v>251</v>
      </c>
      <c r="C9" s="8">
        <v>5858</v>
      </c>
      <c r="D9" s="8">
        <v>3009</v>
      </c>
      <c r="E9" s="8">
        <v>2849</v>
      </c>
      <c r="F9" s="3"/>
      <c r="G9" s="3"/>
      <c r="H9" s="3"/>
    </row>
    <row r="10" spans="1:8" ht="24.75" customHeight="1" x14ac:dyDescent="0.4">
      <c r="A10" s="8">
        <v>2</v>
      </c>
      <c r="B10" s="8" t="s">
        <v>252</v>
      </c>
      <c r="C10" s="8">
        <v>9946</v>
      </c>
      <c r="D10" s="8">
        <v>4963</v>
      </c>
      <c r="E10" s="8">
        <v>4983</v>
      </c>
      <c r="F10" s="3"/>
      <c r="G10" s="3"/>
      <c r="H10" s="3"/>
    </row>
    <row r="11" spans="1:8" ht="24.75" customHeight="1" x14ac:dyDescent="0.4">
      <c r="A11" s="8">
        <v>3</v>
      </c>
      <c r="B11" s="8" t="s">
        <v>253</v>
      </c>
      <c r="C11" s="8">
        <v>19654</v>
      </c>
      <c r="D11" s="8">
        <v>9977</v>
      </c>
      <c r="E11" s="8">
        <v>9677</v>
      </c>
      <c r="F11" s="3"/>
      <c r="G11" s="3"/>
      <c r="H11" s="3"/>
    </row>
    <row r="12" spans="1:8" ht="24.75" customHeight="1" x14ac:dyDescent="0.4">
      <c r="A12" s="8">
        <v>4</v>
      </c>
      <c r="B12" s="8" t="s">
        <v>254</v>
      </c>
      <c r="C12" s="8">
        <v>41978</v>
      </c>
      <c r="D12" s="8">
        <v>21358</v>
      </c>
      <c r="E12" s="8">
        <v>20620</v>
      </c>
      <c r="F12" s="3"/>
      <c r="G12" s="3"/>
      <c r="H12" s="3"/>
    </row>
    <row r="13" spans="1:8" ht="24.75" customHeight="1" x14ac:dyDescent="0.4">
      <c r="A13" s="8">
        <v>5</v>
      </c>
      <c r="B13" s="8" t="s">
        <v>255</v>
      </c>
      <c r="C13" s="8">
        <v>35719</v>
      </c>
      <c r="D13" s="8">
        <v>18092</v>
      </c>
      <c r="E13" s="8">
        <v>17627</v>
      </c>
      <c r="F13" s="3"/>
      <c r="G13" s="3"/>
      <c r="H13" s="3"/>
    </row>
    <row r="14" spans="1:8" ht="24.75" customHeight="1" x14ac:dyDescent="0.4">
      <c r="A14" s="8"/>
      <c r="B14" s="7" t="s">
        <v>410</v>
      </c>
      <c r="C14" s="7">
        <f>SUM(C15:C25)</f>
        <v>82469</v>
      </c>
      <c r="D14" s="7">
        <f t="shared" ref="D14:E14" si="1">SUM(D15:D25)</f>
        <v>42372</v>
      </c>
      <c r="E14" s="7">
        <f t="shared" si="1"/>
        <v>40097</v>
      </c>
      <c r="F14" s="3"/>
      <c r="G14" s="3"/>
      <c r="H14" s="3"/>
    </row>
    <row r="15" spans="1:8" ht="24.75" customHeight="1" x14ac:dyDescent="0.4">
      <c r="A15" s="8">
        <v>1</v>
      </c>
      <c r="B15" s="8" t="s">
        <v>256</v>
      </c>
      <c r="C15" s="8">
        <v>6683</v>
      </c>
      <c r="D15" s="8">
        <v>3398</v>
      </c>
      <c r="E15" s="8">
        <v>3285</v>
      </c>
      <c r="F15" s="3"/>
      <c r="G15" s="3"/>
      <c r="H15" s="3"/>
    </row>
    <row r="16" spans="1:8" ht="24.75" customHeight="1" x14ac:dyDescent="0.4">
      <c r="A16" s="8">
        <v>2</v>
      </c>
      <c r="B16" s="8" t="s">
        <v>257</v>
      </c>
      <c r="C16" s="8">
        <v>2906</v>
      </c>
      <c r="D16" s="8">
        <v>1398</v>
      </c>
      <c r="E16" s="8">
        <v>1508</v>
      </c>
      <c r="F16" s="3"/>
      <c r="G16" s="3"/>
      <c r="H16" s="3"/>
    </row>
    <row r="17" spans="1:8" ht="24.75" customHeight="1" x14ac:dyDescent="0.4">
      <c r="A17" s="8">
        <v>3</v>
      </c>
      <c r="B17" s="8" t="s">
        <v>258</v>
      </c>
      <c r="C17" s="8">
        <v>1207</v>
      </c>
      <c r="D17" s="8">
        <v>591</v>
      </c>
      <c r="E17" s="8">
        <v>616</v>
      </c>
      <c r="F17" s="3"/>
      <c r="G17" s="3"/>
      <c r="H17" s="3"/>
    </row>
    <row r="18" spans="1:8" ht="24.75" customHeight="1" x14ac:dyDescent="0.4">
      <c r="A18" s="8">
        <v>4</v>
      </c>
      <c r="B18" s="8" t="s">
        <v>259</v>
      </c>
      <c r="C18" s="8">
        <v>8813</v>
      </c>
      <c r="D18" s="8">
        <v>4449</v>
      </c>
      <c r="E18" s="8">
        <v>4364</v>
      </c>
      <c r="F18" s="3"/>
      <c r="G18" s="3"/>
      <c r="H18" s="3"/>
    </row>
    <row r="19" spans="1:8" ht="24.75" customHeight="1" x14ac:dyDescent="0.4">
      <c r="A19" s="8">
        <v>5</v>
      </c>
      <c r="B19" s="8" t="s">
        <v>260</v>
      </c>
      <c r="C19" s="8">
        <v>7866</v>
      </c>
      <c r="D19" s="8">
        <v>4219</v>
      </c>
      <c r="E19" s="8">
        <v>3647</v>
      </c>
      <c r="F19" s="3"/>
      <c r="G19" s="3"/>
      <c r="H19" s="3"/>
    </row>
    <row r="20" spans="1:8" ht="24.75" customHeight="1" x14ac:dyDescent="0.4">
      <c r="A20" s="8">
        <v>6</v>
      </c>
      <c r="B20" s="8" t="s">
        <v>261</v>
      </c>
      <c r="C20" s="8">
        <v>10365</v>
      </c>
      <c r="D20" s="8">
        <v>5372</v>
      </c>
      <c r="E20" s="8">
        <v>4993</v>
      </c>
      <c r="F20" s="3"/>
      <c r="G20" s="3"/>
      <c r="H20" s="3"/>
    </row>
    <row r="21" spans="1:8" ht="24.75" customHeight="1" x14ac:dyDescent="0.4">
      <c r="A21" s="8">
        <v>7</v>
      </c>
      <c r="B21" s="8" t="s">
        <v>262</v>
      </c>
      <c r="C21" s="8">
        <v>3777</v>
      </c>
      <c r="D21" s="8">
        <v>1922</v>
      </c>
      <c r="E21" s="8">
        <v>1855</v>
      </c>
      <c r="F21" s="3"/>
      <c r="G21" s="3"/>
      <c r="H21" s="3"/>
    </row>
    <row r="22" spans="1:8" ht="24.75" customHeight="1" x14ac:dyDescent="0.4">
      <c r="A22" s="8">
        <v>8</v>
      </c>
      <c r="B22" s="8" t="s">
        <v>263</v>
      </c>
      <c r="C22" s="8">
        <v>4381</v>
      </c>
      <c r="D22" s="8">
        <v>2262</v>
      </c>
      <c r="E22" s="8">
        <v>2119</v>
      </c>
      <c r="F22" s="3"/>
      <c r="G22" s="3"/>
      <c r="H22" s="3"/>
    </row>
    <row r="23" spans="1:8" ht="24.75" customHeight="1" x14ac:dyDescent="0.4">
      <c r="A23" s="8">
        <v>9</v>
      </c>
      <c r="B23" s="8" t="s">
        <v>264</v>
      </c>
      <c r="C23" s="8">
        <v>8298</v>
      </c>
      <c r="D23" s="8">
        <v>4257</v>
      </c>
      <c r="E23" s="8">
        <v>4041</v>
      </c>
      <c r="F23" s="3"/>
      <c r="G23" s="3"/>
      <c r="H23" s="3"/>
    </row>
    <row r="24" spans="1:8" ht="24.75" customHeight="1" x14ac:dyDescent="0.4">
      <c r="A24" s="8">
        <v>10</v>
      </c>
      <c r="B24" s="8" t="s">
        <v>265</v>
      </c>
      <c r="C24" s="8">
        <v>5588</v>
      </c>
      <c r="D24" s="8">
        <v>2920</v>
      </c>
      <c r="E24" s="8">
        <v>2668</v>
      </c>
      <c r="F24" s="3"/>
      <c r="G24" s="3"/>
      <c r="H24" s="3"/>
    </row>
    <row r="25" spans="1:8" ht="24.75" customHeight="1" x14ac:dyDescent="0.4">
      <c r="A25" s="12">
        <v>11</v>
      </c>
      <c r="B25" s="12" t="s">
        <v>266</v>
      </c>
      <c r="C25" s="12">
        <v>22585</v>
      </c>
      <c r="D25" s="12">
        <v>11584</v>
      </c>
      <c r="E25" s="12">
        <v>11001</v>
      </c>
      <c r="F25" s="3"/>
      <c r="G25" s="3"/>
      <c r="H25" s="3"/>
    </row>
    <row r="26" spans="1:8" ht="24.75" customHeight="1" x14ac:dyDescent="0.4">
      <c r="B26" s="6"/>
      <c r="C26" s="6"/>
      <c r="D26" s="6"/>
      <c r="E26" s="6"/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Myawady District,  Myawady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"/>
    </sheetView>
  </sheetViews>
  <sheetFormatPr defaultRowHeight="25.5" customHeight="1" x14ac:dyDescent="0.4"/>
  <cols>
    <col min="1" max="1" width="6.28515625" style="1" customWidth="1"/>
    <col min="2" max="2" width="40.28515625" style="1" customWidth="1"/>
    <col min="3" max="5" width="12.7109375" style="1" customWidth="1"/>
    <col min="6" max="16384" width="9.140625" style="1"/>
  </cols>
  <sheetData>
    <row r="1" spans="1:5" s="40" customFormat="1" ht="25.5" customHeight="1" x14ac:dyDescent="0.25">
      <c r="A1" s="36" t="s">
        <v>404</v>
      </c>
      <c r="B1" s="36"/>
      <c r="C1" s="36"/>
      <c r="D1" s="36"/>
      <c r="E1" s="36"/>
    </row>
    <row r="2" spans="1:5" ht="25.5" customHeight="1" x14ac:dyDescent="0.4">
      <c r="E2" s="18" t="s">
        <v>391</v>
      </c>
    </row>
    <row r="3" spans="1:5" ht="12" customHeight="1" x14ac:dyDescent="0.4"/>
    <row r="4" spans="1:5" ht="25.5" customHeight="1" x14ac:dyDescent="0.4">
      <c r="A4" s="29" t="s">
        <v>387</v>
      </c>
      <c r="B4" s="29" t="s">
        <v>411</v>
      </c>
      <c r="C4" s="32" t="s">
        <v>388</v>
      </c>
      <c r="D4" s="33"/>
      <c r="E4" s="34"/>
    </row>
    <row r="5" spans="1:5" ht="25.5" customHeight="1" x14ac:dyDescent="0.4">
      <c r="A5" s="30"/>
      <c r="B5" s="31"/>
      <c r="C5" s="17" t="s">
        <v>0</v>
      </c>
      <c r="D5" s="17" t="s">
        <v>1</v>
      </c>
      <c r="E5" s="17" t="s">
        <v>2</v>
      </c>
    </row>
    <row r="6" spans="1:5" ht="25.5" customHeight="1" x14ac:dyDescent="0.4">
      <c r="A6" s="11"/>
      <c r="B6" s="16" t="s">
        <v>409</v>
      </c>
      <c r="C6" s="13">
        <v>5703</v>
      </c>
      <c r="D6" s="13">
        <v>2987</v>
      </c>
      <c r="E6" s="13">
        <v>2716</v>
      </c>
    </row>
    <row r="7" spans="1:5" ht="10.5" customHeight="1" x14ac:dyDescent="0.4">
      <c r="A7" s="8"/>
      <c r="B7" s="7"/>
      <c r="C7" s="7"/>
      <c r="D7" s="7"/>
      <c r="E7" s="7"/>
    </row>
    <row r="8" spans="1:5" ht="21.75" x14ac:dyDescent="0.4">
      <c r="A8" s="8"/>
      <c r="B8" s="7" t="s">
        <v>389</v>
      </c>
      <c r="C8" s="7">
        <f>SUM(C9)</f>
        <v>342</v>
      </c>
      <c r="D8" s="7">
        <f t="shared" ref="D8:E8" si="0">SUM(D9)</f>
        <v>185</v>
      </c>
      <c r="E8" s="7">
        <f t="shared" si="0"/>
        <v>157</v>
      </c>
    </row>
    <row r="9" spans="1:5" ht="21.75" x14ac:dyDescent="0.4">
      <c r="A9" s="8">
        <v>1</v>
      </c>
      <c r="B9" s="8" t="s">
        <v>267</v>
      </c>
      <c r="C9" s="8">
        <v>342</v>
      </c>
      <c r="D9" s="8">
        <v>185</v>
      </c>
      <c r="E9" s="8">
        <v>157</v>
      </c>
    </row>
    <row r="10" spans="1:5" ht="21.75" x14ac:dyDescent="0.4">
      <c r="A10" s="8"/>
      <c r="B10" s="7" t="s">
        <v>410</v>
      </c>
      <c r="C10" s="7">
        <f>SUM(C11:C13)</f>
        <v>5361</v>
      </c>
      <c r="D10" s="7">
        <f t="shared" ref="D10:E10" si="1">SUM(D11:D13)</f>
        <v>2802</v>
      </c>
      <c r="E10" s="7">
        <f t="shared" si="1"/>
        <v>2559</v>
      </c>
    </row>
    <row r="11" spans="1:5" ht="21.75" x14ac:dyDescent="0.4">
      <c r="A11" s="8">
        <v>1</v>
      </c>
      <c r="B11" s="8" t="s">
        <v>268</v>
      </c>
      <c r="C11" s="8">
        <v>1708</v>
      </c>
      <c r="D11" s="8">
        <v>933</v>
      </c>
      <c r="E11" s="8">
        <v>775</v>
      </c>
    </row>
    <row r="12" spans="1:5" ht="21.75" x14ac:dyDescent="0.4">
      <c r="A12" s="8">
        <v>2</v>
      </c>
      <c r="B12" s="8" t="s">
        <v>269</v>
      </c>
      <c r="C12" s="8">
        <v>2017</v>
      </c>
      <c r="D12" s="8">
        <v>1041</v>
      </c>
      <c r="E12" s="8">
        <v>976</v>
      </c>
    </row>
    <row r="13" spans="1:5" ht="21.75" x14ac:dyDescent="0.4">
      <c r="A13" s="12">
        <v>3</v>
      </c>
      <c r="B13" s="12" t="s">
        <v>270</v>
      </c>
      <c r="C13" s="12">
        <v>1636</v>
      </c>
      <c r="D13" s="12">
        <v>828</v>
      </c>
      <c r="E13" s="12">
        <v>808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Myawady District,  Sugali(Sub- Township)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"/>
    </sheetView>
  </sheetViews>
  <sheetFormatPr defaultRowHeight="24.75" customHeight="1" x14ac:dyDescent="0.4"/>
  <cols>
    <col min="1" max="1" width="9.140625" style="1"/>
    <col min="2" max="2" width="34.5703125" style="1" customWidth="1"/>
    <col min="3" max="5" width="12.7109375" style="1" customWidth="1"/>
    <col min="6" max="16384" width="9.140625" style="1"/>
  </cols>
  <sheetData>
    <row r="1" spans="1:5" ht="24.75" customHeight="1" x14ac:dyDescent="0.4">
      <c r="A1" s="36" t="s">
        <v>405</v>
      </c>
      <c r="B1" s="36"/>
      <c r="C1" s="36"/>
      <c r="D1" s="36"/>
      <c r="E1" s="36"/>
    </row>
    <row r="2" spans="1:5" ht="24.75" customHeight="1" x14ac:dyDescent="0.4">
      <c r="E2" s="18" t="s">
        <v>391</v>
      </c>
    </row>
    <row r="3" spans="1:5" ht="12.75" customHeight="1" x14ac:dyDescent="0.4"/>
    <row r="4" spans="1:5" ht="24.75" customHeight="1" x14ac:dyDescent="0.4">
      <c r="A4" s="29" t="s">
        <v>387</v>
      </c>
      <c r="B4" s="29" t="s">
        <v>411</v>
      </c>
      <c r="C4" s="32" t="s">
        <v>388</v>
      </c>
      <c r="D4" s="33"/>
      <c r="E4" s="34"/>
    </row>
    <row r="5" spans="1:5" ht="24.75" customHeight="1" x14ac:dyDescent="0.4">
      <c r="A5" s="30"/>
      <c r="B5" s="31"/>
      <c r="C5" s="17" t="s">
        <v>0</v>
      </c>
      <c r="D5" s="17" t="s">
        <v>1</v>
      </c>
      <c r="E5" s="17" t="s">
        <v>2</v>
      </c>
    </row>
    <row r="6" spans="1:5" ht="24.75" customHeight="1" x14ac:dyDescent="0.4">
      <c r="A6" s="11"/>
      <c r="B6" s="16" t="s">
        <v>409</v>
      </c>
      <c r="C6" s="13">
        <v>9213</v>
      </c>
      <c r="D6" s="13">
        <v>4849</v>
      </c>
      <c r="E6" s="13">
        <v>4364</v>
      </c>
    </row>
    <row r="7" spans="1:5" ht="10.5" customHeight="1" x14ac:dyDescent="0.4">
      <c r="A7" s="8"/>
      <c r="B7" s="8"/>
      <c r="C7" s="8"/>
      <c r="D7" s="8"/>
      <c r="E7" s="8"/>
    </row>
    <row r="8" spans="1:5" ht="21.75" x14ac:dyDescent="0.4">
      <c r="A8" s="8"/>
      <c r="B8" s="7" t="s">
        <v>389</v>
      </c>
      <c r="C8" s="7">
        <f>SUM(C9:C10)</f>
        <v>3083</v>
      </c>
      <c r="D8" s="7">
        <f t="shared" ref="D8:E8" si="0">SUM(D9:D10)</f>
        <v>1591</v>
      </c>
      <c r="E8" s="7">
        <f t="shared" si="0"/>
        <v>1492</v>
      </c>
    </row>
    <row r="9" spans="1:5" ht="21.75" x14ac:dyDescent="0.4">
      <c r="A9" s="8">
        <v>1</v>
      </c>
      <c r="B9" s="8" t="s">
        <v>271</v>
      </c>
      <c r="C9" s="8">
        <v>2696</v>
      </c>
      <c r="D9" s="8">
        <v>1372</v>
      </c>
      <c r="E9" s="8">
        <v>1324</v>
      </c>
    </row>
    <row r="10" spans="1:5" ht="21.75" x14ac:dyDescent="0.4">
      <c r="A10" s="8">
        <v>2</v>
      </c>
      <c r="B10" s="8" t="s">
        <v>272</v>
      </c>
      <c r="C10" s="8">
        <v>387</v>
      </c>
      <c r="D10" s="8">
        <v>219</v>
      </c>
      <c r="E10" s="8">
        <v>168</v>
      </c>
    </row>
    <row r="11" spans="1:5" ht="21.75" x14ac:dyDescent="0.4">
      <c r="A11" s="8"/>
      <c r="B11" s="7" t="s">
        <v>410</v>
      </c>
      <c r="C11" s="7">
        <f>SUM(C12:C14)</f>
        <v>6130</v>
      </c>
      <c r="D11" s="7">
        <f t="shared" ref="D11:E11" si="1">SUM(D12:D14)</f>
        <v>3258</v>
      </c>
      <c r="E11" s="7">
        <f t="shared" si="1"/>
        <v>2872</v>
      </c>
    </row>
    <row r="12" spans="1:5" ht="21.75" x14ac:dyDescent="0.4">
      <c r="A12" s="8">
        <v>1</v>
      </c>
      <c r="B12" s="8" t="s">
        <v>273</v>
      </c>
      <c r="C12" s="8">
        <v>3107</v>
      </c>
      <c r="D12" s="8">
        <v>1624</v>
      </c>
      <c r="E12" s="8">
        <v>1483</v>
      </c>
    </row>
    <row r="13" spans="1:5" ht="21.75" x14ac:dyDescent="0.4">
      <c r="A13" s="8">
        <v>2</v>
      </c>
      <c r="B13" s="8" t="s">
        <v>274</v>
      </c>
      <c r="C13" s="8">
        <v>1976</v>
      </c>
      <c r="D13" s="8">
        <v>1083</v>
      </c>
      <c r="E13" s="8">
        <v>893</v>
      </c>
    </row>
    <row r="14" spans="1:5" ht="21.75" x14ac:dyDescent="0.4">
      <c r="A14" s="12">
        <v>3</v>
      </c>
      <c r="B14" s="12" t="s">
        <v>275</v>
      </c>
      <c r="C14" s="12">
        <v>1047</v>
      </c>
      <c r="D14" s="12">
        <v>551</v>
      </c>
      <c r="E14" s="12">
        <v>496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Myawady District,   Wawlaymyaing(Sub- Township)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24" customHeight="1" x14ac:dyDescent="0.25">
      <c r="A1" s="36" t="s">
        <v>406</v>
      </c>
      <c r="B1" s="36"/>
      <c r="C1" s="36"/>
      <c r="D1" s="36"/>
      <c r="E1" s="36"/>
    </row>
    <row r="2" spans="1:5" ht="24" customHeight="1" x14ac:dyDescent="0.4">
      <c r="C2" s="10"/>
      <c r="D2" s="10"/>
      <c r="E2" s="18" t="s">
        <v>391</v>
      </c>
    </row>
    <row r="3" spans="1:5" ht="13.5" customHeight="1" x14ac:dyDescent="0.4">
      <c r="C3" s="10"/>
      <c r="D3" s="10"/>
      <c r="E3" s="10"/>
    </row>
    <row r="4" spans="1:5" ht="24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4" customHeight="1" x14ac:dyDescent="0.4">
      <c r="A5" s="27"/>
      <c r="B5" s="27"/>
      <c r="C5" s="22" t="s">
        <v>0</v>
      </c>
      <c r="D5" s="22" t="s">
        <v>1</v>
      </c>
      <c r="E5" s="22" t="s">
        <v>2</v>
      </c>
    </row>
    <row r="6" spans="1:5" ht="27" customHeight="1" x14ac:dyDescent="0.4">
      <c r="A6" s="11"/>
      <c r="B6" s="16" t="s">
        <v>409</v>
      </c>
      <c r="C6" s="13">
        <v>220342</v>
      </c>
      <c r="D6" s="13">
        <v>105524</v>
      </c>
      <c r="E6" s="13">
        <v>114818</v>
      </c>
    </row>
    <row r="7" spans="1:5" ht="12" customHeight="1" x14ac:dyDescent="0.4">
      <c r="A7" s="8"/>
      <c r="B7" s="8"/>
      <c r="C7" s="8"/>
      <c r="D7" s="8"/>
      <c r="E7" s="8"/>
    </row>
    <row r="8" spans="1:5" ht="24.75" customHeight="1" x14ac:dyDescent="0.4">
      <c r="A8" s="8"/>
      <c r="B8" s="7" t="s">
        <v>389</v>
      </c>
      <c r="C8" s="7">
        <f>SUM(C9:C20)</f>
        <v>42950</v>
      </c>
      <c r="D8" s="7">
        <f t="shared" ref="D8:E8" si="0">SUM(D9:D20)</f>
        <v>20764</v>
      </c>
      <c r="E8" s="7">
        <f t="shared" si="0"/>
        <v>22186</v>
      </c>
    </row>
    <row r="9" spans="1:5" ht="24.75" customHeight="1" x14ac:dyDescent="0.4">
      <c r="A9" s="8">
        <v>1</v>
      </c>
      <c r="B9" s="8" t="s">
        <v>276</v>
      </c>
      <c r="C9" s="8">
        <v>3951</v>
      </c>
      <c r="D9" s="8">
        <v>1940</v>
      </c>
      <c r="E9" s="8">
        <v>2011</v>
      </c>
    </row>
    <row r="10" spans="1:5" ht="24.75" customHeight="1" x14ac:dyDescent="0.4">
      <c r="A10" s="8">
        <v>2</v>
      </c>
      <c r="B10" s="8" t="s">
        <v>277</v>
      </c>
      <c r="C10" s="8">
        <v>3759</v>
      </c>
      <c r="D10" s="8">
        <v>1788</v>
      </c>
      <c r="E10" s="8">
        <v>1971</v>
      </c>
    </row>
    <row r="11" spans="1:5" ht="24.75" customHeight="1" x14ac:dyDescent="0.4">
      <c r="A11" s="8">
        <v>3</v>
      </c>
      <c r="B11" s="8" t="s">
        <v>278</v>
      </c>
      <c r="C11" s="8">
        <v>4454</v>
      </c>
      <c r="D11" s="8">
        <v>2170</v>
      </c>
      <c r="E11" s="8">
        <v>2284</v>
      </c>
    </row>
    <row r="12" spans="1:5" ht="24.75" customHeight="1" x14ac:dyDescent="0.4">
      <c r="A12" s="8">
        <v>4</v>
      </c>
      <c r="B12" s="8" t="s">
        <v>279</v>
      </c>
      <c r="C12" s="8">
        <v>3411</v>
      </c>
      <c r="D12" s="8">
        <v>1700</v>
      </c>
      <c r="E12" s="8">
        <v>1711</v>
      </c>
    </row>
    <row r="13" spans="1:5" ht="24.75" customHeight="1" x14ac:dyDescent="0.4">
      <c r="A13" s="8">
        <v>5</v>
      </c>
      <c r="B13" s="8" t="s">
        <v>280</v>
      </c>
      <c r="C13" s="8">
        <v>5521</v>
      </c>
      <c r="D13" s="8">
        <v>2603</v>
      </c>
      <c r="E13" s="8">
        <v>2918</v>
      </c>
    </row>
    <row r="14" spans="1:5" ht="24.75" customHeight="1" x14ac:dyDescent="0.4">
      <c r="A14" s="8">
        <v>6</v>
      </c>
      <c r="B14" s="8" t="s">
        <v>255</v>
      </c>
      <c r="C14" s="8">
        <v>3141</v>
      </c>
      <c r="D14" s="8">
        <v>1529</v>
      </c>
      <c r="E14" s="8">
        <v>1612</v>
      </c>
    </row>
    <row r="15" spans="1:5" ht="24.75" customHeight="1" x14ac:dyDescent="0.4">
      <c r="A15" s="8">
        <v>7</v>
      </c>
      <c r="B15" s="8" t="s">
        <v>281</v>
      </c>
      <c r="C15" s="8">
        <v>8808</v>
      </c>
      <c r="D15" s="8">
        <v>4179</v>
      </c>
      <c r="E15" s="8">
        <v>4629</v>
      </c>
    </row>
    <row r="16" spans="1:5" ht="24.75" customHeight="1" x14ac:dyDescent="0.4">
      <c r="A16" s="4"/>
      <c r="B16" s="7" t="s">
        <v>392</v>
      </c>
      <c r="C16" s="8"/>
      <c r="D16" s="8"/>
      <c r="E16" s="8"/>
    </row>
    <row r="17" spans="1:5" ht="24.75" customHeight="1" x14ac:dyDescent="0.4">
      <c r="A17" s="8">
        <v>8</v>
      </c>
      <c r="B17" s="8" t="s">
        <v>143</v>
      </c>
      <c r="C17" s="8">
        <v>3113</v>
      </c>
      <c r="D17" s="8">
        <v>1523</v>
      </c>
      <c r="E17" s="8">
        <v>1590</v>
      </c>
    </row>
    <row r="18" spans="1:5" ht="24.75" customHeight="1" x14ac:dyDescent="0.4">
      <c r="A18" s="8">
        <v>9</v>
      </c>
      <c r="B18" s="8" t="s">
        <v>144</v>
      </c>
      <c r="C18" s="8">
        <v>2643</v>
      </c>
      <c r="D18" s="8">
        <v>1310</v>
      </c>
      <c r="E18" s="8">
        <v>1333</v>
      </c>
    </row>
    <row r="19" spans="1:5" ht="24.75" customHeight="1" x14ac:dyDescent="0.4">
      <c r="A19" s="8">
        <v>10</v>
      </c>
      <c r="B19" s="8" t="s">
        <v>145</v>
      </c>
      <c r="C19" s="8">
        <v>1974</v>
      </c>
      <c r="D19" s="8">
        <v>934</v>
      </c>
      <c r="E19" s="8">
        <v>1040</v>
      </c>
    </row>
    <row r="20" spans="1:5" ht="24.75" customHeight="1" x14ac:dyDescent="0.4">
      <c r="A20" s="8">
        <v>11</v>
      </c>
      <c r="B20" s="8" t="s">
        <v>146</v>
      </c>
      <c r="C20" s="8">
        <v>2175</v>
      </c>
      <c r="D20" s="8">
        <v>1088</v>
      </c>
      <c r="E20" s="8">
        <v>1087</v>
      </c>
    </row>
    <row r="21" spans="1:5" ht="24.75" customHeight="1" x14ac:dyDescent="0.4">
      <c r="A21" s="8"/>
      <c r="B21" s="7" t="s">
        <v>410</v>
      </c>
      <c r="C21" s="7">
        <f>SUM(C22:C74)</f>
        <v>177392</v>
      </c>
      <c r="D21" s="7">
        <f t="shared" ref="D21:E21" si="1">SUM(D22:D74)</f>
        <v>84760</v>
      </c>
      <c r="E21" s="7">
        <f t="shared" si="1"/>
        <v>92632</v>
      </c>
    </row>
    <row r="22" spans="1:5" ht="24.75" customHeight="1" x14ac:dyDescent="0.4">
      <c r="A22" s="8">
        <v>1</v>
      </c>
      <c r="B22" s="8" t="s">
        <v>282</v>
      </c>
      <c r="C22" s="8">
        <v>3490</v>
      </c>
      <c r="D22" s="8">
        <v>1646</v>
      </c>
      <c r="E22" s="8">
        <v>1844</v>
      </c>
    </row>
    <row r="23" spans="1:5" ht="24.75" customHeight="1" x14ac:dyDescent="0.4">
      <c r="A23" s="8">
        <v>2</v>
      </c>
      <c r="B23" s="8" t="s">
        <v>283</v>
      </c>
      <c r="C23" s="8">
        <v>1321</v>
      </c>
      <c r="D23" s="8">
        <v>602</v>
      </c>
      <c r="E23" s="8">
        <v>719</v>
      </c>
    </row>
    <row r="24" spans="1:5" ht="24.75" customHeight="1" x14ac:dyDescent="0.4">
      <c r="A24" s="8">
        <v>3</v>
      </c>
      <c r="B24" s="8" t="s">
        <v>284</v>
      </c>
      <c r="C24" s="8">
        <v>4422</v>
      </c>
      <c r="D24" s="8">
        <v>2021</v>
      </c>
      <c r="E24" s="8">
        <v>2401</v>
      </c>
    </row>
    <row r="25" spans="1:5" ht="24.75" customHeight="1" x14ac:dyDescent="0.4">
      <c r="A25" s="8">
        <v>4</v>
      </c>
      <c r="B25" s="8" t="s">
        <v>285</v>
      </c>
      <c r="C25" s="8">
        <v>3638</v>
      </c>
      <c r="D25" s="8">
        <v>1665</v>
      </c>
      <c r="E25" s="8">
        <v>1973</v>
      </c>
    </row>
    <row r="26" spans="1:5" ht="24.75" customHeight="1" x14ac:dyDescent="0.4">
      <c r="A26" s="8">
        <v>5</v>
      </c>
      <c r="B26" s="8" t="s">
        <v>286</v>
      </c>
      <c r="C26" s="8">
        <v>2996</v>
      </c>
      <c r="D26" s="8">
        <v>1448</v>
      </c>
      <c r="E26" s="8">
        <v>1548</v>
      </c>
    </row>
    <row r="27" spans="1:5" ht="24.75" customHeight="1" x14ac:dyDescent="0.4">
      <c r="A27" s="8">
        <v>6</v>
      </c>
      <c r="B27" s="8" t="s">
        <v>287</v>
      </c>
      <c r="C27" s="8">
        <v>6636</v>
      </c>
      <c r="D27" s="8">
        <v>3349</v>
      </c>
      <c r="E27" s="8">
        <v>3287</v>
      </c>
    </row>
    <row r="28" spans="1:5" ht="24.75" customHeight="1" x14ac:dyDescent="0.4">
      <c r="A28" s="8">
        <v>7</v>
      </c>
      <c r="B28" s="8" t="s">
        <v>288</v>
      </c>
      <c r="C28" s="8">
        <v>3358</v>
      </c>
      <c r="D28" s="8">
        <v>1598</v>
      </c>
      <c r="E28" s="8">
        <v>1760</v>
      </c>
    </row>
    <row r="29" spans="1:5" ht="24.75" customHeight="1" x14ac:dyDescent="0.4">
      <c r="A29" s="8">
        <v>8</v>
      </c>
      <c r="B29" s="8" t="s">
        <v>289</v>
      </c>
      <c r="C29" s="8">
        <v>2415</v>
      </c>
      <c r="D29" s="8">
        <v>1151</v>
      </c>
      <c r="E29" s="8">
        <v>1264</v>
      </c>
    </row>
    <row r="30" spans="1:5" ht="24.75" customHeight="1" x14ac:dyDescent="0.4">
      <c r="A30" s="8">
        <v>9</v>
      </c>
      <c r="B30" s="8" t="s">
        <v>290</v>
      </c>
      <c r="C30" s="8">
        <v>2620</v>
      </c>
      <c r="D30" s="8">
        <v>1216</v>
      </c>
      <c r="E30" s="8">
        <v>1404</v>
      </c>
    </row>
    <row r="31" spans="1:5" ht="24.75" customHeight="1" x14ac:dyDescent="0.4">
      <c r="A31" s="8">
        <v>10</v>
      </c>
      <c r="B31" s="8" t="s">
        <v>291</v>
      </c>
      <c r="C31" s="8">
        <v>2701</v>
      </c>
      <c r="D31" s="8">
        <v>1294</v>
      </c>
      <c r="E31" s="8">
        <v>1407</v>
      </c>
    </row>
    <row r="32" spans="1:5" ht="24.75" customHeight="1" x14ac:dyDescent="0.4">
      <c r="A32" s="8">
        <v>11</v>
      </c>
      <c r="B32" s="8" t="s">
        <v>292</v>
      </c>
      <c r="C32" s="8">
        <v>2359</v>
      </c>
      <c r="D32" s="8">
        <v>1104</v>
      </c>
      <c r="E32" s="8">
        <v>1255</v>
      </c>
    </row>
    <row r="33" spans="1:5" ht="24.75" customHeight="1" x14ac:dyDescent="0.4">
      <c r="A33" s="8">
        <v>12</v>
      </c>
      <c r="B33" s="8" t="s">
        <v>293</v>
      </c>
      <c r="C33" s="8">
        <v>2060</v>
      </c>
      <c r="D33" s="8">
        <v>959</v>
      </c>
      <c r="E33" s="8">
        <v>1101</v>
      </c>
    </row>
    <row r="34" spans="1:5" ht="24.75" customHeight="1" x14ac:dyDescent="0.4">
      <c r="A34" s="8">
        <v>13</v>
      </c>
      <c r="B34" s="8" t="s">
        <v>294</v>
      </c>
      <c r="C34" s="8">
        <v>3444</v>
      </c>
      <c r="D34" s="8">
        <v>1658</v>
      </c>
      <c r="E34" s="8">
        <v>1786</v>
      </c>
    </row>
    <row r="35" spans="1:5" ht="24.75" customHeight="1" x14ac:dyDescent="0.4">
      <c r="A35" s="8">
        <v>14</v>
      </c>
      <c r="B35" s="8" t="s">
        <v>295</v>
      </c>
      <c r="C35" s="8">
        <v>2908</v>
      </c>
      <c r="D35" s="8">
        <v>1407</v>
      </c>
      <c r="E35" s="8">
        <v>1501</v>
      </c>
    </row>
    <row r="36" spans="1:5" ht="24.75" customHeight="1" x14ac:dyDescent="0.4">
      <c r="A36" s="8">
        <v>15</v>
      </c>
      <c r="B36" s="8" t="s">
        <v>296</v>
      </c>
      <c r="C36" s="8">
        <v>5735</v>
      </c>
      <c r="D36" s="8">
        <v>2740</v>
      </c>
      <c r="E36" s="8">
        <v>2995</v>
      </c>
    </row>
    <row r="37" spans="1:5" ht="24.75" customHeight="1" x14ac:dyDescent="0.4">
      <c r="A37" s="8">
        <v>16</v>
      </c>
      <c r="B37" s="8" t="s">
        <v>297</v>
      </c>
      <c r="C37" s="8">
        <v>1873</v>
      </c>
      <c r="D37" s="8">
        <v>968</v>
      </c>
      <c r="E37" s="8">
        <v>905</v>
      </c>
    </row>
    <row r="38" spans="1:5" ht="24.75" customHeight="1" x14ac:dyDescent="0.4">
      <c r="A38" s="8">
        <v>17</v>
      </c>
      <c r="B38" s="8" t="s">
        <v>298</v>
      </c>
      <c r="C38" s="8">
        <v>777</v>
      </c>
      <c r="D38" s="8">
        <v>393</v>
      </c>
      <c r="E38" s="8">
        <v>384</v>
      </c>
    </row>
    <row r="39" spans="1:5" ht="24.75" customHeight="1" x14ac:dyDescent="0.4">
      <c r="A39" s="8">
        <v>18</v>
      </c>
      <c r="B39" s="8" t="s">
        <v>299</v>
      </c>
      <c r="C39" s="8">
        <v>2397</v>
      </c>
      <c r="D39" s="8">
        <v>1229</v>
      </c>
      <c r="E39" s="8">
        <v>1168</v>
      </c>
    </row>
    <row r="40" spans="1:5" ht="24.75" customHeight="1" x14ac:dyDescent="0.4">
      <c r="A40" s="8">
        <v>19</v>
      </c>
      <c r="B40" s="8" t="s">
        <v>300</v>
      </c>
      <c r="C40" s="8">
        <v>8310</v>
      </c>
      <c r="D40" s="8">
        <v>4216</v>
      </c>
      <c r="E40" s="8">
        <v>4094</v>
      </c>
    </row>
    <row r="41" spans="1:5" ht="24.75" customHeight="1" x14ac:dyDescent="0.4">
      <c r="A41" s="8">
        <v>20</v>
      </c>
      <c r="B41" s="8" t="s">
        <v>301</v>
      </c>
      <c r="C41" s="8">
        <v>1519</v>
      </c>
      <c r="D41" s="8">
        <v>726</v>
      </c>
      <c r="E41" s="8">
        <v>793</v>
      </c>
    </row>
    <row r="42" spans="1:5" ht="24.75" customHeight="1" x14ac:dyDescent="0.4">
      <c r="A42" s="8">
        <v>21</v>
      </c>
      <c r="B42" s="8" t="s">
        <v>302</v>
      </c>
      <c r="C42" s="8">
        <v>2459</v>
      </c>
      <c r="D42" s="8">
        <v>1201</v>
      </c>
      <c r="E42" s="8">
        <v>1258</v>
      </c>
    </row>
    <row r="43" spans="1:5" ht="24.75" customHeight="1" x14ac:dyDescent="0.4">
      <c r="A43" s="8">
        <v>22</v>
      </c>
      <c r="B43" s="8" t="s">
        <v>303</v>
      </c>
      <c r="C43" s="8">
        <v>4153</v>
      </c>
      <c r="D43" s="8">
        <v>2059</v>
      </c>
      <c r="E43" s="8">
        <v>2094</v>
      </c>
    </row>
    <row r="44" spans="1:5" ht="24.75" customHeight="1" x14ac:dyDescent="0.4">
      <c r="A44" s="8">
        <v>23</v>
      </c>
      <c r="B44" s="8" t="s">
        <v>304</v>
      </c>
      <c r="C44" s="8">
        <v>2651</v>
      </c>
      <c r="D44" s="8">
        <v>1306</v>
      </c>
      <c r="E44" s="8">
        <v>1345</v>
      </c>
    </row>
    <row r="45" spans="1:5" ht="24.75" customHeight="1" x14ac:dyDescent="0.4">
      <c r="A45" s="8">
        <v>24</v>
      </c>
      <c r="B45" s="8" t="s">
        <v>305</v>
      </c>
      <c r="C45" s="8">
        <v>2068</v>
      </c>
      <c r="D45" s="8">
        <v>979</v>
      </c>
      <c r="E45" s="8">
        <v>1089</v>
      </c>
    </row>
    <row r="46" spans="1:5" ht="24.75" customHeight="1" x14ac:dyDescent="0.4">
      <c r="A46" s="8">
        <v>25</v>
      </c>
      <c r="B46" s="8" t="s">
        <v>306</v>
      </c>
      <c r="C46" s="8">
        <v>1237</v>
      </c>
      <c r="D46" s="8">
        <v>588</v>
      </c>
      <c r="E46" s="8">
        <v>649</v>
      </c>
    </row>
    <row r="47" spans="1:5" ht="24.75" customHeight="1" x14ac:dyDescent="0.4">
      <c r="A47" s="8">
        <v>26</v>
      </c>
      <c r="B47" s="8" t="s">
        <v>307</v>
      </c>
      <c r="C47" s="8">
        <v>3361</v>
      </c>
      <c r="D47" s="8">
        <v>1574</v>
      </c>
      <c r="E47" s="8">
        <v>1787</v>
      </c>
    </row>
    <row r="48" spans="1:5" ht="24.75" customHeight="1" x14ac:dyDescent="0.4">
      <c r="A48" s="8">
        <v>27</v>
      </c>
      <c r="B48" s="8" t="s">
        <v>175</v>
      </c>
      <c r="C48" s="8">
        <v>5844</v>
      </c>
      <c r="D48" s="8">
        <v>2789</v>
      </c>
      <c r="E48" s="8">
        <v>3055</v>
      </c>
    </row>
    <row r="49" spans="1:5" ht="24.75" customHeight="1" x14ac:dyDescent="0.4">
      <c r="A49" s="8">
        <v>28</v>
      </c>
      <c r="B49" s="8" t="s">
        <v>308</v>
      </c>
      <c r="C49" s="8">
        <v>2981</v>
      </c>
      <c r="D49" s="8">
        <v>1432</v>
      </c>
      <c r="E49" s="8">
        <v>1549</v>
      </c>
    </row>
    <row r="50" spans="1:5" ht="24.75" customHeight="1" x14ac:dyDescent="0.4">
      <c r="A50" s="8">
        <v>29</v>
      </c>
      <c r="B50" s="8" t="s">
        <v>309</v>
      </c>
      <c r="C50" s="8">
        <v>1579</v>
      </c>
      <c r="D50" s="8">
        <v>763</v>
      </c>
      <c r="E50" s="8">
        <v>816</v>
      </c>
    </row>
    <row r="51" spans="1:5" ht="24.75" customHeight="1" x14ac:dyDescent="0.4">
      <c r="A51" s="8">
        <v>30</v>
      </c>
      <c r="B51" s="8" t="s">
        <v>310</v>
      </c>
      <c r="C51" s="8">
        <v>3488</v>
      </c>
      <c r="D51" s="8">
        <v>1675</v>
      </c>
      <c r="E51" s="8">
        <v>1813</v>
      </c>
    </row>
    <row r="52" spans="1:5" ht="24.75" customHeight="1" x14ac:dyDescent="0.4">
      <c r="A52" s="8">
        <v>31</v>
      </c>
      <c r="B52" s="8" t="s">
        <v>311</v>
      </c>
      <c r="C52" s="8">
        <v>3116</v>
      </c>
      <c r="D52" s="8">
        <v>1543</v>
      </c>
      <c r="E52" s="8">
        <v>1573</v>
      </c>
    </row>
    <row r="53" spans="1:5" ht="24.75" customHeight="1" x14ac:dyDescent="0.4">
      <c r="A53" s="8">
        <v>32</v>
      </c>
      <c r="B53" s="8" t="s">
        <v>312</v>
      </c>
      <c r="C53" s="8">
        <v>3503</v>
      </c>
      <c r="D53" s="8">
        <v>1756</v>
      </c>
      <c r="E53" s="8">
        <v>1747</v>
      </c>
    </row>
    <row r="54" spans="1:5" ht="24.75" customHeight="1" x14ac:dyDescent="0.4">
      <c r="A54" s="8">
        <v>33</v>
      </c>
      <c r="B54" s="8" t="s">
        <v>313</v>
      </c>
      <c r="C54" s="8">
        <v>1747</v>
      </c>
      <c r="D54" s="8">
        <v>865</v>
      </c>
      <c r="E54" s="8">
        <v>882</v>
      </c>
    </row>
    <row r="55" spans="1:5" ht="24.75" customHeight="1" x14ac:dyDescent="0.4">
      <c r="A55" s="8">
        <v>34</v>
      </c>
      <c r="B55" s="8" t="s">
        <v>314</v>
      </c>
      <c r="C55" s="8">
        <v>4062</v>
      </c>
      <c r="D55" s="8">
        <v>2001</v>
      </c>
      <c r="E55" s="8">
        <v>2061</v>
      </c>
    </row>
    <row r="56" spans="1:5" ht="24.75" customHeight="1" x14ac:dyDescent="0.4">
      <c r="A56" s="8">
        <v>35</v>
      </c>
      <c r="B56" s="8" t="s">
        <v>315</v>
      </c>
      <c r="C56" s="8">
        <v>1837</v>
      </c>
      <c r="D56" s="8">
        <v>889</v>
      </c>
      <c r="E56" s="8">
        <v>948</v>
      </c>
    </row>
    <row r="57" spans="1:5" ht="24.75" customHeight="1" x14ac:dyDescent="0.4">
      <c r="A57" s="8">
        <v>36</v>
      </c>
      <c r="B57" s="8" t="s">
        <v>316</v>
      </c>
      <c r="C57" s="8">
        <v>3741</v>
      </c>
      <c r="D57" s="8">
        <v>1778</v>
      </c>
      <c r="E57" s="8">
        <v>1963</v>
      </c>
    </row>
    <row r="58" spans="1:5" ht="24.75" customHeight="1" x14ac:dyDescent="0.4">
      <c r="A58" s="8">
        <v>37</v>
      </c>
      <c r="B58" s="8" t="s">
        <v>317</v>
      </c>
      <c r="C58" s="8">
        <v>2781</v>
      </c>
      <c r="D58" s="8">
        <v>1329</v>
      </c>
      <c r="E58" s="8">
        <v>1452</v>
      </c>
    </row>
    <row r="59" spans="1:5" ht="24.75" customHeight="1" x14ac:dyDescent="0.4">
      <c r="A59" s="8">
        <v>38</v>
      </c>
      <c r="B59" s="8" t="s">
        <v>318</v>
      </c>
      <c r="C59" s="8">
        <v>1932</v>
      </c>
      <c r="D59" s="8">
        <v>902</v>
      </c>
      <c r="E59" s="8">
        <v>1030</v>
      </c>
    </row>
    <row r="60" spans="1:5" ht="24.75" customHeight="1" x14ac:dyDescent="0.4">
      <c r="A60" s="8">
        <v>39</v>
      </c>
      <c r="B60" s="8" t="s">
        <v>319</v>
      </c>
      <c r="C60" s="8">
        <v>5902</v>
      </c>
      <c r="D60" s="8">
        <v>2701</v>
      </c>
      <c r="E60" s="8">
        <v>3201</v>
      </c>
    </row>
    <row r="61" spans="1:5" ht="24.75" customHeight="1" x14ac:dyDescent="0.4">
      <c r="A61" s="8">
        <v>40</v>
      </c>
      <c r="B61" s="8" t="s">
        <v>320</v>
      </c>
      <c r="C61" s="8">
        <v>1860</v>
      </c>
      <c r="D61" s="8">
        <v>892</v>
      </c>
      <c r="E61" s="8">
        <v>968</v>
      </c>
    </row>
    <row r="62" spans="1:5" ht="24.75" customHeight="1" x14ac:dyDescent="0.4">
      <c r="A62" s="8">
        <v>41</v>
      </c>
      <c r="B62" s="8" t="s">
        <v>321</v>
      </c>
      <c r="C62" s="8">
        <v>2043</v>
      </c>
      <c r="D62" s="8">
        <v>921</v>
      </c>
      <c r="E62" s="8">
        <v>1122</v>
      </c>
    </row>
    <row r="63" spans="1:5" ht="24.75" customHeight="1" x14ac:dyDescent="0.4">
      <c r="A63" s="8">
        <v>42</v>
      </c>
      <c r="B63" s="8" t="s">
        <v>322</v>
      </c>
      <c r="C63" s="8">
        <v>3025</v>
      </c>
      <c r="D63" s="8">
        <v>1420</v>
      </c>
      <c r="E63" s="8">
        <v>1605</v>
      </c>
    </row>
    <row r="64" spans="1:5" ht="24.75" customHeight="1" x14ac:dyDescent="0.4">
      <c r="A64" s="8">
        <v>43</v>
      </c>
      <c r="B64" s="8" t="s">
        <v>323</v>
      </c>
      <c r="C64" s="8">
        <v>2825</v>
      </c>
      <c r="D64" s="8">
        <v>1328</v>
      </c>
      <c r="E64" s="8">
        <v>1497</v>
      </c>
    </row>
    <row r="65" spans="1:5" ht="24.75" customHeight="1" x14ac:dyDescent="0.4">
      <c r="A65" s="8">
        <v>44</v>
      </c>
      <c r="B65" s="8" t="s">
        <v>324</v>
      </c>
      <c r="C65" s="8">
        <v>2585</v>
      </c>
      <c r="D65" s="8">
        <v>1251</v>
      </c>
      <c r="E65" s="8">
        <v>1334</v>
      </c>
    </row>
    <row r="66" spans="1:5" ht="24.75" customHeight="1" x14ac:dyDescent="0.4">
      <c r="A66" s="8">
        <v>45</v>
      </c>
      <c r="B66" s="8" t="s">
        <v>325</v>
      </c>
      <c r="C66" s="8">
        <v>1787</v>
      </c>
      <c r="D66" s="8">
        <v>846</v>
      </c>
      <c r="E66" s="8">
        <v>941</v>
      </c>
    </row>
    <row r="67" spans="1:5" ht="24.75" customHeight="1" x14ac:dyDescent="0.4">
      <c r="A67" s="8">
        <v>46</v>
      </c>
      <c r="B67" s="8" t="s">
        <v>326</v>
      </c>
      <c r="C67" s="8">
        <v>1882</v>
      </c>
      <c r="D67" s="8">
        <v>909</v>
      </c>
      <c r="E67" s="8">
        <v>973</v>
      </c>
    </row>
    <row r="68" spans="1:5" ht="24.75" customHeight="1" x14ac:dyDescent="0.4">
      <c r="A68" s="8">
        <v>47</v>
      </c>
      <c r="B68" s="8" t="s">
        <v>327</v>
      </c>
      <c r="C68" s="8">
        <v>4993</v>
      </c>
      <c r="D68" s="8">
        <v>2219</v>
      </c>
      <c r="E68" s="8">
        <v>2774</v>
      </c>
    </row>
    <row r="69" spans="1:5" ht="24.75" customHeight="1" x14ac:dyDescent="0.4">
      <c r="A69" s="8">
        <v>48</v>
      </c>
      <c r="B69" s="8" t="s">
        <v>328</v>
      </c>
      <c r="C69" s="8">
        <v>7641</v>
      </c>
      <c r="D69" s="8">
        <v>3674</v>
      </c>
      <c r="E69" s="8">
        <v>3967</v>
      </c>
    </row>
    <row r="70" spans="1:5" ht="24.75" customHeight="1" x14ac:dyDescent="0.4">
      <c r="A70" s="8">
        <v>49</v>
      </c>
      <c r="B70" s="8" t="s">
        <v>329</v>
      </c>
      <c r="C70" s="8">
        <v>5476</v>
      </c>
      <c r="D70" s="8">
        <v>2565</v>
      </c>
      <c r="E70" s="8">
        <v>2911</v>
      </c>
    </row>
    <row r="71" spans="1:5" ht="24.75" customHeight="1" x14ac:dyDescent="0.4">
      <c r="A71" s="8">
        <v>50</v>
      </c>
      <c r="B71" s="8" t="s">
        <v>330</v>
      </c>
      <c r="C71" s="8">
        <v>10997</v>
      </c>
      <c r="D71" s="8">
        <v>5005</v>
      </c>
      <c r="E71" s="8">
        <v>5992</v>
      </c>
    </row>
    <row r="72" spans="1:5" ht="24.75" customHeight="1" x14ac:dyDescent="0.4">
      <c r="A72" s="8">
        <v>51</v>
      </c>
      <c r="B72" s="8" t="s">
        <v>331</v>
      </c>
      <c r="C72" s="8">
        <v>1487</v>
      </c>
      <c r="D72" s="8">
        <v>670</v>
      </c>
      <c r="E72" s="8">
        <v>817</v>
      </c>
    </row>
    <row r="73" spans="1:5" ht="24.75" customHeight="1" x14ac:dyDescent="0.4">
      <c r="A73" s="8">
        <v>52</v>
      </c>
      <c r="B73" s="8" t="s">
        <v>332</v>
      </c>
      <c r="C73" s="8">
        <v>2166</v>
      </c>
      <c r="D73" s="8">
        <v>1015</v>
      </c>
      <c r="E73" s="8">
        <v>1151</v>
      </c>
    </row>
    <row r="74" spans="1:5" ht="24.75" customHeight="1" x14ac:dyDescent="0.4">
      <c r="A74" s="8">
        <v>53</v>
      </c>
      <c r="B74" s="12" t="s">
        <v>333</v>
      </c>
      <c r="C74" s="12">
        <v>5204</v>
      </c>
      <c r="D74" s="12">
        <v>2525</v>
      </c>
      <c r="E74" s="12">
        <v>2679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Kawkareik District,  Kawkareik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19.5" x14ac:dyDescent="0.25">
      <c r="A1" s="36" t="s">
        <v>407</v>
      </c>
      <c r="B1" s="36"/>
      <c r="C1" s="36"/>
      <c r="D1" s="36"/>
      <c r="E1" s="36"/>
    </row>
    <row r="2" spans="1:5" x14ac:dyDescent="0.4">
      <c r="C2" s="10"/>
      <c r="D2" s="10"/>
      <c r="E2" s="18" t="s">
        <v>391</v>
      </c>
    </row>
    <row r="3" spans="1:5" ht="10.5" customHeight="1" x14ac:dyDescent="0.4">
      <c r="C3" s="10"/>
      <c r="D3" s="10"/>
      <c r="E3" s="10"/>
    </row>
    <row r="4" spans="1:5" ht="25.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6.25" customHeight="1" x14ac:dyDescent="0.4">
      <c r="A5" s="27"/>
      <c r="B5" s="27"/>
      <c r="C5" s="20" t="s">
        <v>0</v>
      </c>
      <c r="D5" s="20" t="s">
        <v>1</v>
      </c>
      <c r="E5" s="20" t="s">
        <v>2</v>
      </c>
    </row>
    <row r="6" spans="1:5" ht="27" customHeight="1" x14ac:dyDescent="0.4">
      <c r="A6" s="11"/>
      <c r="B6" s="16" t="s">
        <v>409</v>
      </c>
      <c r="C6" s="13">
        <v>106427</v>
      </c>
      <c r="D6" s="13">
        <v>51806</v>
      </c>
      <c r="E6" s="13">
        <v>54621</v>
      </c>
    </row>
    <row r="7" spans="1:5" ht="10.5" customHeight="1" x14ac:dyDescent="0.4">
      <c r="A7" s="8"/>
      <c r="B7" s="8"/>
      <c r="C7" s="8"/>
      <c r="D7" s="8"/>
      <c r="E7" s="8"/>
    </row>
    <row r="8" spans="1:5" ht="24" customHeight="1" x14ac:dyDescent="0.4">
      <c r="A8" s="8"/>
      <c r="B8" s="7" t="s">
        <v>389</v>
      </c>
      <c r="C8" s="7">
        <f>SUM(C9:C14)</f>
        <v>9085</v>
      </c>
      <c r="D8" s="7">
        <f t="shared" ref="D8:E8" si="0">SUM(D9:D14)</f>
        <v>4428</v>
      </c>
      <c r="E8" s="7">
        <f t="shared" si="0"/>
        <v>4657</v>
      </c>
    </row>
    <row r="9" spans="1:5" x14ac:dyDescent="0.4">
      <c r="A9" s="8">
        <v>1</v>
      </c>
      <c r="B9" s="8" t="s">
        <v>267</v>
      </c>
      <c r="C9" s="8">
        <v>2644</v>
      </c>
      <c r="D9" s="8">
        <v>1396</v>
      </c>
      <c r="E9" s="8">
        <v>1248</v>
      </c>
    </row>
    <row r="10" spans="1:5" x14ac:dyDescent="0.4">
      <c r="A10" s="8">
        <v>2</v>
      </c>
      <c r="B10" s="8" t="s">
        <v>334</v>
      </c>
      <c r="C10" s="8">
        <v>1522</v>
      </c>
      <c r="D10" s="8">
        <v>701</v>
      </c>
      <c r="E10" s="8">
        <v>821</v>
      </c>
    </row>
    <row r="11" spans="1:5" x14ac:dyDescent="0.4">
      <c r="A11" s="8">
        <v>3</v>
      </c>
      <c r="B11" s="8" t="s">
        <v>335</v>
      </c>
      <c r="C11" s="8">
        <v>1277</v>
      </c>
      <c r="D11" s="8">
        <v>591</v>
      </c>
      <c r="E11" s="8">
        <v>686</v>
      </c>
    </row>
    <row r="12" spans="1:5" x14ac:dyDescent="0.4">
      <c r="A12" s="8">
        <v>4</v>
      </c>
      <c r="B12" s="8" t="s">
        <v>336</v>
      </c>
      <c r="C12" s="8">
        <v>645</v>
      </c>
      <c r="D12" s="8">
        <v>297</v>
      </c>
      <c r="E12" s="8">
        <v>348</v>
      </c>
    </row>
    <row r="13" spans="1:5" x14ac:dyDescent="0.4">
      <c r="A13" s="8">
        <v>5</v>
      </c>
      <c r="B13" s="8" t="s">
        <v>337</v>
      </c>
      <c r="C13" s="8">
        <v>1152</v>
      </c>
      <c r="D13" s="8">
        <v>569</v>
      </c>
      <c r="E13" s="8">
        <v>583</v>
      </c>
    </row>
    <row r="14" spans="1:5" x14ac:dyDescent="0.4">
      <c r="A14" s="8">
        <v>6</v>
      </c>
      <c r="B14" s="8" t="s">
        <v>338</v>
      </c>
      <c r="C14" s="8">
        <v>1845</v>
      </c>
      <c r="D14" s="8">
        <v>874</v>
      </c>
      <c r="E14" s="8">
        <v>971</v>
      </c>
    </row>
    <row r="15" spans="1:5" ht="25.5" customHeight="1" x14ac:dyDescent="0.4">
      <c r="A15" s="8"/>
      <c r="B15" s="7" t="s">
        <v>410</v>
      </c>
      <c r="C15" s="7">
        <f>SUM(C16:C35)</f>
        <v>97342</v>
      </c>
      <c r="D15" s="7">
        <f t="shared" ref="D15:E15" si="1">SUM(D16:D35)</f>
        <v>47378</v>
      </c>
      <c r="E15" s="7">
        <f t="shared" si="1"/>
        <v>49964</v>
      </c>
    </row>
    <row r="16" spans="1:5" x14ac:dyDescent="0.4">
      <c r="A16" s="8">
        <v>1</v>
      </c>
      <c r="B16" s="8" t="s">
        <v>339</v>
      </c>
      <c r="C16" s="8">
        <v>5524</v>
      </c>
      <c r="D16" s="8">
        <v>2648</v>
      </c>
      <c r="E16" s="8">
        <v>2876</v>
      </c>
    </row>
    <row r="17" spans="1:5" x14ac:dyDescent="0.4">
      <c r="A17" s="8">
        <v>2</v>
      </c>
      <c r="B17" s="8" t="s">
        <v>340</v>
      </c>
      <c r="C17" s="8">
        <v>9030</v>
      </c>
      <c r="D17" s="8">
        <v>4548</v>
      </c>
      <c r="E17" s="8">
        <v>4482</v>
      </c>
    </row>
    <row r="18" spans="1:5" x14ac:dyDescent="0.4">
      <c r="A18" s="8">
        <v>3</v>
      </c>
      <c r="B18" s="8" t="s">
        <v>341</v>
      </c>
      <c r="C18" s="8">
        <v>2298</v>
      </c>
      <c r="D18" s="8">
        <v>1108</v>
      </c>
      <c r="E18" s="8">
        <v>1190</v>
      </c>
    </row>
    <row r="19" spans="1:5" x14ac:dyDescent="0.4">
      <c r="A19" s="8">
        <v>4</v>
      </c>
      <c r="B19" s="8" t="s">
        <v>342</v>
      </c>
      <c r="C19" s="8">
        <v>4172</v>
      </c>
      <c r="D19" s="8">
        <v>1970</v>
      </c>
      <c r="E19" s="8">
        <v>2202</v>
      </c>
    </row>
    <row r="20" spans="1:5" x14ac:dyDescent="0.4">
      <c r="A20" s="8">
        <v>5</v>
      </c>
      <c r="B20" s="8" t="s">
        <v>343</v>
      </c>
      <c r="C20" s="8">
        <v>960</v>
      </c>
      <c r="D20" s="8">
        <v>498</v>
      </c>
      <c r="E20" s="8">
        <v>462</v>
      </c>
    </row>
    <row r="21" spans="1:5" x14ac:dyDescent="0.4">
      <c r="A21" s="8">
        <v>6</v>
      </c>
      <c r="B21" s="8" t="s">
        <v>344</v>
      </c>
      <c r="C21" s="8">
        <v>1249</v>
      </c>
      <c r="D21" s="8">
        <v>599</v>
      </c>
      <c r="E21" s="8">
        <v>650</v>
      </c>
    </row>
    <row r="22" spans="1:5" x14ac:dyDescent="0.4">
      <c r="A22" s="8">
        <v>7</v>
      </c>
      <c r="B22" s="8" t="s">
        <v>345</v>
      </c>
      <c r="C22" s="8">
        <v>4867</v>
      </c>
      <c r="D22" s="8">
        <v>2414</v>
      </c>
      <c r="E22" s="8">
        <v>2453</v>
      </c>
    </row>
    <row r="23" spans="1:5" x14ac:dyDescent="0.4">
      <c r="A23" s="8">
        <v>8</v>
      </c>
      <c r="B23" s="8" t="s">
        <v>346</v>
      </c>
      <c r="C23" s="8">
        <v>5734</v>
      </c>
      <c r="D23" s="8">
        <v>2787</v>
      </c>
      <c r="E23" s="8">
        <v>2947</v>
      </c>
    </row>
    <row r="24" spans="1:5" x14ac:dyDescent="0.4">
      <c r="A24" s="8">
        <v>9</v>
      </c>
      <c r="B24" s="8" t="s">
        <v>347</v>
      </c>
      <c r="C24" s="8">
        <v>3476</v>
      </c>
      <c r="D24" s="8">
        <v>1721</v>
      </c>
      <c r="E24" s="8">
        <v>1755</v>
      </c>
    </row>
    <row r="25" spans="1:5" x14ac:dyDescent="0.4">
      <c r="A25" s="8">
        <v>10</v>
      </c>
      <c r="B25" s="8" t="s">
        <v>348</v>
      </c>
      <c r="C25" s="8">
        <v>2737</v>
      </c>
      <c r="D25" s="8">
        <v>1378</v>
      </c>
      <c r="E25" s="8">
        <v>1359</v>
      </c>
    </row>
    <row r="26" spans="1:5" x14ac:dyDescent="0.4">
      <c r="A26" s="8">
        <v>11</v>
      </c>
      <c r="B26" s="8" t="s">
        <v>349</v>
      </c>
      <c r="C26" s="8">
        <v>3447</v>
      </c>
      <c r="D26" s="8">
        <v>1760</v>
      </c>
      <c r="E26" s="8">
        <v>1687</v>
      </c>
    </row>
    <row r="27" spans="1:5" x14ac:dyDescent="0.4">
      <c r="A27" s="8">
        <v>12</v>
      </c>
      <c r="B27" s="8" t="s">
        <v>350</v>
      </c>
      <c r="C27" s="8">
        <v>3390</v>
      </c>
      <c r="D27" s="8">
        <v>1697</v>
      </c>
      <c r="E27" s="8">
        <v>1693</v>
      </c>
    </row>
    <row r="28" spans="1:5" x14ac:dyDescent="0.4">
      <c r="A28" s="8">
        <v>13</v>
      </c>
      <c r="B28" s="8" t="s">
        <v>351</v>
      </c>
      <c r="C28" s="8">
        <v>3740</v>
      </c>
      <c r="D28" s="8">
        <v>1818</v>
      </c>
      <c r="E28" s="8">
        <v>1922</v>
      </c>
    </row>
    <row r="29" spans="1:5" x14ac:dyDescent="0.4">
      <c r="A29" s="8">
        <v>14</v>
      </c>
      <c r="B29" s="8" t="s">
        <v>352</v>
      </c>
      <c r="C29" s="8">
        <v>14008</v>
      </c>
      <c r="D29" s="8">
        <v>6664</v>
      </c>
      <c r="E29" s="8">
        <v>7344</v>
      </c>
    </row>
    <row r="30" spans="1:5" x14ac:dyDescent="0.4">
      <c r="A30" s="8">
        <v>15</v>
      </c>
      <c r="B30" s="8" t="s">
        <v>353</v>
      </c>
      <c r="C30" s="8">
        <v>6002</v>
      </c>
      <c r="D30" s="8">
        <v>2888</v>
      </c>
      <c r="E30" s="8">
        <v>3114</v>
      </c>
    </row>
    <row r="31" spans="1:5" x14ac:dyDescent="0.4">
      <c r="A31" s="8">
        <v>16</v>
      </c>
      <c r="B31" s="8" t="s">
        <v>354</v>
      </c>
      <c r="C31" s="8">
        <v>1199</v>
      </c>
      <c r="D31" s="8">
        <v>566</v>
      </c>
      <c r="E31" s="8">
        <v>633</v>
      </c>
    </row>
    <row r="32" spans="1:5" x14ac:dyDescent="0.4">
      <c r="A32" s="8">
        <v>17</v>
      </c>
      <c r="B32" s="8" t="s">
        <v>355</v>
      </c>
      <c r="C32" s="8">
        <v>1989</v>
      </c>
      <c r="D32" s="8">
        <v>969</v>
      </c>
      <c r="E32" s="8">
        <v>1020</v>
      </c>
    </row>
    <row r="33" spans="1:5" x14ac:dyDescent="0.4">
      <c r="A33" s="8">
        <v>18</v>
      </c>
      <c r="B33" s="8" t="s">
        <v>356</v>
      </c>
      <c r="C33" s="8">
        <v>5050</v>
      </c>
      <c r="D33" s="8">
        <v>2483</v>
      </c>
      <c r="E33" s="8">
        <v>2567</v>
      </c>
    </row>
    <row r="34" spans="1:5" x14ac:dyDescent="0.4">
      <c r="A34" s="8">
        <v>19</v>
      </c>
      <c r="B34" s="8" t="s">
        <v>243</v>
      </c>
      <c r="C34" s="8">
        <v>9601</v>
      </c>
      <c r="D34" s="8">
        <v>4684</v>
      </c>
      <c r="E34" s="8">
        <v>4917</v>
      </c>
    </row>
    <row r="35" spans="1:5" x14ac:dyDescent="0.4">
      <c r="A35" s="8">
        <v>20</v>
      </c>
      <c r="B35" s="12" t="s">
        <v>357</v>
      </c>
      <c r="C35" s="12">
        <v>8869</v>
      </c>
      <c r="D35" s="12">
        <v>4178</v>
      </c>
      <c r="E35" s="12">
        <v>4691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Kawkareik District,   Kyarinseikkyi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40" customFormat="1" ht="24.75" customHeight="1" x14ac:dyDescent="0.25">
      <c r="A1" s="36" t="s">
        <v>408</v>
      </c>
      <c r="B1" s="36"/>
      <c r="C1" s="36"/>
      <c r="D1" s="36"/>
      <c r="E1" s="36"/>
    </row>
    <row r="2" spans="1:5" x14ac:dyDescent="0.4">
      <c r="C2" s="10"/>
      <c r="D2" s="10"/>
      <c r="E2" s="18" t="s">
        <v>391</v>
      </c>
    </row>
    <row r="3" spans="1:5" ht="10.5" customHeight="1" x14ac:dyDescent="0.4">
      <c r="C3" s="10"/>
      <c r="D3" s="10"/>
      <c r="E3" s="10"/>
    </row>
    <row r="4" spans="1:5" ht="26.25" customHeight="1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ht="27.75" customHeight="1" x14ac:dyDescent="0.4">
      <c r="A5" s="28"/>
      <c r="B5" s="27"/>
      <c r="C5" s="17" t="s">
        <v>0</v>
      </c>
      <c r="D5" s="17" t="s">
        <v>1</v>
      </c>
      <c r="E5" s="17" t="s">
        <v>2</v>
      </c>
    </row>
    <row r="6" spans="1:5" ht="24.75" customHeight="1" x14ac:dyDescent="0.4">
      <c r="A6" s="11"/>
      <c r="B6" s="16" t="s">
        <v>409</v>
      </c>
      <c r="C6" s="13">
        <v>90484</v>
      </c>
      <c r="D6" s="13">
        <v>44600</v>
      </c>
      <c r="E6" s="13">
        <v>45884</v>
      </c>
    </row>
    <row r="7" spans="1:5" ht="10.5" customHeight="1" x14ac:dyDescent="0.4">
      <c r="A7" s="8"/>
      <c r="B7" s="8"/>
      <c r="C7" s="7"/>
      <c r="D7" s="7"/>
      <c r="E7" s="7"/>
    </row>
    <row r="8" spans="1:5" ht="27" customHeight="1" x14ac:dyDescent="0.4">
      <c r="A8" s="8"/>
      <c r="B8" s="7" t="s">
        <v>389</v>
      </c>
      <c r="C8" s="7">
        <f>SUM(C9:C12)</f>
        <v>27311</v>
      </c>
      <c r="D8" s="7">
        <f t="shared" ref="D8:E8" si="0">SUM(D9:D12)</f>
        <v>13092</v>
      </c>
      <c r="E8" s="7">
        <f t="shared" si="0"/>
        <v>14219</v>
      </c>
    </row>
    <row r="9" spans="1:5" x14ac:dyDescent="0.4">
      <c r="A9" s="8">
        <v>1</v>
      </c>
      <c r="B9" s="8" t="s">
        <v>267</v>
      </c>
      <c r="C9" s="8">
        <v>6074</v>
      </c>
      <c r="D9" s="8">
        <v>2743</v>
      </c>
      <c r="E9" s="8">
        <v>3331</v>
      </c>
    </row>
    <row r="10" spans="1:5" x14ac:dyDescent="0.4">
      <c r="A10" s="8">
        <v>2</v>
      </c>
      <c r="B10" s="8" t="s">
        <v>334</v>
      </c>
      <c r="C10" s="8">
        <v>3168</v>
      </c>
      <c r="D10" s="8">
        <v>1492</v>
      </c>
      <c r="E10" s="8">
        <v>1676</v>
      </c>
    </row>
    <row r="11" spans="1:5" x14ac:dyDescent="0.4">
      <c r="A11" s="8">
        <v>3</v>
      </c>
      <c r="B11" s="8" t="s">
        <v>335</v>
      </c>
      <c r="C11" s="8">
        <v>11212</v>
      </c>
      <c r="D11" s="8">
        <v>5440</v>
      </c>
      <c r="E11" s="8">
        <v>5772</v>
      </c>
    </row>
    <row r="12" spans="1:5" x14ac:dyDescent="0.4">
      <c r="A12" s="8">
        <v>4</v>
      </c>
      <c r="B12" s="8" t="s">
        <v>336</v>
      </c>
      <c r="C12" s="8">
        <v>6857</v>
      </c>
      <c r="D12" s="8">
        <v>3417</v>
      </c>
      <c r="E12" s="8">
        <v>3440</v>
      </c>
    </row>
    <row r="13" spans="1:5" ht="24.75" customHeight="1" x14ac:dyDescent="0.4">
      <c r="A13" s="8"/>
      <c r="B13" s="7" t="s">
        <v>410</v>
      </c>
      <c r="C13" s="7">
        <f>SUM(C14:C22)</f>
        <v>63173</v>
      </c>
      <c r="D13" s="7">
        <f t="shared" ref="D13:E13" si="1">SUM(D14:D22)</f>
        <v>31508</v>
      </c>
      <c r="E13" s="7">
        <f t="shared" si="1"/>
        <v>31665</v>
      </c>
    </row>
    <row r="14" spans="1:5" x14ac:dyDescent="0.4">
      <c r="A14" s="8">
        <v>1</v>
      </c>
      <c r="B14" s="8" t="s">
        <v>358</v>
      </c>
      <c r="C14" s="8">
        <v>13600</v>
      </c>
      <c r="D14" s="8">
        <v>7009</v>
      </c>
      <c r="E14" s="8">
        <v>6591</v>
      </c>
    </row>
    <row r="15" spans="1:5" x14ac:dyDescent="0.4">
      <c r="A15" s="8">
        <v>2</v>
      </c>
      <c r="B15" s="8" t="s">
        <v>359</v>
      </c>
      <c r="C15" s="8">
        <v>2940</v>
      </c>
      <c r="D15" s="8">
        <v>1530</v>
      </c>
      <c r="E15" s="8">
        <v>1410</v>
      </c>
    </row>
    <row r="16" spans="1:5" x14ac:dyDescent="0.4">
      <c r="A16" s="8">
        <v>3</v>
      </c>
      <c r="B16" s="8" t="s">
        <v>360</v>
      </c>
      <c r="C16" s="8">
        <v>8044</v>
      </c>
      <c r="D16" s="8">
        <v>4000</v>
      </c>
      <c r="E16" s="8">
        <v>4044</v>
      </c>
    </row>
    <row r="17" spans="1:5" x14ac:dyDescent="0.4">
      <c r="A17" s="8">
        <v>4</v>
      </c>
      <c r="B17" s="8" t="s">
        <v>361</v>
      </c>
      <c r="C17" s="8">
        <v>4569</v>
      </c>
      <c r="D17" s="8">
        <v>2233</v>
      </c>
      <c r="E17" s="8">
        <v>2336</v>
      </c>
    </row>
    <row r="18" spans="1:5" x14ac:dyDescent="0.4">
      <c r="A18" s="8">
        <v>5</v>
      </c>
      <c r="B18" s="8" t="s">
        <v>362</v>
      </c>
      <c r="C18" s="8">
        <v>3690</v>
      </c>
      <c r="D18" s="8">
        <v>1830</v>
      </c>
      <c r="E18" s="8">
        <v>1860</v>
      </c>
    </row>
    <row r="19" spans="1:5" x14ac:dyDescent="0.4">
      <c r="A19" s="8">
        <v>6</v>
      </c>
      <c r="B19" s="8" t="s">
        <v>363</v>
      </c>
      <c r="C19" s="8">
        <v>8350</v>
      </c>
      <c r="D19" s="8">
        <v>4146</v>
      </c>
      <c r="E19" s="8">
        <v>4204</v>
      </c>
    </row>
    <row r="20" spans="1:5" x14ac:dyDescent="0.4">
      <c r="A20" s="8">
        <v>7</v>
      </c>
      <c r="B20" s="8" t="s">
        <v>364</v>
      </c>
      <c r="C20" s="8">
        <v>7343</v>
      </c>
      <c r="D20" s="8">
        <v>3613</v>
      </c>
      <c r="E20" s="8">
        <v>3730</v>
      </c>
    </row>
    <row r="21" spans="1:5" x14ac:dyDescent="0.4">
      <c r="A21" s="8">
        <v>8</v>
      </c>
      <c r="B21" s="8" t="s">
        <v>365</v>
      </c>
      <c r="C21" s="8">
        <v>8092</v>
      </c>
      <c r="D21" s="8">
        <v>3945</v>
      </c>
      <c r="E21" s="8">
        <v>4147</v>
      </c>
    </row>
    <row r="22" spans="1:5" x14ac:dyDescent="0.4">
      <c r="A22" s="12">
        <v>9</v>
      </c>
      <c r="B22" s="12" t="s">
        <v>366</v>
      </c>
      <c r="C22" s="12">
        <v>6545</v>
      </c>
      <c r="D22" s="12">
        <v>3202</v>
      </c>
      <c r="E22" s="12">
        <v>3343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Kawkareik District,   Payarthonezu(Sub Township)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1"/>
    </sheetView>
  </sheetViews>
  <sheetFormatPr defaultRowHeight="21.75" x14ac:dyDescent="0.4"/>
  <cols>
    <col min="1" max="1" width="9.140625" style="1"/>
    <col min="2" max="2" width="31.140625" style="1" customWidth="1"/>
    <col min="3" max="5" width="15.7109375" style="1" customWidth="1"/>
    <col min="6" max="16384" width="9.140625" style="1"/>
  </cols>
  <sheetData>
    <row r="1" spans="1:5" s="39" customFormat="1" ht="19.5" x14ac:dyDescent="0.35">
      <c r="A1" s="38" t="s">
        <v>393</v>
      </c>
      <c r="B1" s="38"/>
      <c r="C1" s="38"/>
      <c r="D1" s="38"/>
      <c r="E1" s="38"/>
    </row>
    <row r="2" spans="1:5" x14ac:dyDescent="0.4">
      <c r="C2" s="10"/>
      <c r="D2" s="10"/>
      <c r="E2" s="18" t="s">
        <v>391</v>
      </c>
    </row>
    <row r="3" spans="1:5" ht="10.5" customHeight="1" x14ac:dyDescent="0.4">
      <c r="C3" s="10"/>
      <c r="D3" s="10"/>
      <c r="E3" s="10"/>
    </row>
    <row r="4" spans="1:5" x14ac:dyDescent="0.4">
      <c r="A4" s="26" t="s">
        <v>387</v>
      </c>
      <c r="B4" s="26" t="s">
        <v>411</v>
      </c>
      <c r="C4" s="25" t="s">
        <v>388</v>
      </c>
      <c r="D4" s="25"/>
      <c r="E4" s="25"/>
    </row>
    <row r="5" spans="1:5" x14ac:dyDescent="0.4">
      <c r="A5" s="28"/>
      <c r="B5" s="27"/>
      <c r="C5" s="17" t="s">
        <v>0</v>
      </c>
      <c r="D5" s="17" t="s">
        <v>1</v>
      </c>
      <c r="E5" s="17" t="s">
        <v>2</v>
      </c>
    </row>
    <row r="6" spans="1:5" ht="27.75" customHeight="1" x14ac:dyDescent="0.4">
      <c r="A6" s="11"/>
      <c r="B6" s="16" t="s">
        <v>409</v>
      </c>
      <c r="C6" s="13">
        <v>57938</v>
      </c>
      <c r="D6" s="13">
        <v>29280</v>
      </c>
      <c r="E6" s="13">
        <v>28658</v>
      </c>
    </row>
    <row r="7" spans="1:5" ht="10.5" customHeight="1" x14ac:dyDescent="0.4">
      <c r="A7" s="8"/>
      <c r="B7" s="8"/>
      <c r="C7" s="8"/>
      <c r="D7" s="8"/>
      <c r="E7" s="8"/>
    </row>
    <row r="8" spans="1:5" x14ac:dyDescent="0.4">
      <c r="A8" s="8"/>
      <c r="B8" s="7" t="s">
        <v>389</v>
      </c>
      <c r="C8" s="7">
        <f>SUM(C9:C14)</f>
        <v>3515</v>
      </c>
      <c r="D8" s="7">
        <f t="shared" ref="D8:E8" si="0">SUM(D9:D14)</f>
        <v>1816</v>
      </c>
      <c r="E8" s="7">
        <f t="shared" si="0"/>
        <v>1699</v>
      </c>
    </row>
    <row r="9" spans="1:5" x14ac:dyDescent="0.4">
      <c r="A9" s="8">
        <v>1</v>
      </c>
      <c r="B9" s="8" t="s">
        <v>143</v>
      </c>
      <c r="C9" s="8">
        <v>607</v>
      </c>
      <c r="D9" s="8">
        <v>313</v>
      </c>
      <c r="E9" s="8">
        <v>294</v>
      </c>
    </row>
    <row r="10" spans="1:5" x14ac:dyDescent="0.4">
      <c r="A10" s="8">
        <v>2</v>
      </c>
      <c r="B10" s="8" t="s">
        <v>144</v>
      </c>
      <c r="C10" s="8">
        <v>292</v>
      </c>
      <c r="D10" s="8">
        <v>140</v>
      </c>
      <c r="E10" s="8">
        <v>152</v>
      </c>
    </row>
    <row r="11" spans="1:5" x14ac:dyDescent="0.4">
      <c r="A11" s="8">
        <v>3</v>
      </c>
      <c r="B11" s="8" t="s">
        <v>145</v>
      </c>
      <c r="C11" s="8">
        <v>982</v>
      </c>
      <c r="D11" s="8">
        <v>509</v>
      </c>
      <c r="E11" s="8">
        <v>473</v>
      </c>
    </row>
    <row r="12" spans="1:5" x14ac:dyDescent="0.4">
      <c r="A12" s="8">
        <v>4</v>
      </c>
      <c r="B12" s="8" t="s">
        <v>146</v>
      </c>
      <c r="C12" s="8">
        <v>764</v>
      </c>
      <c r="D12" s="8">
        <v>388</v>
      </c>
      <c r="E12" s="8">
        <v>376</v>
      </c>
    </row>
    <row r="13" spans="1:5" x14ac:dyDescent="0.4">
      <c r="A13" s="8">
        <v>5</v>
      </c>
      <c r="B13" s="8" t="s">
        <v>147</v>
      </c>
      <c r="C13" s="8">
        <v>553</v>
      </c>
      <c r="D13" s="8">
        <v>297</v>
      </c>
      <c r="E13" s="8">
        <v>256</v>
      </c>
    </row>
    <row r="14" spans="1:5" x14ac:dyDescent="0.4">
      <c r="A14" s="8">
        <v>6</v>
      </c>
      <c r="B14" s="8" t="s">
        <v>195</v>
      </c>
      <c r="C14" s="8">
        <v>317</v>
      </c>
      <c r="D14" s="8">
        <v>169</v>
      </c>
      <c r="E14" s="8">
        <v>148</v>
      </c>
    </row>
    <row r="15" spans="1:5" x14ac:dyDescent="0.4">
      <c r="A15" s="8"/>
      <c r="B15" s="7" t="s">
        <v>410</v>
      </c>
      <c r="C15" s="7">
        <f>SUM(C16:C36)</f>
        <v>54423</v>
      </c>
      <c r="D15" s="7">
        <f t="shared" ref="D15:E15" si="1">SUM(D16:D36)</f>
        <v>27464</v>
      </c>
      <c r="E15" s="7">
        <f t="shared" si="1"/>
        <v>26959</v>
      </c>
    </row>
    <row r="16" spans="1:5" x14ac:dyDescent="0.4">
      <c r="A16" s="8">
        <v>1</v>
      </c>
      <c r="B16" s="8" t="s">
        <v>367</v>
      </c>
      <c r="C16" s="8">
        <v>2112</v>
      </c>
      <c r="D16" s="8">
        <v>1022</v>
      </c>
      <c r="E16" s="8">
        <v>1090</v>
      </c>
    </row>
    <row r="17" spans="1:5" x14ac:dyDescent="0.4">
      <c r="A17" s="8">
        <v>2</v>
      </c>
      <c r="B17" s="8" t="s">
        <v>368</v>
      </c>
      <c r="C17" s="8">
        <v>1728</v>
      </c>
      <c r="D17" s="8">
        <v>844</v>
      </c>
      <c r="E17" s="8">
        <v>884</v>
      </c>
    </row>
    <row r="18" spans="1:5" x14ac:dyDescent="0.4">
      <c r="A18" s="8">
        <v>3</v>
      </c>
      <c r="B18" s="8" t="s">
        <v>369</v>
      </c>
      <c r="C18" s="8">
        <v>1766</v>
      </c>
      <c r="D18" s="8">
        <v>885</v>
      </c>
      <c r="E18" s="8">
        <v>881</v>
      </c>
    </row>
    <row r="19" spans="1:5" x14ac:dyDescent="0.4">
      <c r="A19" s="8">
        <v>4</v>
      </c>
      <c r="B19" s="8" t="s">
        <v>370</v>
      </c>
      <c r="C19" s="8">
        <v>1572</v>
      </c>
      <c r="D19" s="8">
        <v>823</v>
      </c>
      <c r="E19" s="8">
        <v>749</v>
      </c>
    </row>
    <row r="20" spans="1:5" x14ac:dyDescent="0.4">
      <c r="A20" s="8">
        <v>5</v>
      </c>
      <c r="B20" s="8" t="s">
        <v>371</v>
      </c>
      <c r="C20" s="8">
        <v>2777</v>
      </c>
      <c r="D20" s="8">
        <v>1383</v>
      </c>
      <c r="E20" s="8">
        <v>1394</v>
      </c>
    </row>
    <row r="21" spans="1:5" x14ac:dyDescent="0.4">
      <c r="A21" s="8">
        <v>6</v>
      </c>
      <c r="B21" s="8" t="s">
        <v>372</v>
      </c>
      <c r="C21" s="8">
        <v>1738</v>
      </c>
      <c r="D21" s="8">
        <v>864</v>
      </c>
      <c r="E21" s="8">
        <v>874</v>
      </c>
    </row>
    <row r="22" spans="1:5" x14ac:dyDescent="0.4">
      <c r="A22" s="8">
        <v>7</v>
      </c>
      <c r="B22" s="8" t="s">
        <v>262</v>
      </c>
      <c r="C22" s="8">
        <v>5014</v>
      </c>
      <c r="D22" s="8">
        <v>2528</v>
      </c>
      <c r="E22" s="8">
        <v>2486</v>
      </c>
    </row>
    <row r="23" spans="1:5" x14ac:dyDescent="0.4">
      <c r="A23" s="8">
        <v>8</v>
      </c>
      <c r="B23" s="8" t="s">
        <v>373</v>
      </c>
      <c r="C23" s="8">
        <v>1358</v>
      </c>
      <c r="D23" s="8">
        <v>679</v>
      </c>
      <c r="E23" s="8">
        <v>679</v>
      </c>
    </row>
    <row r="24" spans="1:5" x14ac:dyDescent="0.4">
      <c r="A24" s="8">
        <v>9</v>
      </c>
      <c r="B24" s="8" t="s">
        <v>374</v>
      </c>
      <c r="C24" s="8">
        <v>3567</v>
      </c>
      <c r="D24" s="8">
        <v>1763</v>
      </c>
      <c r="E24" s="8">
        <v>1804</v>
      </c>
    </row>
    <row r="25" spans="1:5" x14ac:dyDescent="0.4">
      <c r="A25" s="8">
        <v>10</v>
      </c>
      <c r="B25" s="8" t="s">
        <v>375</v>
      </c>
      <c r="C25" s="8">
        <v>1362</v>
      </c>
      <c r="D25" s="8">
        <v>699</v>
      </c>
      <c r="E25" s="8">
        <v>663</v>
      </c>
    </row>
    <row r="26" spans="1:5" x14ac:dyDescent="0.4">
      <c r="A26" s="8">
        <v>11</v>
      </c>
      <c r="B26" s="8" t="s">
        <v>376</v>
      </c>
      <c r="C26" s="8">
        <v>1185</v>
      </c>
      <c r="D26" s="8">
        <v>598</v>
      </c>
      <c r="E26" s="8">
        <v>587</v>
      </c>
    </row>
    <row r="27" spans="1:5" x14ac:dyDescent="0.4">
      <c r="A27" s="8">
        <v>12</v>
      </c>
      <c r="B27" s="8" t="s">
        <v>377</v>
      </c>
      <c r="C27" s="8">
        <v>1920</v>
      </c>
      <c r="D27" s="8">
        <v>943</v>
      </c>
      <c r="E27" s="8">
        <v>977</v>
      </c>
    </row>
    <row r="28" spans="1:5" x14ac:dyDescent="0.4">
      <c r="A28" s="8">
        <v>13</v>
      </c>
      <c r="B28" s="8" t="s">
        <v>378</v>
      </c>
      <c r="C28" s="8">
        <v>1902</v>
      </c>
      <c r="D28" s="8">
        <v>962</v>
      </c>
      <c r="E28" s="8">
        <v>940</v>
      </c>
    </row>
    <row r="29" spans="1:5" x14ac:dyDescent="0.4">
      <c r="A29" s="8">
        <v>14</v>
      </c>
      <c r="B29" s="8" t="s">
        <v>379</v>
      </c>
      <c r="C29" s="8">
        <v>2779</v>
      </c>
      <c r="D29" s="8">
        <v>1408</v>
      </c>
      <c r="E29" s="8">
        <v>1371</v>
      </c>
    </row>
    <row r="30" spans="1:5" x14ac:dyDescent="0.4">
      <c r="A30" s="8">
        <v>15</v>
      </c>
      <c r="B30" s="8" t="s">
        <v>380</v>
      </c>
      <c r="C30" s="8">
        <v>3292</v>
      </c>
      <c r="D30" s="8">
        <v>1722</v>
      </c>
      <c r="E30" s="8">
        <v>1570</v>
      </c>
    </row>
    <row r="31" spans="1:5" x14ac:dyDescent="0.4">
      <c r="A31" s="8">
        <v>16</v>
      </c>
      <c r="B31" s="8" t="s">
        <v>381</v>
      </c>
      <c r="C31" s="8">
        <v>4366</v>
      </c>
      <c r="D31" s="8">
        <v>2307</v>
      </c>
      <c r="E31" s="8">
        <v>2059</v>
      </c>
    </row>
    <row r="32" spans="1:5" x14ac:dyDescent="0.4">
      <c r="A32" s="8">
        <v>17</v>
      </c>
      <c r="B32" s="8" t="s">
        <v>382</v>
      </c>
      <c r="C32" s="8">
        <v>2279</v>
      </c>
      <c r="D32" s="8">
        <v>1107</v>
      </c>
      <c r="E32" s="8">
        <v>1172</v>
      </c>
    </row>
    <row r="33" spans="1:5" x14ac:dyDescent="0.4">
      <c r="A33" s="8">
        <v>18</v>
      </c>
      <c r="B33" s="8" t="s">
        <v>383</v>
      </c>
      <c r="C33" s="8">
        <v>2201</v>
      </c>
      <c r="D33" s="8">
        <v>1079</v>
      </c>
      <c r="E33" s="8">
        <v>1122</v>
      </c>
    </row>
    <row r="34" spans="1:5" x14ac:dyDescent="0.4">
      <c r="A34" s="8">
        <v>19</v>
      </c>
      <c r="B34" s="8" t="s">
        <v>384</v>
      </c>
      <c r="C34" s="8">
        <v>4625</v>
      </c>
      <c r="D34" s="8">
        <v>2354</v>
      </c>
      <c r="E34" s="8">
        <v>2271</v>
      </c>
    </row>
    <row r="35" spans="1:5" x14ac:dyDescent="0.4">
      <c r="A35" s="8">
        <v>20</v>
      </c>
      <c r="B35" s="8" t="s">
        <v>385</v>
      </c>
      <c r="C35" s="8">
        <v>3673</v>
      </c>
      <c r="D35" s="8">
        <v>1861</v>
      </c>
      <c r="E35" s="8">
        <v>1812</v>
      </c>
    </row>
    <row r="36" spans="1:5" x14ac:dyDescent="0.4">
      <c r="A36" s="12">
        <v>21</v>
      </c>
      <c r="B36" s="12" t="s">
        <v>386</v>
      </c>
      <c r="C36" s="12">
        <v>3207</v>
      </c>
      <c r="D36" s="12">
        <v>1633</v>
      </c>
      <c r="E36" s="12">
        <v>1574</v>
      </c>
    </row>
  </sheetData>
  <mergeCells count="4">
    <mergeCell ref="A1:E1"/>
    <mergeCell ref="A4:A5"/>
    <mergeCell ref="B4:B5"/>
    <mergeCell ref="C4:E4"/>
  </mergeCells>
  <hyperlinks>
    <hyperlink ref="A1:E1" location="'List of Township'!A1" display="Kayin State,  Kawkareik District,  Kyaidon(Sub-Township)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List of Township</vt:lpstr>
      <vt:lpstr>Hpa-an</vt:lpstr>
      <vt:lpstr>Hlaingbwe</vt:lpstr>
      <vt:lpstr>Thandaunggyi</vt:lpstr>
      <vt:lpstr>Paingkyon Sub-Tsb</vt:lpstr>
      <vt:lpstr>Shan Ywathit(Sub-Tsb)</vt:lpstr>
      <vt:lpstr>Leiktho (Sub-Tsb)</vt:lpstr>
      <vt:lpstr>Bawgali(Sub-TsB)</vt:lpstr>
      <vt:lpstr>Pharpon</vt:lpstr>
      <vt:lpstr>Kamamaung(Sub-Tsb)</vt:lpstr>
      <vt:lpstr>Myawady</vt:lpstr>
      <vt:lpstr>Sugali(Sub-Tsp)</vt:lpstr>
      <vt:lpstr>  Wawlaymyaing(Sub-Tsp)</vt:lpstr>
      <vt:lpstr>Kawkareik</vt:lpstr>
      <vt:lpstr>Kyarinseikkyi</vt:lpstr>
      <vt:lpstr> Payarthonezu(Sub-Tsp)</vt:lpstr>
      <vt:lpstr>Kyaidon(S)</vt:lpstr>
      <vt:lpstr>Sheet2</vt:lpstr>
      <vt:lpstr>' Payarthonezu(Sub-Tsp)'!Print_Titles</vt:lpstr>
      <vt:lpstr>Hlaingbwe!Print_Titles</vt:lpstr>
      <vt:lpstr>'Hpa-an'!Print_Titles</vt:lpstr>
      <vt:lpstr>Kawkareik!Print_Titles</vt:lpstr>
      <vt:lpstr>'Kyaidon(S)'!Print_Titles</vt:lpstr>
      <vt:lpstr>Kyarinseikkyi!Print_Titles</vt:lpstr>
      <vt:lpstr>'Leiktho (Sub-Tsb)'!Print_Titles</vt:lpstr>
      <vt:lpstr>'Paingkyon Sub-Tsb'!Print_Titles</vt:lpstr>
      <vt:lpstr>Thandaunggyi!Print_Titles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2015-08-28T10:03:24Z</cp:lastPrinted>
  <dcterms:created xsi:type="dcterms:W3CDTF">2015-06-01T07:25:39Z</dcterms:created>
  <dcterms:modified xsi:type="dcterms:W3CDTF">2015-09-02T05:21:20Z</dcterms:modified>
</cp:coreProperties>
</file>