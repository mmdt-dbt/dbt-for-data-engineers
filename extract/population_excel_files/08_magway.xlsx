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210" windowWidth="20730" windowHeight="9450"/>
  </bookViews>
  <sheets>
    <sheet name="Lest of twonship" sheetId="30" r:id="rId1"/>
    <sheet name=" Magway" sheetId="2" r:id="rId2"/>
    <sheet name="Yenangyoung" sheetId="3" r:id="rId3"/>
    <sheet name="Chauk" sheetId="4" r:id="rId4"/>
    <sheet name=" Taungdwingyi" sheetId="5" r:id="rId5"/>
    <sheet name=" Myothit" sheetId="6" r:id="rId6"/>
    <sheet name="Natmauk" sheetId="7" r:id="rId7"/>
    <sheet name="Minbu" sheetId="9" r:id="rId8"/>
    <sheet name=" Pwint Phyu" sheetId="10" r:id="rId9"/>
    <sheet name=" Ngape" sheetId="11" r:id="rId10"/>
    <sheet name="Salin" sheetId="12" r:id="rId11"/>
    <sheet name="Saytottara" sheetId="13" r:id="rId12"/>
    <sheet name="Thayet" sheetId="14" r:id="rId13"/>
    <sheet name="Minhla" sheetId="15" r:id="rId14"/>
    <sheet name="Mindon" sheetId="16" r:id="rId15"/>
    <sheet name="Kamma" sheetId="17" r:id="rId16"/>
    <sheet name="Aunglan" sheetId="18" r:id="rId17"/>
    <sheet name="Sinpaungwe`" sheetId="19" r:id="rId18"/>
    <sheet name="Pakokku" sheetId="20" r:id="rId19"/>
    <sheet name="Yesagyo" sheetId="21" r:id="rId20"/>
    <sheet name="Myaing" sheetId="22" r:id="rId21"/>
    <sheet name="Pauk" sheetId="23" r:id="rId22"/>
    <sheet name="Seikphyu" sheetId="24" r:id="rId23"/>
    <sheet name="Gangaw" sheetId="25" r:id="rId24"/>
    <sheet name="Htilin" sheetId="26" r:id="rId25"/>
    <sheet name="Saw" sheetId="27" r:id="rId26"/>
    <sheet name="Kyaukhtu(Sub-Tsp)" sheetId="28" r:id="rId27"/>
    <sheet name="Sheet2" sheetId="29" r:id="rId28"/>
  </sheets>
  <definedNames>
    <definedName name="_xlnm.Print_Titles" localSheetId="1">' Magway'!$1:$5</definedName>
    <definedName name="_xlnm.Print_Titles" localSheetId="5">' Myothit'!$1:$5</definedName>
    <definedName name="_xlnm.Print_Titles" localSheetId="9">' Ngape'!$1:$5</definedName>
    <definedName name="_xlnm.Print_Titles" localSheetId="8">' Pwint Phyu'!$1:$5</definedName>
    <definedName name="_xlnm.Print_Titles" localSheetId="4">' Taungdwingyi'!$1:$5</definedName>
    <definedName name="_xlnm.Print_Titles" localSheetId="16">Aunglan!$1:$5</definedName>
    <definedName name="_xlnm.Print_Titles" localSheetId="3">Chauk!$1:$5</definedName>
    <definedName name="_xlnm.Print_Titles" localSheetId="23">Gangaw!$1:$5</definedName>
    <definedName name="_xlnm.Print_Titles" localSheetId="24">Htilin!$1:$5</definedName>
    <definedName name="_xlnm.Print_Titles" localSheetId="15">Kamma!$1:$5</definedName>
    <definedName name="_xlnm.Print_Titles" localSheetId="26">'Kyaukhtu(Sub-Tsp)'!$1:$5</definedName>
    <definedName name="_xlnm.Print_Titles" localSheetId="7">Minbu!$1:$5</definedName>
    <definedName name="_xlnm.Print_Titles" localSheetId="14">Mindon!$1:$5</definedName>
    <definedName name="_xlnm.Print_Titles" localSheetId="13">Minhla!$1:$5</definedName>
    <definedName name="_xlnm.Print_Titles" localSheetId="20">Myaing!$1:$5</definedName>
    <definedName name="_xlnm.Print_Titles" localSheetId="6">Natmauk!$1:$5</definedName>
    <definedName name="_xlnm.Print_Titles" localSheetId="18">Pakokku!$1:$5</definedName>
    <definedName name="_xlnm.Print_Titles" localSheetId="21">Pauk!$1:$5</definedName>
    <definedName name="_xlnm.Print_Titles" localSheetId="10">Salin!$1:$5</definedName>
    <definedName name="_xlnm.Print_Titles" localSheetId="25">Saw!$1:$5</definedName>
    <definedName name="_xlnm.Print_Titles" localSheetId="11">Saytottara!$1:$5</definedName>
    <definedName name="_xlnm.Print_Titles" localSheetId="22">Seikphyu!$1:$5</definedName>
    <definedName name="_xlnm.Print_Titles" localSheetId="17">'Sinpaungwe`'!$1:$5</definedName>
    <definedName name="_xlnm.Print_Titles" localSheetId="12">Thayet!$1:$5</definedName>
    <definedName name="_xlnm.Print_Titles" localSheetId="2">Yenangyoung!$1:$5</definedName>
    <definedName name="_xlnm.Print_Titles" localSheetId="19">Yesagyo!$1:$5</definedName>
  </definedNames>
  <calcPr calcId="145621"/>
</workbook>
</file>

<file path=xl/calcChain.xml><?xml version="1.0" encoding="utf-8"?>
<calcChain xmlns="http://schemas.openxmlformats.org/spreadsheetml/2006/main">
  <c r="B9" i="30" l="1"/>
  <c r="B2" i="30" l="1"/>
  <c r="B27" i="30" l="1"/>
  <c r="B26" i="30"/>
  <c r="B25" i="30"/>
  <c r="B24" i="30"/>
  <c r="B23" i="30"/>
  <c r="B22" i="30"/>
  <c r="B21" i="30"/>
  <c r="B20" i="30"/>
  <c r="B19" i="30"/>
  <c r="B18" i="30"/>
  <c r="B17" i="30"/>
  <c r="B16" i="30"/>
  <c r="B15" i="30"/>
  <c r="B14" i="30"/>
  <c r="B13" i="30"/>
  <c r="B12" i="30"/>
  <c r="B11" i="30"/>
  <c r="B10" i="30"/>
  <c r="B8" i="30"/>
  <c r="B7" i="30"/>
  <c r="B6" i="30"/>
  <c r="B5" i="30"/>
  <c r="B4" i="30"/>
  <c r="B3" i="30"/>
  <c r="D15" i="12" l="1"/>
  <c r="E15" i="12"/>
  <c r="E6" i="12" s="1"/>
  <c r="C15" i="12"/>
  <c r="D8" i="12"/>
  <c r="E8" i="12"/>
  <c r="C8" i="12"/>
  <c r="E8" i="13"/>
  <c r="C6" i="12" l="1"/>
  <c r="D6" i="12"/>
  <c r="D24" i="4"/>
  <c r="E24" i="4"/>
  <c r="C24" i="4"/>
  <c r="D8" i="4"/>
  <c r="E8" i="4"/>
  <c r="C8" i="4"/>
  <c r="D12" i="28"/>
  <c r="E12" i="28"/>
  <c r="C12" i="28"/>
  <c r="D8" i="28"/>
  <c r="E8" i="28"/>
  <c r="C8" i="28"/>
  <c r="D11" i="27"/>
  <c r="E11" i="27"/>
  <c r="C11" i="27"/>
  <c r="D8" i="27"/>
  <c r="E8" i="27"/>
  <c r="C8" i="27"/>
  <c r="D11" i="26"/>
  <c r="E11" i="26"/>
  <c r="C11" i="26"/>
  <c r="D8" i="26"/>
  <c r="E8" i="26"/>
  <c r="C8" i="26"/>
  <c r="D13" i="25"/>
  <c r="E13" i="25"/>
  <c r="C13" i="25"/>
  <c r="D8" i="25"/>
  <c r="E8" i="25"/>
  <c r="C8" i="25"/>
  <c r="D13" i="24"/>
  <c r="E13" i="24"/>
  <c r="C13" i="24"/>
  <c r="D8" i="24"/>
  <c r="E8" i="24"/>
  <c r="C8" i="24"/>
  <c r="D13" i="23"/>
  <c r="E13" i="23"/>
  <c r="C13" i="23"/>
  <c r="D8" i="23"/>
  <c r="E8" i="23"/>
  <c r="C8" i="23"/>
  <c r="D12" i="22"/>
  <c r="E12" i="22"/>
  <c r="C12" i="22"/>
  <c r="D8" i="22"/>
  <c r="E8" i="22"/>
  <c r="C8" i="22"/>
  <c r="D17" i="21"/>
  <c r="E17" i="21"/>
  <c r="C17" i="21"/>
  <c r="D8" i="21"/>
  <c r="E8" i="21"/>
  <c r="C8" i="21"/>
  <c r="D24" i="20"/>
  <c r="E24" i="20"/>
  <c r="C24" i="20"/>
  <c r="D8" i="20"/>
  <c r="E8" i="20"/>
  <c r="C8" i="20"/>
  <c r="D12" i="19"/>
  <c r="E12" i="19"/>
  <c r="C12" i="19"/>
  <c r="D8" i="19"/>
  <c r="E8" i="19"/>
  <c r="C8" i="19"/>
  <c r="D18" i="18"/>
  <c r="E18" i="18"/>
  <c r="C18" i="18"/>
  <c r="D8" i="18"/>
  <c r="E8" i="18"/>
  <c r="C8" i="18"/>
  <c r="D13" i="17"/>
  <c r="E13" i="17"/>
  <c r="C13" i="17"/>
  <c r="D8" i="17"/>
  <c r="E8" i="17"/>
  <c r="C8" i="17"/>
  <c r="D13" i="16"/>
  <c r="E13" i="16"/>
  <c r="C13" i="16"/>
  <c r="D8" i="16"/>
  <c r="E8" i="16"/>
  <c r="C8" i="16"/>
  <c r="D15" i="15"/>
  <c r="E15" i="15"/>
  <c r="C15" i="15"/>
  <c r="D8" i="15"/>
  <c r="E8" i="15"/>
  <c r="C8" i="15"/>
  <c r="D17" i="14"/>
  <c r="E17" i="14"/>
  <c r="C17" i="14"/>
  <c r="D8" i="14"/>
  <c r="E8" i="14"/>
  <c r="C8" i="14"/>
  <c r="D11" i="13"/>
  <c r="E11" i="13"/>
  <c r="C11" i="13"/>
  <c r="D8" i="13"/>
  <c r="C8" i="13"/>
  <c r="D11" i="11"/>
  <c r="E11" i="11"/>
  <c r="C11" i="11"/>
  <c r="D8" i="11"/>
  <c r="E8" i="11"/>
  <c r="C8" i="11"/>
  <c r="E6" i="11" l="1"/>
  <c r="E6" i="14"/>
  <c r="D6" i="14"/>
  <c r="C6" i="14"/>
  <c r="D6" i="11"/>
  <c r="C6" i="11"/>
  <c r="D13" i="10"/>
  <c r="E13" i="10"/>
  <c r="C13" i="10"/>
  <c r="D8" i="10"/>
  <c r="D6" i="10" s="1"/>
  <c r="E8" i="10"/>
  <c r="C8" i="10"/>
  <c r="D16" i="9"/>
  <c r="E16" i="9"/>
  <c r="C16" i="9"/>
  <c r="D8" i="9"/>
  <c r="E8" i="9"/>
  <c r="C8" i="9"/>
  <c r="D16" i="7"/>
  <c r="E16" i="7"/>
  <c r="C16" i="7"/>
  <c r="D8" i="7"/>
  <c r="E8" i="7"/>
  <c r="C8" i="7"/>
  <c r="D14" i="6"/>
  <c r="E14" i="6"/>
  <c r="C14" i="6"/>
  <c r="D8" i="6"/>
  <c r="E8" i="6"/>
  <c r="C8" i="6"/>
  <c r="E6" i="10" l="1"/>
  <c r="C6" i="10"/>
  <c r="E6" i="6"/>
  <c r="D6" i="9"/>
  <c r="E6" i="9"/>
  <c r="C6" i="9"/>
  <c r="E6" i="7"/>
  <c r="C6" i="7"/>
  <c r="D6" i="7"/>
  <c r="C6" i="6"/>
  <c r="D6" i="6"/>
  <c r="D19" i="5"/>
  <c r="E19" i="5"/>
  <c r="C19" i="5"/>
  <c r="D8" i="5"/>
  <c r="E8" i="5"/>
  <c r="C8" i="5"/>
  <c r="D8" i="3"/>
  <c r="E8" i="3"/>
  <c r="C6" i="5" l="1"/>
  <c r="D6" i="5"/>
  <c r="E6" i="5"/>
  <c r="D23" i="3"/>
  <c r="D6" i="3" s="1"/>
  <c r="E23" i="3"/>
  <c r="E6" i="3" s="1"/>
  <c r="C23" i="3"/>
  <c r="C8" i="3"/>
  <c r="D24" i="2"/>
  <c r="E24" i="2"/>
  <c r="C24" i="2"/>
  <c r="E8" i="2"/>
  <c r="D8" i="2"/>
  <c r="D6" i="2" s="1"/>
  <c r="C8" i="2"/>
  <c r="C6" i="3" l="1"/>
  <c r="C6" i="2"/>
  <c r="E6" i="2"/>
</calcChain>
</file>

<file path=xl/sharedStrings.xml><?xml version="1.0" encoding="utf-8"?>
<sst xmlns="http://schemas.openxmlformats.org/spreadsheetml/2006/main" count="1993" uniqueCount="1494">
  <si>
    <t>Total</t>
  </si>
  <si>
    <t>Male</t>
  </si>
  <si>
    <t>Female</t>
  </si>
  <si>
    <t xml:space="preserve">            Myo Haung(W)</t>
  </si>
  <si>
    <t xml:space="preserve">            Bon(W)</t>
  </si>
  <si>
    <t xml:space="preserve">            Zay Lel Soe(W)</t>
  </si>
  <si>
    <t xml:space="preserve">            Oe Bo Myo Ma(W)</t>
  </si>
  <si>
    <t xml:space="preserve">            Sar Shwe Kin(W)</t>
  </si>
  <si>
    <t xml:space="preserve">            Ywar Thit Pwe Kyo(W)</t>
  </si>
  <si>
    <t xml:space="preserve">            Thein Gar Gi(W)</t>
  </si>
  <si>
    <t xml:space="preserve">            Pyi Taw Thar(W)</t>
  </si>
  <si>
    <t xml:space="preserve">            Min Kan Gyi(W)</t>
  </si>
  <si>
    <t xml:space="preserve">            Kan Thar(W)</t>
  </si>
  <si>
    <t xml:space="preserve">            Myin Thar(W)</t>
  </si>
  <si>
    <t xml:space="preserve">            Aung Ya Ta Nar(W)</t>
  </si>
  <si>
    <t xml:space="preserve">            Aung Chan Thar(W)</t>
  </si>
  <si>
    <t xml:space="preserve">            Aung Min Ga Lar(W)</t>
  </si>
  <si>
    <t xml:space="preserve">            Aung Myit Tar(W)</t>
  </si>
  <si>
    <t xml:space="preserve">            Aing Gyi Kone(VT)</t>
  </si>
  <si>
    <t xml:space="preserve">            Ah Lel Bo(VT)</t>
  </si>
  <si>
    <t xml:space="preserve">            Thit Yar Kauk(VT)</t>
  </si>
  <si>
    <t xml:space="preserve">            Da Hat Kan(VT)</t>
  </si>
  <si>
    <t xml:space="preserve">            Gyoke Kone(VT)</t>
  </si>
  <si>
    <t xml:space="preserve">            In Taing Gyi(VT)</t>
  </si>
  <si>
    <t xml:space="preserve">            Kan Pyar(VT)</t>
  </si>
  <si>
    <t xml:space="preserve">            Kan Taw(VT)</t>
  </si>
  <si>
    <t xml:space="preserve">            Kan Thar Gyi(VT)</t>
  </si>
  <si>
    <t xml:space="preserve">            Kayin(VT)</t>
  </si>
  <si>
    <t xml:space="preserve">            Kun Ohn(VT)</t>
  </si>
  <si>
    <t xml:space="preserve">            Kyit Son Pway(VT)</t>
  </si>
  <si>
    <t xml:space="preserve">            Kyun Pyat(VT)</t>
  </si>
  <si>
    <t xml:space="preserve">            Let Pu To(VT)</t>
  </si>
  <si>
    <t xml:space="preserve">            Lat Pa Taw(VT)</t>
  </si>
  <si>
    <t xml:space="preserve">            Lint Myint(VT)</t>
  </si>
  <si>
    <t xml:space="preserve">            Ma Gyi Chay Htauk(VT)</t>
  </si>
  <si>
    <t xml:space="preserve">            Lel Yar(VT)</t>
  </si>
  <si>
    <t xml:space="preserve">            Mi Kyaung Ye(VT)</t>
  </si>
  <si>
    <t xml:space="preserve">            Mei Hla Taung(VT)</t>
  </si>
  <si>
    <t xml:space="preserve">            Ma Gyi Kan(VT)</t>
  </si>
  <si>
    <t xml:space="preserve">            Tha Pyay San(VT)</t>
  </si>
  <si>
    <t xml:space="preserve">            Myay Nu(VT)</t>
  </si>
  <si>
    <t xml:space="preserve">            Myin Kun(VT)</t>
  </si>
  <si>
    <t xml:space="preserve">            Myin Saing(VT)</t>
  </si>
  <si>
    <t xml:space="preserve">            Nan Kat Kyun(VT)</t>
  </si>
  <si>
    <t xml:space="preserve">            Nat Kan(VT)</t>
  </si>
  <si>
    <t xml:space="preserve">            Ngar Saung(VT)</t>
  </si>
  <si>
    <t xml:space="preserve">            Nyaung Pin(VT)</t>
  </si>
  <si>
    <t xml:space="preserve">            Nyaung Kan(VT)</t>
  </si>
  <si>
    <t xml:space="preserve">            Nyaung Kyat San(VT)</t>
  </si>
  <si>
    <t xml:space="preserve">            Ohn Twe(VT)</t>
  </si>
  <si>
    <t xml:space="preserve">            Pat Hta Na Go(VT)</t>
  </si>
  <si>
    <t xml:space="preserve">            Pu Htoe(VT)</t>
  </si>
  <si>
    <t xml:space="preserve">            Hpa Yar Pyo(VT)</t>
  </si>
  <si>
    <t xml:space="preserve">            Hpa Yar Kone(VT)</t>
  </si>
  <si>
    <t xml:space="preserve">            Pay Pin San(VT)</t>
  </si>
  <si>
    <t xml:space="preserve">            Hpoke Kone(VT)</t>
  </si>
  <si>
    <t xml:space="preserve">            Hpoe Lay Lone(VT)</t>
  </si>
  <si>
    <t xml:space="preserve">            Sar Taing Kan(VT)</t>
  </si>
  <si>
    <t xml:space="preserve">            San Ma Gyi(VT)</t>
  </si>
  <si>
    <t xml:space="preserve">            Shar Pin Hla(VT)</t>
  </si>
  <si>
    <t xml:space="preserve">            Shar Saung Kan(VT)</t>
  </si>
  <si>
    <t xml:space="preserve">            Su Pyit San(VT)</t>
  </si>
  <si>
    <t xml:space="preserve">            Su Kauk San(VT)</t>
  </si>
  <si>
    <t xml:space="preserve">            Ta Pauk Taw(VT)</t>
  </si>
  <si>
    <t xml:space="preserve">            Tat Kone(VT)</t>
  </si>
  <si>
    <t xml:space="preserve">            Taung Khwin(VT)</t>
  </si>
  <si>
    <t xml:space="preserve">            Min(VT)</t>
  </si>
  <si>
    <t xml:space="preserve">            Tei Pin Kan Pauk(VT)</t>
  </si>
  <si>
    <t xml:space="preserve">            Tha Man Taw(VT)</t>
  </si>
  <si>
    <t xml:space="preserve">            Tha Yet Lay Pin(VT)</t>
  </si>
  <si>
    <t xml:space="preserve">            Myit Thar Si(VT)</t>
  </si>
  <si>
    <t xml:space="preserve">            Yin Gway Chaung(VT)</t>
  </si>
  <si>
    <t xml:space="preserve">            Yin Thar Si(VT)</t>
  </si>
  <si>
    <t xml:space="preserve">            Ywar Haung Kan(VT)</t>
  </si>
  <si>
    <t xml:space="preserve">            Ywar Thar(VT)</t>
  </si>
  <si>
    <t xml:space="preserve">            Zee Kyun(VT)</t>
  </si>
  <si>
    <t xml:space="preserve">            Thet Yin Taw(VT)</t>
  </si>
  <si>
    <t xml:space="preserve">            Kyar Kan(VT)</t>
  </si>
  <si>
    <t xml:space="preserve">            Gyoe Gyar Kan(VT)</t>
  </si>
  <si>
    <t xml:space="preserve">            Myo Ma (North)(W)</t>
  </si>
  <si>
    <t xml:space="preserve">            Myo Ma (South)(W)</t>
  </si>
  <si>
    <t xml:space="preserve">            Oe Bo(W)</t>
  </si>
  <si>
    <t xml:space="preserve">            Son Taik(W)</t>
  </si>
  <si>
    <t xml:space="preserve">            Shwe Kyar Ngon(W)</t>
  </si>
  <si>
    <t xml:space="preserve">            Ywar Thit(W)</t>
  </si>
  <si>
    <t xml:space="preserve">            Twin Kone(W)</t>
  </si>
  <si>
    <t xml:space="preserve">            Thu Htay Kone(W)</t>
  </si>
  <si>
    <t xml:space="preserve">            Myay Ni Khin (North)(W)</t>
  </si>
  <si>
    <t xml:space="preserve">            Myay Ni Khin (South)(W)</t>
  </si>
  <si>
    <t xml:space="preserve">            Bay Mei(W)</t>
  </si>
  <si>
    <t xml:space="preserve">            Thit Ta Pway(W)</t>
  </si>
  <si>
    <t xml:space="preserve">            Nyaung Hla(W)</t>
  </si>
  <si>
    <t xml:space="preserve">            Bo Kone(W)</t>
  </si>
  <si>
    <t xml:space="preserve">            Thone Se Chauk(VT)</t>
  </si>
  <si>
    <t xml:space="preserve">            Hpaung Ka Taw(VT)</t>
  </si>
  <si>
    <t xml:space="preserve">            Bu Kyun(VT)</t>
  </si>
  <si>
    <t xml:space="preserve">            Kyan Kaing Kyun(VT)</t>
  </si>
  <si>
    <t xml:space="preserve">            Man Myay(VT)</t>
  </si>
  <si>
    <t xml:space="preserve">            Pin Wa(VT)</t>
  </si>
  <si>
    <t xml:space="preserve">            Ah Shey Kone(VT)</t>
  </si>
  <si>
    <t xml:space="preserve">            Kamma(VT)</t>
  </si>
  <si>
    <t xml:space="preserve">            Hpoe Koe(VT)</t>
  </si>
  <si>
    <t xml:space="preserve">            Sein Pan Pin(VT)</t>
  </si>
  <si>
    <t xml:space="preserve">            Shwe Toke Kan(VT)</t>
  </si>
  <si>
    <t xml:space="preserve">            Koke Ko Gwa(VT)</t>
  </si>
  <si>
    <t xml:space="preserve">            Oke Shit Kone(VT)</t>
  </si>
  <si>
    <t xml:space="preserve">            Sa Khan Kan(VT)</t>
  </si>
  <si>
    <t xml:space="preserve">            Lay Taing Sin(VT)</t>
  </si>
  <si>
    <t xml:space="preserve">            Hpaung Kwe(VT)</t>
  </si>
  <si>
    <t xml:space="preserve">            Chaing(VT)</t>
  </si>
  <si>
    <t xml:space="preserve">            In Taw(VT)</t>
  </si>
  <si>
    <t xml:space="preserve">            Yone Kone(VT)</t>
  </si>
  <si>
    <t xml:space="preserve">            Nyaung Pin Aint(VT)</t>
  </si>
  <si>
    <t xml:space="preserve">            Na Gar(VT)</t>
  </si>
  <si>
    <t xml:space="preserve">            Chaung Son(VT)</t>
  </si>
  <si>
    <t xml:space="preserve">            Wet Lut Ywar Ma(VT)</t>
  </si>
  <si>
    <t xml:space="preserve">            Yone Seik Kyun(VT)</t>
  </si>
  <si>
    <t xml:space="preserve">            Be Seik(VT)</t>
  </si>
  <si>
    <t xml:space="preserve">            Wet Ma Sut(VT)</t>
  </si>
  <si>
    <t xml:space="preserve">            Kan Gyi(VT)</t>
  </si>
  <si>
    <t xml:space="preserve">            Sar Taing(VT)</t>
  </si>
  <si>
    <t xml:space="preserve">            No (1)(W)</t>
  </si>
  <si>
    <t xml:space="preserve">            No (2)(W)</t>
  </si>
  <si>
    <t xml:space="preserve">            No (3)(W)</t>
  </si>
  <si>
    <t xml:space="preserve">            No (4)(W)</t>
  </si>
  <si>
    <t xml:space="preserve">            No (5)(W)</t>
  </si>
  <si>
    <t xml:space="preserve">            No (6)(W)</t>
  </si>
  <si>
    <t xml:space="preserve">            No (7)(W)</t>
  </si>
  <si>
    <t xml:space="preserve">            No (8)(W)</t>
  </si>
  <si>
    <t xml:space="preserve">            No (9)(W)</t>
  </si>
  <si>
    <t xml:space="preserve">            No (10)(W)</t>
  </si>
  <si>
    <t xml:space="preserve">            No (11)(W)</t>
  </si>
  <si>
    <t xml:space="preserve">            No (12)(W)</t>
  </si>
  <si>
    <t xml:space="preserve">            No (13)(W)</t>
  </si>
  <si>
    <t xml:space="preserve">            No (14)(W)</t>
  </si>
  <si>
    <t xml:space="preserve">            No (15) (W)</t>
  </si>
  <si>
    <t xml:space="preserve">            Pa Day Thar(VT)</t>
  </si>
  <si>
    <t xml:space="preserve">            Dat Myay Aw Zar(VT)</t>
  </si>
  <si>
    <t xml:space="preserve">            Sa Lay(VT)</t>
  </si>
  <si>
    <t xml:space="preserve">            Let Pan Kyun(VT)</t>
  </si>
  <si>
    <t xml:space="preserve">            U Yin(VT)</t>
  </si>
  <si>
    <t xml:space="preserve">            Nyee Su(VT)</t>
  </si>
  <si>
    <t xml:space="preserve">            Ya Thit(VT)</t>
  </si>
  <si>
    <t xml:space="preserve">            Yae Twin(VT)</t>
  </si>
  <si>
    <t xml:space="preserve">            Chaung Tet(VT)</t>
  </si>
  <si>
    <t xml:space="preserve">            Ma Gyi Kone(VT)</t>
  </si>
  <si>
    <t xml:space="preserve">            Taung Thar(VT)</t>
  </si>
  <si>
    <t xml:space="preserve">            Zaung Taw Kan(VT)</t>
  </si>
  <si>
    <t xml:space="preserve">            Pa Khan Nge(VT)</t>
  </si>
  <si>
    <t xml:space="preserve">            Sa Lin Taung(VT)</t>
  </si>
  <si>
    <t xml:space="preserve">            Su Yit Kan(VT)</t>
  </si>
  <si>
    <t xml:space="preserve">            Myay Pa Don(VT)</t>
  </si>
  <si>
    <t xml:space="preserve">            Lay Pin Kone(VT)</t>
  </si>
  <si>
    <t xml:space="preserve">            Nyaung Chaung(VT)</t>
  </si>
  <si>
    <t xml:space="preserve">            Taung Ba Lu(VT)</t>
  </si>
  <si>
    <t xml:space="preserve">            Kyauk Ye(VT)</t>
  </si>
  <si>
    <t xml:space="preserve">            Sar Lel(VT)</t>
  </si>
  <si>
    <t xml:space="preserve">            Myay Sun(VT)</t>
  </si>
  <si>
    <t xml:space="preserve">            Kyaung Yar Taw(VT)</t>
  </si>
  <si>
    <t xml:space="preserve">            Than Bo(VT)</t>
  </si>
  <si>
    <t xml:space="preserve">            Gway Pin Ywar Thit(VT)</t>
  </si>
  <si>
    <t xml:space="preserve">            Swei Pauk Kan(VT)</t>
  </si>
  <si>
    <t xml:space="preserve">            Wa Thea San(VT)</t>
  </si>
  <si>
    <t xml:space="preserve">            Poke Pa Kan(VT)</t>
  </si>
  <si>
    <t xml:space="preserve">            Ywar Ma(VT)</t>
  </si>
  <si>
    <t xml:space="preserve">            Nyaung Zin(VT)</t>
  </si>
  <si>
    <t xml:space="preserve">            Na Ywe Taw(VT)</t>
  </si>
  <si>
    <t xml:space="preserve">            Se Kan(VT)</t>
  </si>
  <si>
    <t xml:space="preserve">            Lin Ta Kaing(VT)</t>
  </si>
  <si>
    <t xml:space="preserve">            Gway Pin Gyi(VT)</t>
  </si>
  <si>
    <t xml:space="preserve">            Htein San(VT)</t>
  </si>
  <si>
    <t xml:space="preserve">            Tha Lone Thway(VT)</t>
  </si>
  <si>
    <t xml:space="preserve">            Twin Lat(VT)</t>
  </si>
  <si>
    <t xml:space="preserve">            Kyoet Pin(VT)</t>
  </si>
  <si>
    <t xml:space="preserve">            Htein Kan(VT)</t>
  </si>
  <si>
    <t xml:space="preserve">            Byi Pin(VT)</t>
  </si>
  <si>
    <t xml:space="preserve">            Thway Net(VT)</t>
  </si>
  <si>
    <t xml:space="preserve">            Ohn Hmyar Gyi(VT)</t>
  </si>
  <si>
    <t xml:space="preserve">            Kyauk Tan(VT)</t>
  </si>
  <si>
    <t xml:space="preserve">            Pan Be(VT)</t>
  </si>
  <si>
    <t xml:space="preserve">            Gway Cho(VT)</t>
  </si>
  <si>
    <t xml:space="preserve">            Zee Pwar(VT)</t>
  </si>
  <si>
    <t xml:space="preserve">            Thit To Kan(VT)</t>
  </si>
  <si>
    <t xml:space="preserve">            Kywe Tat(VT)</t>
  </si>
  <si>
    <t xml:space="preserve">            Aw Zar Taw(VT)</t>
  </si>
  <si>
    <t xml:space="preserve">            Sar Taung(VT)</t>
  </si>
  <si>
    <t xml:space="preserve">            Taung Pyin (1)(W)</t>
  </si>
  <si>
    <t xml:space="preserve">            Taung Pyin (2)(W)</t>
  </si>
  <si>
    <t xml:space="preserve">            Maung Taing(1)(W)</t>
  </si>
  <si>
    <t xml:space="preserve">            Maung Taing(2)(W)</t>
  </si>
  <si>
    <t xml:space="preserve">            Shwe Oe(1)/Kyawe Oe(1)(W)</t>
  </si>
  <si>
    <t xml:space="preserve">            Shwe Oe(2)/Kyawe Oe(1)(W)</t>
  </si>
  <si>
    <t xml:space="preserve">            Shwe Kyar Inn (1)(W)</t>
  </si>
  <si>
    <t xml:space="preserve">            Shwe Kyar Inn (2)(W)</t>
  </si>
  <si>
    <t xml:space="preserve">            Ohn Taw (1)(W)</t>
  </si>
  <si>
    <t xml:space="preserve">            Ohn Taw (2)(W)</t>
  </si>
  <si>
    <t xml:space="preserve">            Yae U(VT)</t>
  </si>
  <si>
    <t xml:space="preserve">            Ta Yoke Kaw(VT)</t>
  </si>
  <si>
    <t xml:space="preserve">            Hin Ga Yaw(VT)</t>
  </si>
  <si>
    <t xml:space="preserve">            Wet Chan Kan(VT)</t>
  </si>
  <si>
    <t xml:space="preserve">            Pyar Tu(VT)</t>
  </si>
  <si>
    <t xml:space="preserve">            Nyaung Kone(VT)</t>
  </si>
  <si>
    <t xml:space="preserve">            Inn Ywar Gyi(VT)</t>
  </si>
  <si>
    <t xml:space="preserve">            Ohn Hne Tan(VT)</t>
  </si>
  <si>
    <t xml:space="preserve">            Let Pan Shey(VT)</t>
  </si>
  <si>
    <t xml:space="preserve">            Shan Kaing(VT)</t>
  </si>
  <si>
    <t xml:space="preserve">            Khin Te(VT)</t>
  </si>
  <si>
    <t xml:space="preserve">            Pan Thwin Lay(VT)</t>
  </si>
  <si>
    <t xml:space="preserve">            Pan Thwin Gyi(VT)</t>
  </si>
  <si>
    <t xml:space="preserve">            Let Pan Bu(VT)</t>
  </si>
  <si>
    <t xml:space="preserve">            Aung Su(VT)</t>
  </si>
  <si>
    <t xml:space="preserve">            Nga Min(VT)</t>
  </si>
  <si>
    <t xml:space="preserve">            Thit Yar(VT)</t>
  </si>
  <si>
    <t xml:space="preserve">            Pwint Hla Gyi(VT)</t>
  </si>
  <si>
    <t xml:space="preserve">            Thi La(VT)</t>
  </si>
  <si>
    <t xml:space="preserve">            Nyaung Pin Hla(VT)</t>
  </si>
  <si>
    <t xml:space="preserve">            Bo Kone(VT)</t>
  </si>
  <si>
    <t xml:space="preserve">            In Kone(VT)</t>
  </si>
  <si>
    <t xml:space="preserve">            Zee Taw(VT)</t>
  </si>
  <si>
    <t xml:space="preserve">            Pauk(VT)</t>
  </si>
  <si>
    <t xml:space="preserve">            Sat Thwar(VT)</t>
  </si>
  <si>
    <t xml:space="preserve">            Kyan Su(VT)</t>
  </si>
  <si>
    <t xml:space="preserve">            Pyint Nyin(VT)</t>
  </si>
  <si>
    <t xml:space="preserve">            Kan Bay Gyi(VT)</t>
  </si>
  <si>
    <t xml:space="preserve">            Kin Pun Taung(VT)</t>
  </si>
  <si>
    <t xml:space="preserve">            Si Mee Htun(VT)</t>
  </si>
  <si>
    <t xml:space="preserve">            Pin Taing(VT)</t>
  </si>
  <si>
    <t xml:space="preserve">            Chaung Net(VT)</t>
  </si>
  <si>
    <t xml:space="preserve">            Ku Lar Kan(VT)</t>
  </si>
  <si>
    <t xml:space="preserve">            Pan Taw Nge(VT)</t>
  </si>
  <si>
    <t xml:space="preserve">            Kya Khat Kan(VT)</t>
  </si>
  <si>
    <t xml:space="preserve">            Kywe Kan(VT)</t>
  </si>
  <si>
    <t xml:space="preserve">            In Kyin Kone(VT)</t>
  </si>
  <si>
    <t xml:space="preserve">            Yae Wai(VT)</t>
  </si>
  <si>
    <t xml:space="preserve">            Koe Pin(VT)</t>
  </si>
  <si>
    <t xml:space="preserve">            Yar Gyi Taw(VT)</t>
  </si>
  <si>
    <t xml:space="preserve">            Hle Pwe Gyi(VT)</t>
  </si>
  <si>
    <t xml:space="preserve">            Su Kauk Gyi(VT)</t>
  </si>
  <si>
    <t xml:space="preserve">            Nyar Ga Moe(VT)</t>
  </si>
  <si>
    <t xml:space="preserve">            Mi Au Aung(VT)</t>
  </si>
  <si>
    <t xml:space="preserve">            Thit Poke Kone(VT)</t>
  </si>
  <si>
    <t xml:space="preserve">            Tei Taw (1)(VT)</t>
  </si>
  <si>
    <t xml:space="preserve">            Tei Taw (2)(VT)</t>
  </si>
  <si>
    <t xml:space="preserve">            Wet Ka Thay(VT)</t>
  </si>
  <si>
    <t xml:space="preserve">            Thi Ri Min Ga Lar(VT)</t>
  </si>
  <si>
    <t xml:space="preserve">            Koke Ko Kone(VT)</t>
  </si>
  <si>
    <t xml:space="preserve">            Taik Pwe(VT)</t>
  </si>
  <si>
    <t xml:space="preserve">            Gone Nyin Ton(VT)</t>
  </si>
  <si>
    <t xml:space="preserve">            Lel Thar (1)(VT)</t>
  </si>
  <si>
    <t xml:space="preserve">            Lel Thar (2)(VT)</t>
  </si>
  <si>
    <t xml:space="preserve">            Sit Tar(VT)</t>
  </si>
  <si>
    <t xml:space="preserve">            Pay Pin Yar(VT)</t>
  </si>
  <si>
    <t xml:space="preserve">            Yae Twin Kaung(VT)</t>
  </si>
  <si>
    <t xml:space="preserve">            Let Tet(VT)</t>
  </si>
  <si>
    <t xml:space="preserve">            Nyar Taw(VT)</t>
  </si>
  <si>
    <t xml:space="preserve">            Kan Thar(VT)</t>
  </si>
  <si>
    <t xml:space="preserve">            Kyet Shar(VT)</t>
  </si>
  <si>
    <t xml:space="preserve">            Hmoke Shey(VT)</t>
  </si>
  <si>
    <t xml:space="preserve">            Leik Taik(VT)</t>
  </si>
  <si>
    <t xml:space="preserve">            War Thone Pyu(VT)</t>
  </si>
  <si>
    <t xml:space="preserve">            Kyoet Chaung(VT)</t>
  </si>
  <si>
    <t xml:space="preserve">            Taung Hlyaung(VT)</t>
  </si>
  <si>
    <t xml:space="preserve">            Pat Lel Gyi(VT)</t>
  </si>
  <si>
    <t xml:space="preserve">            Oe Pauk(VT)</t>
  </si>
  <si>
    <t xml:space="preserve">            Ku Lar Ma(VT)</t>
  </si>
  <si>
    <t xml:space="preserve">            Ta Loke Kone(VT)</t>
  </si>
  <si>
    <t xml:space="preserve">            Kan Gyi Kone(VT)</t>
  </si>
  <si>
    <t xml:space="preserve">            Hpa Yar Gyi(W)</t>
  </si>
  <si>
    <t xml:space="preserve">            Lel Pyin(W)</t>
  </si>
  <si>
    <t xml:space="preserve">            Kwet Thit(W)</t>
  </si>
  <si>
    <t xml:space="preserve">            Zay(W)</t>
  </si>
  <si>
    <t xml:space="preserve">            Min(W)</t>
  </si>
  <si>
    <t xml:space="preserve">            Kan Swei(VT)</t>
  </si>
  <si>
    <t xml:space="preserve">            Gway Kone(VT)</t>
  </si>
  <si>
    <t xml:space="preserve">            Dant Da Lun Pin(VT)</t>
  </si>
  <si>
    <t xml:space="preserve">            Shwe Pan(VT)</t>
  </si>
  <si>
    <t xml:space="preserve">            Bawt(VT)</t>
  </si>
  <si>
    <t xml:space="preserve">            Zee Kone(VT)</t>
  </si>
  <si>
    <t xml:space="preserve">            Pa Lin Gyi(VT)</t>
  </si>
  <si>
    <t xml:space="preserve">            Hpa Lan Taing(VT)</t>
  </si>
  <si>
    <t xml:space="preserve">            Su Tat Gyi(VT)</t>
  </si>
  <si>
    <t xml:space="preserve">            Myay Pyin Thar(VT)</t>
  </si>
  <si>
    <t xml:space="preserve">            Aing Ma(VT)</t>
  </si>
  <si>
    <t xml:space="preserve">            Kwin Gyi(VT)</t>
  </si>
  <si>
    <t xml:space="preserve">            Aing Me(VT)</t>
  </si>
  <si>
    <t xml:space="preserve">            Pa Lin Pyar(VT)</t>
  </si>
  <si>
    <t xml:space="preserve">            Ma Gyi Kone Gyi(VT)</t>
  </si>
  <si>
    <t xml:space="preserve">            Kaing(VT)</t>
  </si>
  <si>
    <t xml:space="preserve">            Tei Pin San(VT)</t>
  </si>
  <si>
    <t xml:space="preserve">            Ma Gyi Htu(VT)</t>
  </si>
  <si>
    <t xml:space="preserve">            Ta Loke Pin(VT)</t>
  </si>
  <si>
    <t xml:space="preserve">            Ma Gyi Cho(VT)</t>
  </si>
  <si>
    <t xml:space="preserve">            Si Thar(VT)</t>
  </si>
  <si>
    <t xml:space="preserve">            Htauk Shar Tan(VT)</t>
  </si>
  <si>
    <t xml:space="preserve">            Nwar Hla(VT)</t>
  </si>
  <si>
    <t xml:space="preserve">            Yone Taw(VT)</t>
  </si>
  <si>
    <t xml:space="preserve">            Sin Hpyu Chi(VT)</t>
  </si>
  <si>
    <t xml:space="preserve">            Le Lu(VT)</t>
  </si>
  <si>
    <t xml:space="preserve">            Yae Pyayt(VT)</t>
  </si>
  <si>
    <t xml:space="preserve">            Ma Nawt Kone(VT)</t>
  </si>
  <si>
    <t xml:space="preserve">            Tha Hpan Kone(VT)</t>
  </si>
  <si>
    <t xml:space="preserve">            Se Lel(VT)</t>
  </si>
  <si>
    <t xml:space="preserve">            Sit Ta Lin(VT)</t>
  </si>
  <si>
    <t xml:space="preserve">            Lin Lei(VT)</t>
  </si>
  <si>
    <t xml:space="preserve">            War Gyi Aing(VT)</t>
  </si>
  <si>
    <t xml:space="preserve">            Nin Kyan(VT)</t>
  </si>
  <si>
    <t xml:space="preserve">            Myo Lu Lin(VT)</t>
  </si>
  <si>
    <t xml:space="preserve">            Chauk Kyar(VT)</t>
  </si>
  <si>
    <t xml:space="preserve">            Pay Kone(VT)</t>
  </si>
  <si>
    <t xml:space="preserve">            Na Be Kone(VT)</t>
  </si>
  <si>
    <t xml:space="preserve">            Pu Tee Kone(VT)</t>
  </si>
  <si>
    <t xml:space="preserve">            Htan Ta Pin(VT)</t>
  </si>
  <si>
    <t xml:space="preserve">            Nyaung Kaing(VT)</t>
  </si>
  <si>
    <t xml:space="preserve">            Myat Lay Kone(VT)</t>
  </si>
  <si>
    <t xml:space="preserve">            Myo Ma(W)</t>
  </si>
  <si>
    <t xml:space="preserve">            Myo Ma Kwet Thit(W)</t>
  </si>
  <si>
    <t xml:space="preserve">            Zay Kwet Thit(W)</t>
  </si>
  <si>
    <t xml:space="preserve">            Aung San(W)</t>
  </si>
  <si>
    <t xml:space="preserve">            Ta Mar Pin(W)</t>
  </si>
  <si>
    <t xml:space="preserve">            Yan Aung Myin(W)</t>
  </si>
  <si>
    <t xml:space="preserve">            Kan Gyi(W)</t>
  </si>
  <si>
    <t xml:space="preserve">            Inn Kone (North)(VT)</t>
  </si>
  <si>
    <t xml:space="preserve">            Ta Khun Taing(VT)</t>
  </si>
  <si>
    <t xml:space="preserve">            Pi Tauk Ngoke(VT)</t>
  </si>
  <si>
    <t xml:space="preserve">            Ta Ma Lan Pin(VT)</t>
  </si>
  <si>
    <t xml:space="preserve">            Tet Wun(VT)</t>
  </si>
  <si>
    <t xml:space="preserve">            Htone Pauk Chaing(VT)</t>
  </si>
  <si>
    <t xml:space="preserve">            Wet Choke(VT)</t>
  </si>
  <si>
    <t xml:space="preserve">            Tha Hmone Pin(VT)</t>
  </si>
  <si>
    <t xml:space="preserve">            Mei Za Li Pin(VT)</t>
  </si>
  <si>
    <t xml:space="preserve">            Twin Gyi(VT)</t>
  </si>
  <si>
    <t xml:space="preserve">            Aing Zauk(VT)</t>
  </si>
  <si>
    <t xml:space="preserve">            Zay Thar(VT)</t>
  </si>
  <si>
    <t xml:space="preserve">            Lay Ein (West)(VT)</t>
  </si>
  <si>
    <t xml:space="preserve">            Sa Khan Ma(VT)</t>
  </si>
  <si>
    <t xml:space="preserve">            War Yon Kone(VT)</t>
  </si>
  <si>
    <t xml:space="preserve">            Yae Htwet(VT)</t>
  </si>
  <si>
    <t xml:space="preserve">            Te Gyi(VT)</t>
  </si>
  <si>
    <t xml:space="preserve">            Lin Ka Toe(VT)</t>
  </si>
  <si>
    <t xml:space="preserve">            Nyaung Kyat Pin(VT)</t>
  </si>
  <si>
    <t xml:space="preserve">            Thar Hmyar(VT)</t>
  </si>
  <si>
    <t xml:space="preserve">            Ywar Mun(VT)</t>
  </si>
  <si>
    <t xml:space="preserve">            Yae Ngan(VT)</t>
  </si>
  <si>
    <t xml:space="preserve">            Pay Pin Kone(VT)</t>
  </si>
  <si>
    <t xml:space="preserve">            Na- Gway Cho(VT)</t>
  </si>
  <si>
    <t xml:space="preserve">            Na- Kyar Htu(VT)</t>
  </si>
  <si>
    <t xml:space="preserve">            Bone Taw Pyayt(VT)</t>
  </si>
  <si>
    <t xml:space="preserve">            Gway Pin(VT)</t>
  </si>
  <si>
    <t xml:space="preserve">            Na-Let Khoke Pin(VT)</t>
  </si>
  <si>
    <t xml:space="preserve">            Kyauk Pon(VT)</t>
  </si>
  <si>
    <t xml:space="preserve">            Hpan Khar San(VT)</t>
  </si>
  <si>
    <t xml:space="preserve">            Son Ma Gyi Pin(VT)</t>
  </si>
  <si>
    <t xml:space="preserve">            Taung Bet Gyi(VT)</t>
  </si>
  <si>
    <t xml:space="preserve">            Aing Pauk Kone(VT)</t>
  </si>
  <si>
    <t xml:space="preserve">            Moe Nan Taw(VT)</t>
  </si>
  <si>
    <t xml:space="preserve">            Inn Kan(VT)</t>
  </si>
  <si>
    <t xml:space="preserve">            Sin Thay Kan(VT)</t>
  </si>
  <si>
    <t xml:space="preserve">            Shan Kone(VT)</t>
  </si>
  <si>
    <t xml:space="preserve">            Shwe Pan Taw(VT)</t>
  </si>
  <si>
    <t xml:space="preserve">            Kyaung Kone(VT)</t>
  </si>
  <si>
    <t xml:space="preserve">            Hpet Than Taung(VT)</t>
  </si>
  <si>
    <t xml:space="preserve">            Ah Lel(VT)</t>
  </si>
  <si>
    <t xml:space="preserve">            Ban Kone(VT)</t>
  </si>
  <si>
    <t xml:space="preserve">            Kyauk Ta Gar(VT)</t>
  </si>
  <si>
    <t xml:space="preserve">            Se Gyi(VT)</t>
  </si>
  <si>
    <t xml:space="preserve">            Htan Pin Kone Gyi(VT)</t>
  </si>
  <si>
    <t xml:space="preserve">            Pa/Let Khoke Pin(VT)</t>
  </si>
  <si>
    <t xml:space="preserve">            Pa-Gway Cho(VT)</t>
  </si>
  <si>
    <t xml:space="preserve">            Taung Htauk(VT)</t>
  </si>
  <si>
    <t xml:space="preserve">            War Pan(VT)</t>
  </si>
  <si>
    <t xml:space="preserve">            Tha Yet Chin(VT)</t>
  </si>
  <si>
    <t xml:space="preserve">            Kyun Chaung(VT)</t>
  </si>
  <si>
    <t xml:space="preserve">            Son Kone Gyi(VT)</t>
  </si>
  <si>
    <t xml:space="preserve">            Hlyaw Chaung Gyi(VT)</t>
  </si>
  <si>
    <t xml:space="preserve">            Na-Bu Kwe(VT)</t>
  </si>
  <si>
    <t xml:space="preserve">            Thit Hla Kyin(VT)</t>
  </si>
  <si>
    <t xml:space="preserve">            Pan Nyo(VT)</t>
  </si>
  <si>
    <t xml:space="preserve">            Le Bu(VT)</t>
  </si>
  <si>
    <t xml:space="preserve">            Ka Paung Kone Gyi(VT)</t>
  </si>
  <si>
    <t xml:space="preserve">            Ku Lar Shin(VT)</t>
  </si>
  <si>
    <t xml:space="preserve">            Myin Te Gyi(VT)</t>
  </si>
  <si>
    <t xml:space="preserve">            Tha Mone Kone Gyi(VT)</t>
  </si>
  <si>
    <t xml:space="preserve">            Gway Tauk Kone(VT)</t>
  </si>
  <si>
    <t xml:space="preserve">            Ywar Taw(VT)</t>
  </si>
  <si>
    <t xml:space="preserve">            Minbu No (1)(W)</t>
  </si>
  <si>
    <t xml:space="preserve">            Minbu No (2)(W)</t>
  </si>
  <si>
    <t xml:space="preserve">            Minbu No (3)(W)</t>
  </si>
  <si>
    <t xml:space="preserve">            Minbu No (4)(W)</t>
  </si>
  <si>
    <t xml:space="preserve">            Saku No (1)(W)</t>
  </si>
  <si>
    <t xml:space="preserve">            Saku No (2)(W)</t>
  </si>
  <si>
    <t xml:space="preserve">            Saku No (3)(W)</t>
  </si>
  <si>
    <t xml:space="preserve">            Let Khoke Pin(VT)</t>
  </si>
  <si>
    <t xml:space="preserve">            Pin Lel Thet(VT)</t>
  </si>
  <si>
    <t xml:space="preserve">            U Yin Zin(VT)</t>
  </si>
  <si>
    <t xml:space="preserve">            Yae Poke(VT)</t>
  </si>
  <si>
    <t xml:space="preserve">            Ku Lar Bar(VT)</t>
  </si>
  <si>
    <t xml:space="preserve">            Kan Thit(VT)</t>
  </si>
  <si>
    <t xml:space="preserve">            Kan Ku Lar(VT)</t>
  </si>
  <si>
    <t xml:space="preserve">            Ka Dee(VT)</t>
  </si>
  <si>
    <t xml:space="preserve">            Pauk Ngu(VT)</t>
  </si>
  <si>
    <t xml:space="preserve">            Tha Nat Pin Su(VT)</t>
  </si>
  <si>
    <t xml:space="preserve">            Man Kyoe(VT)</t>
  </si>
  <si>
    <t xml:space="preserve">            Kyauk San(VT)</t>
  </si>
  <si>
    <t xml:space="preserve">            Hta Naung Taw(VT)</t>
  </si>
  <si>
    <t xml:space="preserve">            Kyauk Sit Pon(VT)</t>
  </si>
  <si>
    <t xml:space="preserve">            Kan Yae(VT)</t>
  </si>
  <si>
    <t xml:space="preserve">            Mei Bayt Kone(VT)</t>
  </si>
  <si>
    <t xml:space="preserve">            Ah Lan Pei(VT)</t>
  </si>
  <si>
    <t xml:space="preserve">            Let Pa Taw(VT)</t>
  </si>
  <si>
    <t xml:space="preserve">            Neik Ban Kyun(VT)</t>
  </si>
  <si>
    <t xml:space="preserve">            Htauk Shar Pin(VT)</t>
  </si>
  <si>
    <t xml:space="preserve">            Khun Thar(VT)</t>
  </si>
  <si>
    <t xml:space="preserve">            Myaung U(VT)</t>
  </si>
  <si>
    <t xml:space="preserve">            Kaing Ma Gyi(VT)</t>
  </si>
  <si>
    <t xml:space="preserve">            Hpa Yar(VT)</t>
  </si>
  <si>
    <t xml:space="preserve">            Pu Daung(VT)</t>
  </si>
  <si>
    <t xml:space="preserve">            Paung(VT)</t>
  </si>
  <si>
    <t xml:space="preserve">            Ka Thet(VT)</t>
  </si>
  <si>
    <t xml:space="preserve">            Kyee Kan(VT)</t>
  </si>
  <si>
    <t xml:space="preserve">            Hpyu Kone(VT)</t>
  </si>
  <si>
    <t xml:space="preserve">            Shwe Kyaung(VT)</t>
  </si>
  <si>
    <t xml:space="preserve">            In Pin Hla (Sa Kaw)(VT)</t>
  </si>
  <si>
    <t xml:space="preserve">            Kaing Taw Gyi(VT)</t>
  </si>
  <si>
    <t xml:space="preserve">            Pan Hlwar(VT)</t>
  </si>
  <si>
    <t xml:space="preserve">            Ka Bae Magyi Chaung(VT)</t>
  </si>
  <si>
    <t xml:space="preserve">            Khan Kone(VT)</t>
  </si>
  <si>
    <t xml:space="preserve">            Hpa Lan Taw(VT)</t>
  </si>
  <si>
    <t xml:space="preserve">            Mon Htaung(VT)</t>
  </si>
  <si>
    <t xml:space="preserve">            Chaung Hpyu(VT)</t>
  </si>
  <si>
    <t xml:space="preserve">            Thee Kone(VT)</t>
  </si>
  <si>
    <t xml:space="preserve">            Kyun Pyar(VT)</t>
  </si>
  <si>
    <t xml:space="preserve">            Min Hla Kyin(VT)</t>
  </si>
  <si>
    <t xml:space="preserve">            Yae Twin Kone(VT)</t>
  </si>
  <si>
    <t xml:space="preserve">            Pauk Pin Htwin(VT)</t>
  </si>
  <si>
    <t xml:space="preserve">            Ma Gyi Thone Pin(VT)</t>
  </si>
  <si>
    <t xml:space="preserve">            Yae Paw Gyi(VT)</t>
  </si>
  <si>
    <t xml:space="preserve">            Sin Gaung(VT)</t>
  </si>
  <si>
    <t xml:space="preserve">            Maung Ma Kan(VT)</t>
  </si>
  <si>
    <t xml:space="preserve">            Zee Aing(VT)</t>
  </si>
  <si>
    <t xml:space="preserve">            Kone Thar(VT)</t>
  </si>
  <si>
    <t xml:space="preserve">            Taung Man(VT)</t>
  </si>
  <si>
    <t xml:space="preserve">            Htein Taw(VT)</t>
  </si>
  <si>
    <t xml:space="preserve">            Paik Pin(VT)</t>
  </si>
  <si>
    <t xml:space="preserve">            Ywar Pale Kone Tan(VT)</t>
  </si>
  <si>
    <t xml:space="preserve">            Kyee Pin Kan(VT)</t>
  </si>
  <si>
    <t xml:space="preserve">            Hpa Lan Yon(VT)</t>
  </si>
  <si>
    <t xml:space="preserve">            Nan Taw Kone(VT)</t>
  </si>
  <si>
    <t xml:space="preserve">            Ywar Thar Yar(VT)</t>
  </si>
  <si>
    <t xml:space="preserve">            Thin Baw Kyun(VT)</t>
  </si>
  <si>
    <t xml:space="preserve">            Ah Shey Paing(W)</t>
  </si>
  <si>
    <t xml:space="preserve">            Ah Lel Paing(W)</t>
  </si>
  <si>
    <t xml:space="preserve">            Ah Nauk Paing(W)</t>
  </si>
  <si>
    <t xml:space="preserve">            Thet Taw Shey(W)</t>
  </si>
  <si>
    <t xml:space="preserve">            Tha Yet Oke(VT)</t>
  </si>
  <si>
    <t xml:space="preserve">            Me Za Li(VT)</t>
  </si>
  <si>
    <t xml:space="preserve">            Sin Lu (North)(VT)</t>
  </si>
  <si>
    <t xml:space="preserve">            Ma De(VT)</t>
  </si>
  <si>
    <t xml:space="preserve">            Ka Ni(VT)</t>
  </si>
  <si>
    <t xml:space="preserve">            Yae Poke Gyi(VT)</t>
  </si>
  <si>
    <t xml:space="preserve">            Yae Poke Ka Lay(VT)</t>
  </si>
  <si>
    <t xml:space="preserve">            U Yin Kyit(VT)</t>
  </si>
  <si>
    <t xml:space="preserve">            Tha Man Yin(VT)</t>
  </si>
  <si>
    <t xml:space="preserve">            Taung Inn Ywar Thit(VT)</t>
  </si>
  <si>
    <t xml:space="preserve">            Let Khoke(VT)</t>
  </si>
  <si>
    <t xml:space="preserve">            Inn Daung(VT)</t>
  </si>
  <si>
    <t xml:space="preserve">            Mone Myint(VT)</t>
  </si>
  <si>
    <t xml:space="preserve">            Lel Kaing(VT)</t>
  </si>
  <si>
    <t xml:space="preserve">            Lel Hla Kone(VT)</t>
  </si>
  <si>
    <t xml:space="preserve">            Ku Lar Haung(VT)</t>
  </si>
  <si>
    <t xml:space="preserve">            Ywar Thit Kone(VT)</t>
  </si>
  <si>
    <t xml:space="preserve">            Kyit Kaing(VT)</t>
  </si>
  <si>
    <t xml:space="preserve">            Pyi Lone Kyaw(VT)</t>
  </si>
  <si>
    <t xml:space="preserve">            Ah Nauk Lay Ein(VT)</t>
  </si>
  <si>
    <t xml:space="preserve">            Se Taw(VT)</t>
  </si>
  <si>
    <t xml:space="preserve">            Kyu Wun(VT)</t>
  </si>
  <si>
    <t xml:space="preserve">            Hpa Lan Kyin(VT)</t>
  </si>
  <si>
    <t xml:space="preserve">            Kywe Ta Kar(VT)</t>
  </si>
  <si>
    <t xml:space="preserve">            Ywar Khaing(VT)</t>
  </si>
  <si>
    <t xml:space="preserve">            Mone Za Le(VT)</t>
  </si>
  <si>
    <t xml:space="preserve">            Let Pa Nwe(VT)</t>
  </si>
  <si>
    <t xml:space="preserve">            Ka Pyayt(VT)</t>
  </si>
  <si>
    <t xml:space="preserve">            Kywe Ti(VT)</t>
  </si>
  <si>
    <t xml:space="preserve">            Than Kaing(VT)</t>
  </si>
  <si>
    <t xml:space="preserve">            Kone Zaung(VT)</t>
  </si>
  <si>
    <t xml:space="preserve">            Ah Nauk Kaing(VT)</t>
  </si>
  <si>
    <t xml:space="preserve">            Pay Taw(VT)</t>
  </si>
  <si>
    <t xml:space="preserve">            Tha Yet Taw(VT)</t>
  </si>
  <si>
    <t xml:space="preserve">            Nyaung Chon(VT)</t>
  </si>
  <si>
    <t xml:space="preserve">            Ah Shey Lay Ein(VT)</t>
  </si>
  <si>
    <t xml:space="preserve">            Nan Taw Kyun(VT)</t>
  </si>
  <si>
    <t xml:space="preserve">            Pauk Kone(VT)</t>
  </si>
  <si>
    <t xml:space="preserve">            Se Mone(VT)</t>
  </si>
  <si>
    <t xml:space="preserve">            Hta Naung Kone(VT)</t>
  </si>
  <si>
    <t xml:space="preserve">            Shwe Hlay(VT)</t>
  </si>
  <si>
    <t xml:space="preserve">            Kyaung Taw Yar (1)(VT)</t>
  </si>
  <si>
    <t xml:space="preserve">            Min Myay(VT)</t>
  </si>
  <si>
    <t xml:space="preserve">            Zee Kaing(VT)</t>
  </si>
  <si>
    <t xml:space="preserve">            Kyaung Twin(W)</t>
  </si>
  <si>
    <t xml:space="preserve">            Nei Zaw(VT)</t>
  </si>
  <si>
    <t xml:space="preserve">            Pin U(VT)</t>
  </si>
  <si>
    <t xml:space="preserve">            Oe Myay Htwin(VT)</t>
  </si>
  <si>
    <t xml:space="preserve">            Thar Yar Kone(VT)</t>
  </si>
  <si>
    <t xml:space="preserve">            Min Lwin(VT)</t>
  </si>
  <si>
    <t xml:space="preserve">            Shauk Taung(VT)</t>
  </si>
  <si>
    <t xml:space="preserve">            Paung Ka Lay(VT)</t>
  </si>
  <si>
    <t xml:space="preserve">            Pan Tein(VT)</t>
  </si>
  <si>
    <t xml:space="preserve">            Sin Chi Taing(VT)</t>
  </si>
  <si>
    <t xml:space="preserve">            Pa Dan(VT)</t>
  </si>
  <si>
    <t xml:space="preserve">            Yint Shey(VT)</t>
  </si>
  <si>
    <t xml:space="preserve">            Man Aung(VT)</t>
  </si>
  <si>
    <t xml:space="preserve">            Zee Taw Gyi(VT)</t>
  </si>
  <si>
    <t xml:space="preserve">            Su Pa Daung(VT)</t>
  </si>
  <si>
    <t xml:space="preserve">            Sat Si(VT)</t>
  </si>
  <si>
    <t xml:space="preserve">            Goke Gyi(VT)</t>
  </si>
  <si>
    <t xml:space="preserve">            Zin Pyun(VT)</t>
  </si>
  <si>
    <t xml:space="preserve">            Myit Hpyar(VT)</t>
  </si>
  <si>
    <t xml:space="preserve">            Pa Zi(VT)</t>
  </si>
  <si>
    <t xml:space="preserve">            Laing(VT)</t>
  </si>
  <si>
    <t xml:space="preserve">            Bone Baw(VT)</t>
  </si>
  <si>
    <t xml:space="preserve">            Naung(VT)</t>
  </si>
  <si>
    <t xml:space="preserve">            Pa Bway(VT)</t>
  </si>
  <si>
    <t xml:space="preserve">            Lin De(VT)</t>
  </si>
  <si>
    <t xml:space="preserve">            Sun Tet(VT)</t>
  </si>
  <si>
    <t xml:space="preserve">            Tin Pyin(VT)</t>
  </si>
  <si>
    <t xml:space="preserve">            Pa Be(VT)</t>
  </si>
  <si>
    <t xml:space="preserve">            Paung Pin Zin(W)</t>
  </si>
  <si>
    <t xml:space="preserve">            Zay Ma(W)</t>
  </si>
  <si>
    <t xml:space="preserve">            Paung Nar(W)</t>
  </si>
  <si>
    <t xml:space="preserve">            Kyaung Kyar(W)</t>
  </si>
  <si>
    <t xml:space="preserve">            Pu Htoe Hpyu(W)</t>
  </si>
  <si>
    <t xml:space="preserve">            Myin Tin(W)</t>
  </si>
  <si>
    <t xml:space="preserve">            Nga Than Khaung(VT)</t>
  </si>
  <si>
    <t xml:space="preserve">            Auk Hlaing(VT)</t>
  </si>
  <si>
    <t xml:space="preserve">            Gway Pin Zin(VT)</t>
  </si>
  <si>
    <t xml:space="preserve">            Ku Hpyu(VT)</t>
  </si>
  <si>
    <t xml:space="preserve">            Ah Nauk Kan Baung(VT)</t>
  </si>
  <si>
    <t xml:space="preserve">            Kyo Wun(VT)</t>
  </si>
  <si>
    <t xml:space="preserve">            Let Me(VT)</t>
  </si>
  <si>
    <t xml:space="preserve">            Sin Kyone(VT)</t>
  </si>
  <si>
    <t xml:space="preserve">            Za Yat Hla(VT)</t>
  </si>
  <si>
    <t xml:space="preserve">            Shan Su(VT)</t>
  </si>
  <si>
    <t xml:space="preserve">            Ta Mar Chaung(VT)</t>
  </si>
  <si>
    <t xml:space="preserve">            Taw Seint(VT)</t>
  </si>
  <si>
    <t xml:space="preserve">            Yone Pin Kan(VT)</t>
  </si>
  <si>
    <t xml:space="preserve">            Ma Gyi Pin Pu(VT)</t>
  </si>
  <si>
    <t xml:space="preserve">            Taung Ywar Htan Taw(VT)</t>
  </si>
  <si>
    <t xml:space="preserve">            Ywar Ma Kaw (KyiKone)(VT)</t>
  </si>
  <si>
    <t xml:space="preserve">            Ywar Hmat(VT)</t>
  </si>
  <si>
    <t xml:space="preserve">            Htu Pauk(VT)</t>
  </si>
  <si>
    <t xml:space="preserve">            Kyet Tha Kaing(VT)</t>
  </si>
  <si>
    <t xml:space="preserve">            Shwe Bon Thar(VT)</t>
  </si>
  <si>
    <t xml:space="preserve">            Moe Wun(VT)</t>
  </si>
  <si>
    <t xml:space="preserve">            Tha Myin Kin(VT)</t>
  </si>
  <si>
    <t xml:space="preserve">            Myay Mi Kone(VT)</t>
  </si>
  <si>
    <t xml:space="preserve">            Taung Pyit Kone (Ma Gyi Hpyar)(VT)</t>
  </si>
  <si>
    <t xml:space="preserve">            Hpaung Lin(VT)</t>
  </si>
  <si>
    <t xml:space="preserve">            Bee Zat(VT)</t>
  </si>
  <si>
    <t xml:space="preserve">            Ta Taung Kan(VT)</t>
  </si>
  <si>
    <t xml:space="preserve">            Paung Yin Kone(VT)</t>
  </si>
  <si>
    <t xml:space="preserve">            Myaung Kauk(VT)</t>
  </si>
  <si>
    <t xml:space="preserve">            Hma Yoe Kone(VT)</t>
  </si>
  <si>
    <t xml:space="preserve">            Pauk Lay Pin(VT)</t>
  </si>
  <si>
    <t xml:space="preserve">            Paung Tu(VT)</t>
  </si>
  <si>
    <t xml:space="preserve">            Dar Swei Kan(VT)</t>
  </si>
  <si>
    <t xml:space="preserve">            Tha Nat Kone(VT)</t>
  </si>
  <si>
    <t xml:space="preserve">            Son Kone(VT)</t>
  </si>
  <si>
    <t xml:space="preserve">            Sun Kyun Nyo(VT)</t>
  </si>
  <si>
    <t xml:space="preserve">            Seik Gyi(VT)</t>
  </si>
  <si>
    <t xml:space="preserve">            Tha Pyay Pin(VT)</t>
  </si>
  <si>
    <t xml:space="preserve">            Nwe Ta Mei(VT)</t>
  </si>
  <si>
    <t xml:space="preserve">            Chaung Hpyu (North)(VT)</t>
  </si>
  <si>
    <t xml:space="preserve">            Pan Taw(VT)</t>
  </si>
  <si>
    <t xml:space="preserve">            Sin Ma Kyun(VT)</t>
  </si>
  <si>
    <t xml:space="preserve">            Shar Taw (North)(VT)</t>
  </si>
  <si>
    <t xml:space="preserve">            Nyaung Inn(VT)</t>
  </si>
  <si>
    <t xml:space="preserve">            Kyauk Ye Kyun(VT)</t>
  </si>
  <si>
    <t xml:space="preserve">            Me Ywar Kyun(VT)</t>
  </si>
  <si>
    <t xml:space="preserve">            Shar Taw (East)(VT)</t>
  </si>
  <si>
    <t xml:space="preserve">            Kyet Hin Khar Kyun (Yae Kyi)(VT)</t>
  </si>
  <si>
    <t xml:space="preserve">            Chaung Hpyu (East)(VT)</t>
  </si>
  <si>
    <t xml:space="preserve">            Nyaung Pin Lel Kyin(VT)</t>
  </si>
  <si>
    <t xml:space="preserve">            Daunt Boe(VT)</t>
  </si>
  <si>
    <t xml:space="preserve">            Ta Lin Gyi Kone(VT)</t>
  </si>
  <si>
    <t xml:space="preserve">            Tha Yet Kone(VT)</t>
  </si>
  <si>
    <t xml:space="preserve">            Ah Shey Kan Baung(VT)</t>
  </si>
  <si>
    <t xml:space="preserve">            Pyoe Khin Kone(VT)</t>
  </si>
  <si>
    <t xml:space="preserve">            Taw Gyi(VT)</t>
  </si>
  <si>
    <t xml:space="preserve">            Kya Pin(VT)</t>
  </si>
  <si>
    <t xml:space="preserve">            Nyaung (Lin Zin)(VT)</t>
  </si>
  <si>
    <t xml:space="preserve">            In Kyin Pin Hla(VT)</t>
  </si>
  <si>
    <t xml:space="preserve">            Pu Khet Taing(VT)</t>
  </si>
  <si>
    <t xml:space="preserve">            Kyat Pei(VT)</t>
  </si>
  <si>
    <t xml:space="preserve">            Swei Tei(VT)</t>
  </si>
  <si>
    <t xml:space="preserve">            Kan Chauk (Kyun Te)(VT)</t>
  </si>
  <si>
    <t xml:space="preserve">            Kyauk Oe(VT)</t>
  </si>
  <si>
    <t xml:space="preserve">            Ta Hnyauk Tin (Khaw TaHnyauk Tin)(VT)</t>
  </si>
  <si>
    <t xml:space="preserve">            Sha Shar (North)(VT)</t>
  </si>
  <si>
    <t xml:space="preserve">            Kyun Yin(VT)</t>
  </si>
  <si>
    <t xml:space="preserve">            Lel Ma(VT)</t>
  </si>
  <si>
    <t xml:space="preserve">            Oe Thei(VT)</t>
  </si>
  <si>
    <t xml:space="preserve">            Kan(VT)</t>
  </si>
  <si>
    <t xml:space="preserve">            Taw Na Lin(VT)</t>
  </si>
  <si>
    <t xml:space="preserve">            Min Hlyin(VT)</t>
  </si>
  <si>
    <t xml:space="preserve">            Kyone(VT)</t>
  </si>
  <si>
    <t xml:space="preserve">            Thit Khauk Taung(VT)</t>
  </si>
  <si>
    <t xml:space="preserve">            Wun Ya(VT)</t>
  </si>
  <si>
    <t xml:space="preserve">            Ku Yin Chauk (Sa Bai Gyi)(VT)</t>
  </si>
  <si>
    <t xml:space="preserve">            Pya Tauk(VT)</t>
  </si>
  <si>
    <t xml:space="preserve">            Kin Mun Chon(VT)</t>
  </si>
  <si>
    <t xml:space="preserve">            Kywe U(VT)</t>
  </si>
  <si>
    <t xml:space="preserve">            Nga Hlaing Twin(VT)</t>
  </si>
  <si>
    <t xml:space="preserve">            Ta Nyaung(VT)</t>
  </si>
  <si>
    <t xml:space="preserve">            Shwe Zan Thee(VT)</t>
  </si>
  <si>
    <t xml:space="preserve">            Yae Paw Kyun(VT)</t>
  </si>
  <si>
    <t xml:space="preserve">            Si Zwev</t>
  </si>
  <si>
    <t xml:space="preserve">            Thin Pan Taw (a)Tha Man Kyin(VT)</t>
  </si>
  <si>
    <t xml:space="preserve">            Zee Hpyu Pin(VT)</t>
  </si>
  <si>
    <t xml:space="preserve">            Nwar Tat (Net Tat)(VT)</t>
  </si>
  <si>
    <t xml:space="preserve">            Ka Paing (a)  Oke Shit Kone(VT)</t>
  </si>
  <si>
    <t xml:space="preserve">            Ra Day(VT)</t>
  </si>
  <si>
    <t xml:space="preserve">            Taung Bo(VT)</t>
  </si>
  <si>
    <t xml:space="preserve">            Sin Hpyu Kyun (1)(VT)</t>
  </si>
  <si>
    <t xml:space="preserve">            Sin Hpyu Kyun (2)(VT)</t>
  </si>
  <si>
    <t xml:space="preserve">            Hpyin Gyi(VT)</t>
  </si>
  <si>
    <t xml:space="preserve">            Sin Chaung(VT)</t>
  </si>
  <si>
    <t xml:space="preserve">            Ah Paw(VT)</t>
  </si>
  <si>
    <t xml:space="preserve">            Lone Gyi(VT)</t>
  </si>
  <si>
    <t xml:space="preserve">            Let Pan Kyin(VT)</t>
  </si>
  <si>
    <t xml:space="preserve">            Ah Kyi(VT)</t>
  </si>
  <si>
    <t xml:space="preserve">            Ta Pwin(VT)</t>
  </si>
  <si>
    <t xml:space="preserve">            Dway Kyin(VT)</t>
  </si>
  <si>
    <t xml:space="preserve">            Nat Gyi(VT)</t>
  </si>
  <si>
    <t xml:space="preserve">            Pan Ei Hnyar(VT)</t>
  </si>
  <si>
    <t xml:space="preserve">            Pan Ei(VT)</t>
  </si>
  <si>
    <t xml:space="preserve">            Bu(VT)</t>
  </si>
  <si>
    <t xml:space="preserve">            Ma Gyi(VT)</t>
  </si>
  <si>
    <t xml:space="preserve">            Chi(VT)</t>
  </si>
  <si>
    <t xml:space="preserve">            Aung(VT)</t>
  </si>
  <si>
    <t xml:space="preserve">            Ah Lel Pon(VT)</t>
  </si>
  <si>
    <t xml:space="preserve">            Ma Htein(VT)</t>
  </si>
  <si>
    <t xml:space="preserve">            Ka Zin(VT)</t>
  </si>
  <si>
    <t xml:space="preserve">            Nan Kyu(VT)</t>
  </si>
  <si>
    <t xml:space="preserve">            Ohn War(VT)</t>
  </si>
  <si>
    <t xml:space="preserve">            Kan Taing(VT)</t>
  </si>
  <si>
    <t xml:space="preserve">            Kyan Seint(VT)</t>
  </si>
  <si>
    <t xml:space="preserve">            Tei Soke(VT)</t>
  </si>
  <si>
    <t xml:space="preserve">            Yae Thaung(VT)</t>
  </si>
  <si>
    <t xml:space="preserve">            Pu Paing(VT)</t>
  </si>
  <si>
    <t xml:space="preserve">            Han Dauk(VT)</t>
  </si>
  <si>
    <t xml:space="preserve">            Khway Ma Laung(VT)</t>
  </si>
  <si>
    <t xml:space="preserve">            Nga Le(VT)</t>
  </si>
  <si>
    <t xml:space="preserve">            Kyaung Thaik(VT)</t>
  </si>
  <si>
    <t xml:space="preserve">            Tha Yan Kaing(VT)</t>
  </si>
  <si>
    <t xml:space="preserve">            Chin Pyit Kaing(VT)</t>
  </si>
  <si>
    <t xml:space="preserve">            Myay Ni Kone(VT)</t>
  </si>
  <si>
    <t xml:space="preserve">            Than Se(VT)</t>
  </si>
  <si>
    <t xml:space="preserve">            Thet Lel(VT)</t>
  </si>
  <si>
    <t xml:space="preserve">            Mun Zaw(VT)</t>
  </si>
  <si>
    <t xml:space="preserve">            Kyee Wa(VT)</t>
  </si>
  <si>
    <t xml:space="preserve">            Tei Zar(VT)</t>
  </si>
  <si>
    <t xml:space="preserve">            Mon Hnyin(VT)</t>
  </si>
  <si>
    <t xml:space="preserve">            Man Dat Kaing(VT)</t>
  </si>
  <si>
    <t xml:space="preserve">            Ku Taw(VT)</t>
  </si>
  <si>
    <t xml:space="preserve">            Kaung Gyi(VT)</t>
  </si>
  <si>
    <t xml:space="preserve">            Hpar Aing(VT)</t>
  </si>
  <si>
    <t xml:space="preserve">            Sit Ngan(VT)</t>
  </si>
  <si>
    <t xml:space="preserve">            Don Chaung(VT)</t>
  </si>
  <si>
    <t xml:space="preserve">            Yone/No(1)(W)</t>
  </si>
  <si>
    <t xml:space="preserve">            Shwe Bon Thar/No(2)(W)</t>
  </si>
  <si>
    <t xml:space="preserve">            Zay/No(3)(W)</t>
  </si>
  <si>
    <t xml:space="preserve">            South Min Tee/No(4)(W)</t>
  </si>
  <si>
    <t xml:space="preserve">            North Min Tee/No(5)(W)</t>
  </si>
  <si>
    <t xml:space="preserve">            Pyi Taw Aye/No(6)(W)</t>
  </si>
  <si>
    <t xml:space="preserve">            Anouth Yat Taung Pine/No(7)(W)</t>
  </si>
  <si>
    <t xml:space="preserve">            Anouth Yat Myaut Pine/No(8)(W)</t>
  </si>
  <si>
    <t xml:space="preserve">            Yae Myet(VT)</t>
  </si>
  <si>
    <t xml:space="preserve">            Shwe Pan Kaing(VT)</t>
  </si>
  <si>
    <t xml:space="preserve">            Ah Lat Lel(VT)</t>
  </si>
  <si>
    <t xml:space="preserve">            Gon Ma Ni(VT)</t>
  </si>
  <si>
    <t xml:space="preserve">            Tat(VT)</t>
  </si>
  <si>
    <t xml:space="preserve">            Nyaung Ywar Nge(VT)</t>
  </si>
  <si>
    <t xml:space="preserve">            Ohn Mun Taw(VT)</t>
  </si>
  <si>
    <t xml:space="preserve">            Pun Gyi(VT)</t>
  </si>
  <si>
    <t xml:space="preserve">            Htee Yoe(VT)</t>
  </si>
  <si>
    <t xml:space="preserve">            Moe Nat Kone(VT)</t>
  </si>
  <si>
    <t xml:space="preserve">            Baw(VT)</t>
  </si>
  <si>
    <t xml:space="preserve">            San Lel(VT)</t>
  </si>
  <si>
    <t xml:space="preserve">            Inn Lel(VT)</t>
  </si>
  <si>
    <t xml:space="preserve">            Mya Sa Kaing(VT)</t>
  </si>
  <si>
    <t xml:space="preserve">            Sin Thay(VT)</t>
  </si>
  <si>
    <t xml:space="preserve">            Let Pan Seik(VT)</t>
  </si>
  <si>
    <t xml:space="preserve">            Kya U(VT)</t>
  </si>
  <si>
    <t xml:space="preserve">            Hman Din Gyi(VT)</t>
  </si>
  <si>
    <t xml:space="preserve">            Yae Hpyu(VT)</t>
  </si>
  <si>
    <t xml:space="preserve">            Tha Yet Myint(VT)</t>
  </si>
  <si>
    <t xml:space="preserve">            Myauk Kyut(VT)</t>
  </si>
  <si>
    <t xml:space="preserve">            Yae Bwet(VT)</t>
  </si>
  <si>
    <t xml:space="preserve">            Pauk Taw(VT)</t>
  </si>
  <si>
    <t xml:space="preserve">            Pyin Aing(VT)</t>
  </si>
  <si>
    <t xml:space="preserve">            Ta La Par(VT)</t>
  </si>
  <si>
    <t xml:space="preserve">            Pon Nar(VT)</t>
  </si>
  <si>
    <t xml:space="preserve">            Gyoe Gyar(VT)</t>
  </si>
  <si>
    <t xml:space="preserve">            Sin Kaw(VT)</t>
  </si>
  <si>
    <t xml:space="preserve">            Twin Lel(VT)</t>
  </si>
  <si>
    <t xml:space="preserve">            San Aint(VT)</t>
  </si>
  <si>
    <t xml:space="preserve">            Par Put(VT)</t>
  </si>
  <si>
    <t xml:space="preserve">            Ton(VT)</t>
  </si>
  <si>
    <t xml:space="preserve">            Pauk U Kar(VT)</t>
  </si>
  <si>
    <t xml:space="preserve">            Pyin Htaung(VT)</t>
  </si>
  <si>
    <t xml:space="preserve">            Min Te(VT)</t>
  </si>
  <si>
    <t xml:space="preserve">            Inn Ma Nge(VT)</t>
  </si>
  <si>
    <t xml:space="preserve">            Pi Tauk Pin(VT)</t>
  </si>
  <si>
    <t xml:space="preserve">            Peik Tha Lein(VT)</t>
  </si>
  <si>
    <t xml:space="preserve">            Pya Yae(VT)</t>
  </si>
  <si>
    <t xml:space="preserve">            Htone Htaung(VT)</t>
  </si>
  <si>
    <t xml:space="preserve">            Pay Ka Tin(VT)</t>
  </si>
  <si>
    <t xml:space="preserve">            Ban Pyin(VT)</t>
  </si>
  <si>
    <t xml:space="preserve">            Nga Hlaing Chon(VT)</t>
  </si>
  <si>
    <t xml:space="preserve">            Nyaung Zit(VT)</t>
  </si>
  <si>
    <t xml:space="preserve">            Taw Myin Thar(VT)</t>
  </si>
  <si>
    <t xml:space="preserve">            NO1.Myauk(W)</t>
  </si>
  <si>
    <t xml:space="preserve">            No2.Myo Ma(W)</t>
  </si>
  <si>
    <t xml:space="preserve">            No3.Taung(W)</t>
  </si>
  <si>
    <t xml:space="preserve">            No4.Kwet Thit(W)</t>
  </si>
  <si>
    <t xml:space="preserve">            No5.Yone(North)(W)</t>
  </si>
  <si>
    <t xml:space="preserve">            No6.Yone(South)(W)</t>
  </si>
  <si>
    <t xml:space="preserve">            Nyaung Pin Thar(VT)</t>
  </si>
  <si>
    <t xml:space="preserve">            Kone Gyi(VT)</t>
  </si>
  <si>
    <t xml:space="preserve">            Ma Lun(VT)</t>
  </si>
  <si>
    <t xml:space="preserve">            Le Pin Kyin(VT)</t>
  </si>
  <si>
    <t xml:space="preserve">            Tha Pyay Taw(VT)</t>
  </si>
  <si>
    <t xml:space="preserve">            Pay Taw (Kan Nar)(VT)</t>
  </si>
  <si>
    <t xml:space="preserve">            Yae Khar(VT)</t>
  </si>
  <si>
    <t xml:space="preserve">            Htan Kaing(VT)</t>
  </si>
  <si>
    <t xml:space="preserve">            Taung U(VT)</t>
  </si>
  <si>
    <t xml:space="preserve">            Pan Taw Pyin(VT)</t>
  </si>
  <si>
    <t xml:space="preserve">            Sit Sa Noet(VT)</t>
  </si>
  <si>
    <t xml:space="preserve">            Lel Hla(VT)</t>
  </si>
  <si>
    <t xml:space="preserve">            Dee Doke Kan(VT)</t>
  </si>
  <si>
    <t xml:space="preserve">            Yae Nan Ma(VT)</t>
  </si>
  <si>
    <t xml:space="preserve">            Kha Laing(VT)</t>
  </si>
  <si>
    <t xml:space="preserve">            Daung Boke(VT)</t>
  </si>
  <si>
    <t xml:space="preserve">            Sin Ma Taung(VT)</t>
  </si>
  <si>
    <t xml:space="preserve">            Ka Nyin Gyi(VT)</t>
  </si>
  <si>
    <t xml:space="preserve">            Nyaung Waing(VT)</t>
  </si>
  <si>
    <t xml:space="preserve">            Min Te Gyiv</t>
  </si>
  <si>
    <t xml:space="preserve">            See(VT)</t>
  </si>
  <si>
    <t xml:space="preserve">            Ma Lun San(VT)</t>
  </si>
  <si>
    <t xml:space="preserve">            Bweit(VT)</t>
  </si>
  <si>
    <t xml:space="preserve">            San Aing(VT)</t>
  </si>
  <si>
    <t xml:space="preserve">            Lin Kei(VT)</t>
  </si>
  <si>
    <t xml:space="preserve">            Kyauk Pa Daung(VT)</t>
  </si>
  <si>
    <t xml:space="preserve">            San(VT)</t>
  </si>
  <si>
    <t xml:space="preserve">            Min Ga(VT)</t>
  </si>
  <si>
    <t xml:space="preserve">            Kyauk Let Khat(VT)</t>
  </si>
  <si>
    <t xml:space="preserve">            Pay Yin(VT)</t>
  </si>
  <si>
    <t xml:space="preserve">            Yae Twin Myaung(VT)</t>
  </si>
  <si>
    <t xml:space="preserve">            Yae Twin Gyi(VT)</t>
  </si>
  <si>
    <t xml:space="preserve">            Ta Loke Yin(VT)</t>
  </si>
  <si>
    <t xml:space="preserve">            Oe Bo Kone(VT)</t>
  </si>
  <si>
    <t xml:space="preserve">            Nwar Le(VT)</t>
  </si>
  <si>
    <t xml:space="preserve">            Na Gar Aing(VT)</t>
  </si>
  <si>
    <t xml:space="preserve">            Kan Toke(VT)</t>
  </si>
  <si>
    <t xml:space="preserve">            Myay Char(VT)</t>
  </si>
  <si>
    <t xml:space="preserve">            Sin Ma Kya(VT)</t>
  </si>
  <si>
    <t xml:space="preserve">            Sat Pyar(VT)</t>
  </si>
  <si>
    <t xml:space="preserve">            Shan Tat Kone(VT)</t>
  </si>
  <si>
    <t xml:space="preserve">            Yae Kyaw(VT)</t>
  </si>
  <si>
    <t xml:space="preserve">            Pay Taw Kone(VT)</t>
  </si>
  <si>
    <t xml:space="preserve">            Bant Pyin(VT)</t>
  </si>
  <si>
    <t xml:space="preserve">            Ka Du Pauk (Mee Laung Kone)(VT)</t>
  </si>
  <si>
    <t xml:space="preserve">            Shwe Chaung(VT)</t>
  </si>
  <si>
    <t xml:space="preserve">            Kaing Nge(VT)</t>
  </si>
  <si>
    <t xml:space="preserve">            San Gyi(VT)</t>
  </si>
  <si>
    <t xml:space="preserve">            Myo Thit(VT)</t>
  </si>
  <si>
    <t xml:space="preserve">            Let Pan Ta Gar(VT)</t>
  </si>
  <si>
    <t xml:space="preserve">            Nyaung Nwe(VT)</t>
  </si>
  <si>
    <t xml:space="preserve">            Thway Kyauk(VT)</t>
  </si>
  <si>
    <t xml:space="preserve">            Kan Ni(VT)</t>
  </si>
  <si>
    <t xml:space="preserve">            Tha Khut Yin(VT)</t>
  </si>
  <si>
    <t xml:space="preserve">            Auk Kaing(VT)</t>
  </si>
  <si>
    <t xml:space="preserve">            Hlayt Zin(VT)</t>
  </si>
  <si>
    <t xml:space="preserve">            Ka Daung Kyin(VT)</t>
  </si>
  <si>
    <t xml:space="preserve">            Min Ga Lar U(VT)</t>
  </si>
  <si>
    <t xml:space="preserve">            Ta Dar(VT)</t>
  </si>
  <si>
    <t xml:space="preserve">            Min Ywar Kaing(VT)</t>
  </si>
  <si>
    <t xml:space="preserve">            Bu Taung(VT)</t>
  </si>
  <si>
    <t xml:space="preserve">            Tha Nyan(VT)</t>
  </si>
  <si>
    <t xml:space="preserve">            Pan Tone(VT)</t>
  </si>
  <si>
    <t xml:space="preserve">            Htauk Yit(VT)</t>
  </si>
  <si>
    <t xml:space="preserve">            Pauk Kaing(VT)</t>
  </si>
  <si>
    <t xml:space="preserve">            Pyaung Pyar(VT)</t>
  </si>
  <si>
    <t xml:space="preserve">            Htan Pin Kone(VT)</t>
  </si>
  <si>
    <t xml:space="preserve">            Ta Mar(VT)</t>
  </si>
  <si>
    <t xml:space="preserve">            Kin Mun Taunt(VT)</t>
  </si>
  <si>
    <t xml:space="preserve">            Htein Kaing(VT)</t>
  </si>
  <si>
    <t xml:space="preserve">            Pyaung(VT)</t>
  </si>
  <si>
    <t xml:space="preserve">            Wet Kaw(VT)</t>
  </si>
  <si>
    <t xml:space="preserve">            Hpyu Kan(VT)</t>
  </si>
  <si>
    <t xml:space="preserve">            Sa Par Tan(VT)</t>
  </si>
  <si>
    <t xml:space="preserve">            Mee Pauk (Ta Loke Pin)(VT)</t>
  </si>
  <si>
    <t xml:space="preserve">            Lin Pan(VT)</t>
  </si>
  <si>
    <t xml:space="preserve">            Kan Paing(VT)</t>
  </si>
  <si>
    <t xml:space="preserve">            Wun Twin(VT)</t>
  </si>
  <si>
    <t xml:space="preserve">            Kyat Wa(VT)</t>
  </si>
  <si>
    <t xml:space="preserve">            Gway Tauk Cho(VT)</t>
  </si>
  <si>
    <t xml:space="preserve">            Kyoet Wa(VT)</t>
  </si>
  <si>
    <t xml:space="preserve">            Myauk Pyin(VT)</t>
  </si>
  <si>
    <t xml:space="preserve">            Daunt Taik(VT)</t>
  </si>
  <si>
    <t xml:space="preserve">            Nga Khu Oe(VT)</t>
  </si>
  <si>
    <t xml:space="preserve">            Hman(VT)</t>
  </si>
  <si>
    <t xml:space="preserve">            Pe Myauk(VT)</t>
  </si>
  <si>
    <t xml:space="preserve">            Nat Mauk(VT)</t>
  </si>
  <si>
    <t xml:space="preserve">            Hlwar Wa(VT)</t>
  </si>
  <si>
    <t xml:space="preserve">            Chin Hnit(VT)</t>
  </si>
  <si>
    <t xml:space="preserve">            Min Tat(VT)</t>
  </si>
  <si>
    <t xml:space="preserve">            Taung Yan(VT)</t>
  </si>
  <si>
    <t xml:space="preserve">            Khway Tauk(VT)</t>
  </si>
  <si>
    <t xml:space="preserve">            Mee Pauk (Ma Gyi Kyaw)(VT)</t>
  </si>
  <si>
    <t xml:space="preserve">            Kyauk Gyi(VT)</t>
  </si>
  <si>
    <t xml:space="preserve">            Taung Pat(VT)</t>
  </si>
  <si>
    <t xml:space="preserve">            Ah Lel Chaung(VT)</t>
  </si>
  <si>
    <t xml:space="preserve">            Myo Haung(VT)</t>
  </si>
  <si>
    <t xml:space="preserve">            Inn Pyet(VT)</t>
  </si>
  <si>
    <t xml:space="preserve">            Yaw(VT)</t>
  </si>
  <si>
    <t xml:space="preserve">            Than Bu La(VT)</t>
  </si>
  <si>
    <t xml:space="preserve">            Saing Doe(VT)</t>
  </si>
  <si>
    <t xml:space="preserve">            Kyoet Kone(VT)</t>
  </si>
  <si>
    <t xml:space="preserve">            Sa Ka Te(VT)</t>
  </si>
  <si>
    <t xml:space="preserve">            Htan Lay Pin(VT)</t>
  </si>
  <si>
    <t xml:space="preserve">            Kan Lel(VT)</t>
  </si>
  <si>
    <t xml:space="preserve">            Taing Tar(VT)</t>
  </si>
  <si>
    <t xml:space="preserve">            Nga Pon Kone(VT)</t>
  </si>
  <si>
    <t xml:space="preserve">            Tha Min Ka Toke(VT)</t>
  </si>
  <si>
    <t xml:space="preserve">            Taung Taw(VT)</t>
  </si>
  <si>
    <t xml:space="preserve">            Kyauk Taing(VT)</t>
  </si>
  <si>
    <t xml:space="preserve">            Pway Du(VT)</t>
  </si>
  <si>
    <t xml:space="preserve">            Khon Taing Kyin(VT)</t>
  </si>
  <si>
    <t xml:space="preserve">            Lel Gyi Daunt(VT)</t>
  </si>
  <si>
    <t xml:space="preserve">            Ta Kaung Net(VT)</t>
  </si>
  <si>
    <t xml:space="preserve">            Zin Kyan(VT)</t>
  </si>
  <si>
    <t xml:space="preserve">            Myone Wa(VT)</t>
  </si>
  <si>
    <t xml:space="preserve">            Lel Pu Pyar(VT)</t>
  </si>
  <si>
    <t xml:space="preserve">            U Yin Pu(VT)</t>
  </si>
  <si>
    <t xml:space="preserve">            Pein Hne Pin(VT)</t>
  </si>
  <si>
    <t xml:space="preserve">            Myaung(VT)</t>
  </si>
  <si>
    <t xml:space="preserve">            Tan (Tha Yet Chin)(VT)</t>
  </si>
  <si>
    <t xml:space="preserve">            Sa Bai Chon(VT)</t>
  </si>
  <si>
    <t xml:space="preserve">            Ka Du Pyin(VT)</t>
  </si>
  <si>
    <t xml:space="preserve">            Pya Aung(VT)</t>
  </si>
  <si>
    <t xml:space="preserve">            Mone Dar(VT)</t>
  </si>
  <si>
    <t xml:space="preserve">            Thar Zi(VT)</t>
  </si>
  <si>
    <t xml:space="preserve">            Tha Yet Chaung(VT)</t>
  </si>
  <si>
    <t xml:space="preserve">            Si(VT)</t>
  </si>
  <si>
    <t xml:space="preserve">            Hpa Yon Hla(VT)</t>
  </si>
  <si>
    <t xml:space="preserve">            Kyauk Me(VT)</t>
  </si>
  <si>
    <t xml:space="preserve">            Htan Kauk(VT)</t>
  </si>
  <si>
    <t xml:space="preserve">            Put Su(VT)</t>
  </si>
  <si>
    <t xml:space="preserve">            Nga Me(VT)</t>
  </si>
  <si>
    <t xml:space="preserve">            Ka Nyin Taing(VT)</t>
  </si>
  <si>
    <t xml:space="preserve">            Gyun Taung(VT)</t>
  </si>
  <si>
    <t xml:space="preserve">            Mya Wa Di(VT)</t>
  </si>
  <si>
    <t xml:space="preserve">            Wea Gyi(VT)</t>
  </si>
  <si>
    <t xml:space="preserve">            Sit Sa Ran(VT)</t>
  </si>
  <si>
    <t xml:space="preserve">            Kywe Ta Lin(VT)</t>
  </si>
  <si>
    <t xml:space="preserve">            Thet Kei Myaung(VT)</t>
  </si>
  <si>
    <t xml:space="preserve">            Lein Tone(VT)</t>
  </si>
  <si>
    <t xml:space="preserve">            Pei Kya(VT)</t>
  </si>
  <si>
    <t xml:space="preserve">            Thit Mei Zi(VT)</t>
  </si>
  <si>
    <t xml:space="preserve">            Bant Bway Kyin(VT)</t>
  </si>
  <si>
    <t xml:space="preserve">            Pa Zin Naint(VT)</t>
  </si>
  <si>
    <t xml:space="preserve">            Yae Nant Thar(VT)</t>
  </si>
  <si>
    <t xml:space="preserve">            Pu Nyo(VT)</t>
  </si>
  <si>
    <t xml:space="preserve">            Than Pu Yar(VT)</t>
  </si>
  <si>
    <t xml:space="preserve">            Taw Ma(VT)</t>
  </si>
  <si>
    <t xml:space="preserve">            Kyauk Saung(VT)</t>
  </si>
  <si>
    <t xml:space="preserve">            Kyee Mee(VT)</t>
  </si>
  <si>
    <t xml:space="preserve">            Inn Gyi Kone(VT)</t>
  </si>
  <si>
    <t xml:space="preserve">            Nat Mee(VT)</t>
  </si>
  <si>
    <t xml:space="preserve">            Htan Kaw(VT)</t>
  </si>
  <si>
    <t xml:space="preserve">            Chauk Pin(VT)</t>
  </si>
  <si>
    <t xml:space="preserve">            In Bet Taw(VT)</t>
  </si>
  <si>
    <t xml:space="preserve">            Oke Shit Cho(VT)</t>
  </si>
  <si>
    <t xml:space="preserve">            Min Pyin(VT)</t>
  </si>
  <si>
    <t xml:space="preserve">            Dhamma Thaw(VT)</t>
  </si>
  <si>
    <t xml:space="preserve">            Gone Thaung(VT)</t>
  </si>
  <si>
    <t xml:space="preserve">            Inn Be(VT)</t>
  </si>
  <si>
    <t xml:space="preserve">            Kin(VT)</t>
  </si>
  <si>
    <t xml:space="preserve">            Kyun Ka Lay(VT)</t>
  </si>
  <si>
    <t xml:space="preserve">            Ma Gyi Kone(W)</t>
  </si>
  <si>
    <t xml:space="preserve">            Zay Kone(W)</t>
  </si>
  <si>
    <t xml:space="preserve">            Tha Yet Taw(W)</t>
  </si>
  <si>
    <t xml:space="preserve">            Zay Ya Wa Di(W)</t>
  </si>
  <si>
    <t xml:space="preserve">            Ta Yaw Kone(W)</t>
  </si>
  <si>
    <t xml:space="preserve">            San Chaung(W)</t>
  </si>
  <si>
    <t xml:space="preserve">            Set Yon(W)</t>
  </si>
  <si>
    <t xml:space="preserve">            Ywa htaung(W)</t>
  </si>
  <si>
    <t xml:space="preserve">            Inn Kone(VT)</t>
  </si>
  <si>
    <t xml:space="preserve">            Than(VT)</t>
  </si>
  <si>
    <t xml:space="preserve">            Pi Tauk Kone(VT)</t>
  </si>
  <si>
    <t xml:space="preserve">            Moe Hpone(VT)</t>
  </si>
  <si>
    <t xml:space="preserve">            Ywar Pyin(VT)</t>
  </si>
  <si>
    <t xml:space="preserve">            Shwe Nyaung Pin(VT)</t>
  </si>
  <si>
    <t xml:space="preserve">            Moe Kaung(VT)</t>
  </si>
  <si>
    <t xml:space="preserve">            Sit Aung(VT)</t>
  </si>
  <si>
    <t xml:space="preserve">            Yae Nan Gyi(VT)</t>
  </si>
  <si>
    <t xml:space="preserve">            Mauk Tin(VT)</t>
  </si>
  <si>
    <t xml:space="preserve">            Ta Loke Chaung(VT)</t>
  </si>
  <si>
    <t xml:space="preserve">            Kyet Yone Ka Lay(VT)</t>
  </si>
  <si>
    <t xml:space="preserve">            Pya Loet(VT)</t>
  </si>
  <si>
    <t xml:space="preserve">            Ma Au Kone(VT)</t>
  </si>
  <si>
    <t xml:space="preserve">            Taung Nan Thar(VT)</t>
  </si>
  <si>
    <t xml:space="preserve">            Kyauk Se(VT)</t>
  </si>
  <si>
    <t xml:space="preserve">            Htauk Kyant Taing(VT)</t>
  </si>
  <si>
    <t xml:space="preserve">            Ma Har Zin(VT)</t>
  </si>
  <si>
    <t xml:space="preserve">            Let Myaung(VT)</t>
  </si>
  <si>
    <t xml:space="preserve">            Ta Zan (Dar San)(VT)</t>
  </si>
  <si>
    <t xml:space="preserve">            Than Bo Gyi(VT)</t>
  </si>
  <si>
    <t xml:space="preserve">            Pya Gyi(VT)</t>
  </si>
  <si>
    <t xml:space="preserve">            Taung Tee(VT)</t>
  </si>
  <si>
    <t xml:space="preserve">            Sin Toke(VT)</t>
  </si>
  <si>
    <t xml:space="preserve">            Du Yin Ga Bo(VT)</t>
  </si>
  <si>
    <t xml:space="preserve">            Kyi Yat Kone(VT)</t>
  </si>
  <si>
    <t xml:space="preserve">            Nga Pyin (Ngar Pyint)(VT)</t>
  </si>
  <si>
    <t xml:space="preserve">            Kun Laung(VT)</t>
  </si>
  <si>
    <t xml:space="preserve">            Myin Ka Paing(VT)</t>
  </si>
  <si>
    <t xml:space="preserve">            Kywe Thay(VT)</t>
  </si>
  <si>
    <t xml:space="preserve">            Nga Me Kan(VT)</t>
  </si>
  <si>
    <t xml:space="preserve">            Sa Gyi(VT)</t>
  </si>
  <si>
    <t xml:space="preserve">            Ka Lon Hmaw(VT)</t>
  </si>
  <si>
    <t xml:space="preserve">            Let Pa Kan(VT)</t>
  </si>
  <si>
    <t xml:space="preserve">            Kyauk Oe Taung(VT)</t>
  </si>
  <si>
    <t xml:space="preserve">            Kar Ma Lay (Kan Ma Lay)(VT)</t>
  </si>
  <si>
    <t xml:space="preserve">            Zay Yar(VT)</t>
  </si>
  <si>
    <t xml:space="preserve">            Nyaung Pin Seik(VT)</t>
  </si>
  <si>
    <t xml:space="preserve">            Dan Daunt(VT)</t>
  </si>
  <si>
    <t xml:space="preserve">            Maung Ma Hloke(VT)</t>
  </si>
  <si>
    <t xml:space="preserve">            Aung Myay Kone(VT)</t>
  </si>
  <si>
    <t xml:space="preserve">            Pyin Pon(VT)</t>
  </si>
  <si>
    <t xml:space="preserve">            Bo Lu Kone(VT)</t>
  </si>
  <si>
    <t xml:space="preserve">            Sat Su Wa(VT)</t>
  </si>
  <si>
    <t xml:space="preserve">            Hlan Tin(VT)</t>
  </si>
  <si>
    <t xml:space="preserve">            Pein Inn(VT)</t>
  </si>
  <si>
    <t xml:space="preserve">            Hnauk San(VT)</t>
  </si>
  <si>
    <t xml:space="preserve">            Ma Lel Thar(VT)</t>
  </si>
  <si>
    <t xml:space="preserve">            Kayin Ma San(VT)</t>
  </si>
  <si>
    <t xml:space="preserve">            Thit Khaung Tee(VT)</t>
  </si>
  <si>
    <t xml:space="preserve">            Kyauk Pa Taung(VT)</t>
  </si>
  <si>
    <t xml:space="preserve">            Kyar Thay(VT)</t>
  </si>
  <si>
    <t xml:space="preserve">            Ywar Ma Htone(VT)</t>
  </si>
  <si>
    <t xml:space="preserve">            Hta Ma Kan(VT)</t>
  </si>
  <si>
    <t xml:space="preserve">            Nyaung Aing(VT)</t>
  </si>
  <si>
    <t xml:space="preserve">            Hle Kar Yar(VT)</t>
  </si>
  <si>
    <t xml:space="preserve">            Myo Hla(VT)</t>
  </si>
  <si>
    <t xml:space="preserve">            Nyaung Pin Waing(VT)</t>
  </si>
  <si>
    <t xml:space="preserve">            Sa Mya(VT)</t>
  </si>
  <si>
    <t xml:space="preserve">            Tei Pin(VT)</t>
  </si>
  <si>
    <t xml:space="preserve">            Shwe Pan Taw Lay(VT)</t>
  </si>
  <si>
    <t xml:space="preserve">            Shwe Pan Taw Gyi(VT)</t>
  </si>
  <si>
    <t xml:space="preserve">            Zeint(VT)</t>
  </si>
  <si>
    <t xml:space="preserve">            Nga Yoke Kone(VT)</t>
  </si>
  <si>
    <t xml:space="preserve">            Let Pa Khon(VT)</t>
  </si>
  <si>
    <t xml:space="preserve">            Tin Koke(VT)</t>
  </si>
  <si>
    <t xml:space="preserve">            Haing Gyi Doe(VT)</t>
  </si>
  <si>
    <t xml:space="preserve">            Ma Gyi Zin(VT)</t>
  </si>
  <si>
    <t xml:space="preserve">            Myo Mi(VT)</t>
  </si>
  <si>
    <t xml:space="preserve">            Byan Di(VT)</t>
  </si>
  <si>
    <t xml:space="preserve">            Tha Hpan San(VT)</t>
  </si>
  <si>
    <t xml:space="preserve">            Swei Tone(VT)</t>
  </si>
  <si>
    <t xml:space="preserve">            Thone Ywar Saing(VT)</t>
  </si>
  <si>
    <t xml:space="preserve">            Ye Din(VT)</t>
  </si>
  <si>
    <t xml:space="preserve">            Chin Sa Khan Gyi(VT)</t>
  </si>
  <si>
    <t xml:space="preserve">            Koe Taung(VT)</t>
  </si>
  <si>
    <t xml:space="preserve">            Tin Taw(VT)</t>
  </si>
  <si>
    <t xml:space="preserve">            Khoke Chaung(VT)</t>
  </si>
  <si>
    <t xml:space="preserve">            Kyun(VT)</t>
  </si>
  <si>
    <t xml:space="preserve">            Lel Kyoe(VT)</t>
  </si>
  <si>
    <t xml:space="preserve">            Nyan Taw Inn(VT)</t>
  </si>
  <si>
    <t xml:space="preserve">            War Ri(VT)</t>
  </si>
  <si>
    <t xml:space="preserve">            Sar Ra Pay(VT)</t>
  </si>
  <si>
    <t xml:space="preserve">            Baw Myint(VT)</t>
  </si>
  <si>
    <t xml:space="preserve">            Kyauk Saung San(VT)</t>
  </si>
  <si>
    <t xml:space="preserve">            Htauk Ma(VT)</t>
  </si>
  <si>
    <t xml:space="preserve">            Kyar Inn(VT)</t>
  </si>
  <si>
    <t xml:space="preserve">            Kyauk Chet(VT)</t>
  </si>
  <si>
    <t xml:space="preserve">            Hmun Nyaung Pin Thar(VT)</t>
  </si>
  <si>
    <t xml:space="preserve">            Zaung Tan Gyi(VT)</t>
  </si>
  <si>
    <t xml:space="preserve">            Da Gon Hmaw(VT)</t>
  </si>
  <si>
    <t xml:space="preserve">            Zaung Chan Taung(VT)</t>
  </si>
  <si>
    <t xml:space="preserve">            Inn Ma(VT)</t>
  </si>
  <si>
    <t xml:space="preserve">            Shwe Maung Sun(VT)</t>
  </si>
  <si>
    <t xml:space="preserve">            Ywar Pale(VT)</t>
  </si>
  <si>
    <t xml:space="preserve">            Ngan Pyar(VT)</t>
  </si>
  <si>
    <t xml:space="preserve">            Let Pan(VT)</t>
  </si>
  <si>
    <t xml:space="preserve">            Si Taing(VT)</t>
  </si>
  <si>
    <t xml:space="preserve">            Htein Inn(VT)</t>
  </si>
  <si>
    <t xml:space="preserve">            Taw Nyaung Pin Thar(VT)</t>
  </si>
  <si>
    <t xml:space="preserve">            Hlay Wun(VT)</t>
  </si>
  <si>
    <t xml:space="preserve">            Sit Say Chaung(VT)</t>
  </si>
  <si>
    <t xml:space="preserve">            Chaung Kauk(VT)</t>
  </si>
  <si>
    <t xml:space="preserve">            Aye Ka Rit(VT)</t>
  </si>
  <si>
    <t xml:space="preserve">            Kya Htu San(VT)</t>
  </si>
  <si>
    <t xml:space="preserve">            Tha Hngar(VT)</t>
  </si>
  <si>
    <t xml:space="preserve">            Lay Du Kwe(VT)</t>
  </si>
  <si>
    <t xml:space="preserve">            Da None Myaung(VT)</t>
  </si>
  <si>
    <t xml:space="preserve">            Kone Bo(VT)</t>
  </si>
  <si>
    <t xml:space="preserve">            Hmun Sa(VT)</t>
  </si>
  <si>
    <t xml:space="preserve">            Kan Chaung(VT)</t>
  </si>
  <si>
    <t xml:space="preserve">            Zee Hpyu Kone(VT)</t>
  </si>
  <si>
    <t xml:space="preserve">            Le Zin(VT)</t>
  </si>
  <si>
    <t xml:space="preserve">            Gway Tauk San(VT)</t>
  </si>
  <si>
    <t xml:space="preserve">            In Yone(VT)</t>
  </si>
  <si>
    <t xml:space="preserve">            Thar Si(VT)</t>
  </si>
  <si>
    <t xml:space="preserve">            Kyin(VT)</t>
  </si>
  <si>
    <t xml:space="preserve">            Let Pan Ngu(VT)</t>
  </si>
  <si>
    <t xml:space="preserve">            No (15)(W)</t>
  </si>
  <si>
    <t xml:space="preserve">            Kan Hla(VT)</t>
  </si>
  <si>
    <t xml:space="preserve">            Kan Yat Gyi(VT)</t>
  </si>
  <si>
    <t xml:space="preserve">            Koke Ko Hla(VT)</t>
  </si>
  <si>
    <t xml:space="preserve">            Ku(VT)</t>
  </si>
  <si>
    <t xml:space="preserve">            Kun(VT)</t>
  </si>
  <si>
    <t xml:space="preserve">            Kyee(VT)</t>
  </si>
  <si>
    <t xml:space="preserve">            Kyar Kyun (Kyun Ka Lay)(VT)</t>
  </si>
  <si>
    <t xml:space="preserve">            Kyun Nyo Gyi(VT)</t>
  </si>
  <si>
    <t xml:space="preserve">            Kywe Te(VT)</t>
  </si>
  <si>
    <t xml:space="preserve">            Ah Shey Kan Hpyu(VT)</t>
  </si>
  <si>
    <t xml:space="preserve">            Kya Htoe(VT)</t>
  </si>
  <si>
    <t xml:space="preserve">            Chaik(VT)</t>
  </si>
  <si>
    <t xml:space="preserve">            Chauk Kan(VT)</t>
  </si>
  <si>
    <t xml:space="preserve">            Ga Wun Lay Taing(VT)</t>
  </si>
  <si>
    <t xml:space="preserve">            Sa Bay(VT)</t>
  </si>
  <si>
    <t xml:space="preserve">            Sa Nyaung(VT)</t>
  </si>
  <si>
    <t xml:space="preserve">            Seik Kha Wa(VT)</t>
  </si>
  <si>
    <t xml:space="preserve">            Zee Taw (Yae Le)(VT)</t>
  </si>
  <si>
    <t xml:space="preserve">            Nyaung Hla(VT)</t>
  </si>
  <si>
    <t xml:space="preserve">            Tin Gat(VT)</t>
  </si>
  <si>
    <t xml:space="preserve">            Deit Pyar(VT)</t>
  </si>
  <si>
    <t xml:space="preserve">            Nat Kyun(VT)</t>
  </si>
  <si>
    <t xml:space="preserve">            Pa Daing Chon(VT)</t>
  </si>
  <si>
    <t xml:space="preserve">            Pakokku Kyun Su(VT)</t>
  </si>
  <si>
    <t xml:space="preserve">            Hpa Lan Oh(VT)</t>
  </si>
  <si>
    <t xml:space="preserve">            Shin Ma Kan(VT)</t>
  </si>
  <si>
    <t xml:space="preserve">            Be(VT)</t>
  </si>
  <si>
    <t xml:space="preserve">            Ah Nauk Ma Gyi Kan(VT)</t>
  </si>
  <si>
    <t xml:space="preserve">            Myin Kyun(VT)</t>
  </si>
  <si>
    <t xml:space="preserve">            Mei Za Li Pin Kone(VT)</t>
  </si>
  <si>
    <t xml:space="preserve">            Myin Win(VT)</t>
  </si>
  <si>
    <t xml:space="preserve">            Myit Chay(VT)</t>
  </si>
  <si>
    <t xml:space="preserve">            Myo Khin Thar(VT)</t>
  </si>
  <si>
    <t xml:space="preserve">            Myo Soe(VT)</t>
  </si>
  <si>
    <t xml:space="preserve">            Shar Pin Kaing(VT)</t>
  </si>
  <si>
    <t xml:space="preserve">            Shar Pin(VT)</t>
  </si>
  <si>
    <t xml:space="preserve">            Shar Du(VT)</t>
  </si>
  <si>
    <t xml:space="preserve">            Shwe Dar(VT)</t>
  </si>
  <si>
    <t xml:space="preserve">            Yae Lar(VT)</t>
  </si>
  <si>
    <t xml:space="preserve">            Lan(VT)</t>
  </si>
  <si>
    <t xml:space="preserve">            Let Pan Kyun (Ku Kyun)(VT)</t>
  </si>
  <si>
    <t xml:space="preserve">            Kan Hpyu(VT)</t>
  </si>
  <si>
    <t xml:space="preserve">            Kan Beit(VT)</t>
  </si>
  <si>
    <t xml:space="preserve">            Koke Ko Su(VT)</t>
  </si>
  <si>
    <t xml:space="preserve">            Kyet Su Kyin(VT)</t>
  </si>
  <si>
    <t xml:space="preserve">            Kan U(VT)</t>
  </si>
  <si>
    <t xml:space="preserve">            Khway Hmyoke(VT)</t>
  </si>
  <si>
    <t xml:space="preserve">            Gway Gon(VT)</t>
  </si>
  <si>
    <t xml:space="preserve">            Nga Ta Yaw(VT)</t>
  </si>
  <si>
    <t xml:space="preserve">            Sint Kaing(VT)</t>
  </si>
  <si>
    <t xml:space="preserve">            Sin Chay Yar(VT)</t>
  </si>
  <si>
    <t xml:space="preserve">            Sar Lin Kone(VT)</t>
  </si>
  <si>
    <t xml:space="preserve">            Nyaung Zauk(VT)</t>
  </si>
  <si>
    <t xml:space="preserve">            Nyaung Taw(VT)</t>
  </si>
  <si>
    <t xml:space="preserve">            Htan Se Pin(VT)</t>
  </si>
  <si>
    <t xml:space="preserve">            Ni Pa Say Taw(VT)</t>
  </si>
  <si>
    <t xml:space="preserve">            Pa Rein Thar(VT)</t>
  </si>
  <si>
    <t xml:space="preserve">            Byi Ba(VT)</t>
  </si>
  <si>
    <t xml:space="preserve">            Baung Bei Tan(VT)</t>
  </si>
  <si>
    <t xml:space="preserve">            Myay Zun Taw(VT)</t>
  </si>
  <si>
    <t xml:space="preserve">            Mi Hpa Yar(VT)</t>
  </si>
  <si>
    <t xml:space="preserve">            Mee Laung Kyun(VT)</t>
  </si>
  <si>
    <t xml:space="preserve">            Moe Kwe(VT)</t>
  </si>
  <si>
    <t xml:space="preserve">            Myay Taw(VT)</t>
  </si>
  <si>
    <t xml:space="preserve">            Ma Au (Middle)(VT)</t>
  </si>
  <si>
    <t xml:space="preserve">            Ma Au (Auk Seik)(VT)</t>
  </si>
  <si>
    <t xml:space="preserve">            Myay Hpyu/ Mong Nyin(VT)</t>
  </si>
  <si>
    <t xml:space="preserve">            Myay Hpyu Kyin(VT)</t>
  </si>
  <si>
    <t xml:space="preserve">            Ywar Thit(VT)</t>
  </si>
  <si>
    <t xml:space="preserve">            Aung Nan(VT)</t>
  </si>
  <si>
    <t xml:space="preserve">            Ywar Htaung(VT)</t>
  </si>
  <si>
    <t xml:space="preserve">            Wet Ka Taw(VT)</t>
  </si>
  <si>
    <t xml:space="preserve">            War Yar(VT)</t>
  </si>
  <si>
    <t xml:space="preserve">            Tha Man Ta Poet(VT)</t>
  </si>
  <si>
    <t xml:space="preserve">            Thar Gaung(VT)</t>
  </si>
  <si>
    <t xml:space="preserve">            Thit Gyi Taw(VT)</t>
  </si>
  <si>
    <t xml:space="preserve">            Than Pyar Chaung(VT)</t>
  </si>
  <si>
    <t xml:space="preserve">            Pa Khan Gyi(VT)</t>
  </si>
  <si>
    <t xml:space="preserve">            Kan Taunt(VT)</t>
  </si>
  <si>
    <t xml:space="preserve">            Yat Thar(VT)</t>
  </si>
  <si>
    <t xml:space="preserve">            Ko Yint(VT)</t>
  </si>
  <si>
    <t xml:space="preserve">            Ba La Ba(VT)</t>
  </si>
  <si>
    <t xml:space="preserve">            Za Ya Ma(VT)</t>
  </si>
  <si>
    <t xml:space="preserve">            Khway Taunt(VT)</t>
  </si>
  <si>
    <t xml:space="preserve">            Nga Lan(VT)</t>
  </si>
  <si>
    <t xml:space="preserve">            Nga Myar Gyi(VT)</t>
  </si>
  <si>
    <t xml:space="preserve">            Lay Yar Pyayt(VT)</t>
  </si>
  <si>
    <t xml:space="preserve">            Sin Ma Ye(VT)</t>
  </si>
  <si>
    <t xml:space="preserve">            Hnaung Ba(VT)</t>
  </si>
  <si>
    <t xml:space="preserve">            Ah Lel Kyaw(VT)</t>
  </si>
  <si>
    <t xml:space="preserve">            Ah Lel Thaung(VT)</t>
  </si>
  <si>
    <t xml:space="preserve">            War Boe(VT)</t>
  </si>
  <si>
    <t xml:space="preserve">            Nan U(VT)</t>
  </si>
  <si>
    <t xml:space="preserve">            Nwet Ni(VT)</t>
  </si>
  <si>
    <t xml:space="preserve">            Aung Pan Chaung(VT)</t>
  </si>
  <si>
    <t xml:space="preserve">            Nat Hnyun(VT)</t>
  </si>
  <si>
    <t xml:space="preserve">            Sin Te(VT)</t>
  </si>
  <si>
    <t xml:space="preserve">            Nay Yin(VT)</t>
  </si>
  <si>
    <t xml:space="preserve">            Yae Shar(VT)</t>
  </si>
  <si>
    <t xml:space="preserve">            Mauk Ka Lan(VT)</t>
  </si>
  <si>
    <t xml:space="preserve">            Kyu(VT)</t>
  </si>
  <si>
    <t xml:space="preserve">            Myay Hpyu(VT)</t>
  </si>
  <si>
    <t xml:space="preserve">            Htan Nge Taw(VT)</t>
  </si>
  <si>
    <t xml:space="preserve">            Tha Yet Pin Kan(VT)</t>
  </si>
  <si>
    <t xml:space="preserve">            Min Kan(VT)</t>
  </si>
  <si>
    <t xml:space="preserve">            Kyauk Kar(VT)</t>
  </si>
  <si>
    <t xml:space="preserve">            Htan To(VT)</t>
  </si>
  <si>
    <t xml:space="preserve">            Thet Kei Kan(VT)</t>
  </si>
  <si>
    <t xml:space="preserve">            Inn Yaung(VT)</t>
  </si>
  <si>
    <t xml:space="preserve">            Htan Bu Taw(VT)</t>
  </si>
  <si>
    <t xml:space="preserve">            Kan Tein(VT)</t>
  </si>
  <si>
    <t xml:space="preserve">            Kyauk Sauk(VT)</t>
  </si>
  <si>
    <t xml:space="preserve">            Myo Thar(VT)</t>
  </si>
  <si>
    <t xml:space="preserve">            Seik Sin(VT)</t>
  </si>
  <si>
    <t xml:space="preserve">            Da Hat Chauk(VT)</t>
  </si>
  <si>
    <t xml:space="preserve">            Hnaw Pin(VT)</t>
  </si>
  <si>
    <t xml:space="preserve">            Wet Kya(VT)</t>
  </si>
  <si>
    <t xml:space="preserve">            Paik Thin(VT)</t>
  </si>
  <si>
    <t xml:space="preserve">            Nyaung Twin(VT)</t>
  </si>
  <si>
    <t xml:space="preserve">            Myo Tin(VT)</t>
  </si>
  <si>
    <t xml:space="preserve">            Ma Gyi Su(VT)</t>
  </si>
  <si>
    <t xml:space="preserve">            Thit Taw Gyi(VT)</t>
  </si>
  <si>
    <t xml:space="preserve">            Kun Taw(VT)</t>
  </si>
  <si>
    <t xml:space="preserve">            Hpya Thee(VT)</t>
  </si>
  <si>
    <t xml:space="preserve">            Kyi Kan(VT)</t>
  </si>
  <si>
    <t xml:space="preserve">            Lin Ka Taw(VT)</t>
  </si>
  <si>
    <t xml:space="preserve">            Pan Swar(VT)</t>
  </si>
  <si>
    <t xml:space="preserve">            Tha Nat Pin Kone(VT)</t>
  </si>
  <si>
    <t xml:space="preserve">            Shwe Lin Swe(VT)</t>
  </si>
  <si>
    <t xml:space="preserve">            Ah Lel Kan(VT)</t>
  </si>
  <si>
    <t xml:space="preserve">            Ywar Thit Hpya(VT)</t>
  </si>
  <si>
    <t xml:space="preserve">            Hle Khoke(VT)</t>
  </si>
  <si>
    <t xml:space="preserve">            Taung Boet(VT)</t>
  </si>
  <si>
    <t xml:space="preserve">            Let Se Kan(VT)</t>
  </si>
  <si>
    <t xml:space="preserve">            Taung Kaing(VT)</t>
  </si>
  <si>
    <t xml:space="preserve">            Paung Tei(VT)</t>
  </si>
  <si>
    <t xml:space="preserve">            Ba Hin(VT)</t>
  </si>
  <si>
    <t xml:space="preserve">            Tha Dut(VT)</t>
  </si>
  <si>
    <t xml:space="preserve">            Thin Ma(VT)</t>
  </si>
  <si>
    <t xml:space="preserve">            Taung Son(VT)</t>
  </si>
  <si>
    <t xml:space="preserve">            Su Win(VT)</t>
  </si>
  <si>
    <t xml:space="preserve">            Htay Aung(VT)</t>
  </si>
  <si>
    <t xml:space="preserve">            Sin Sein(VT)</t>
  </si>
  <si>
    <t xml:space="preserve">            Sin Swei(VT)</t>
  </si>
  <si>
    <t xml:space="preserve">            Thee Tone(VT)</t>
  </si>
  <si>
    <t xml:space="preserve">            Wei Taung(VT)</t>
  </si>
  <si>
    <t xml:space="preserve">            Seik Chay(VT)</t>
  </si>
  <si>
    <t xml:space="preserve">            Oe Bo(VT)</t>
  </si>
  <si>
    <t xml:space="preserve">            Myo Soe (South)(VT)</t>
  </si>
  <si>
    <t xml:space="preserve">            Min Thar Kya(VT)</t>
  </si>
  <si>
    <t xml:space="preserve">            Pauk Pyin(VT)</t>
  </si>
  <si>
    <t xml:space="preserve">            Gway Pin Lel(VT)</t>
  </si>
  <si>
    <t xml:space="preserve">            Htan Bone Taw(VT)</t>
  </si>
  <si>
    <t xml:space="preserve">            Hta Naung Win(VT)</t>
  </si>
  <si>
    <t xml:space="preserve">            Let Yet Ma(VT)</t>
  </si>
  <si>
    <t xml:space="preserve">            Ywar Shey(VT)</t>
  </si>
  <si>
    <t xml:space="preserve">            Bone Gyi Kan(VT)</t>
  </si>
  <si>
    <t xml:space="preserve">            Kyauk Kan(VT)</t>
  </si>
  <si>
    <t xml:space="preserve">            Kyauk Taung(VT)</t>
  </si>
  <si>
    <t xml:space="preserve">            Bant Boe(VT)</t>
  </si>
  <si>
    <t xml:space="preserve">            Tha Min Chauk(VT)</t>
  </si>
  <si>
    <t xml:space="preserve">            Kyet Mauk(VT)</t>
  </si>
  <si>
    <t xml:space="preserve">            Pay Pin Taik(VT)</t>
  </si>
  <si>
    <t xml:space="preserve">            Kaing Taw Ma(VT)</t>
  </si>
  <si>
    <t xml:space="preserve">            Wet Poke(VT)</t>
  </si>
  <si>
    <t xml:space="preserve">            Myay Yint(VT)</t>
  </si>
  <si>
    <t xml:space="preserve">            Chaing Zauk(VT)</t>
  </si>
  <si>
    <t xml:space="preserve">            Ywar Tan Shey(VT)</t>
  </si>
  <si>
    <t xml:space="preserve">            Kan Yar Kaung(VT)</t>
  </si>
  <si>
    <t xml:space="preserve">            Hnan Si Kan(VT)</t>
  </si>
  <si>
    <t xml:space="preserve">            Kon Lat(VT)</t>
  </si>
  <si>
    <t xml:space="preserve">            Tha Yet Kwa(VT)</t>
  </si>
  <si>
    <t xml:space="preserve">            Nyaung(VT)</t>
  </si>
  <si>
    <t xml:space="preserve">            Oh Yin(VT)</t>
  </si>
  <si>
    <t xml:space="preserve">            Daung Oh(VT)</t>
  </si>
  <si>
    <t xml:space="preserve">            Twin Ma(VT)</t>
  </si>
  <si>
    <t xml:space="preserve">            Thin Paung Kan(VT)</t>
  </si>
  <si>
    <t xml:space="preserve">            Aung Ta Khon(W)</t>
  </si>
  <si>
    <t xml:space="preserve">            Aung Taw Mu(W)</t>
  </si>
  <si>
    <t xml:space="preserve">            Shwe Pauk Pin(W)</t>
  </si>
  <si>
    <t xml:space="preserve">            Aingt Kaing(VT)</t>
  </si>
  <si>
    <t xml:space="preserve">            Than Pu Yar Aint(VT)</t>
  </si>
  <si>
    <t xml:space="preserve">            Hpa Yar Taung(VT)</t>
  </si>
  <si>
    <t xml:space="preserve">            Dee Doke Kwin(VT)</t>
  </si>
  <si>
    <t xml:space="preserve">            Boe Hpyu Lone Kan(VT)</t>
  </si>
  <si>
    <t xml:space="preserve">            Khin Shey(VT)</t>
  </si>
  <si>
    <t xml:space="preserve">            Tei Pin Kan(VT)</t>
  </si>
  <si>
    <t xml:space="preserve">            Taung Myint(VT)</t>
  </si>
  <si>
    <t xml:space="preserve">            Te Taw Yar(VT)</t>
  </si>
  <si>
    <t xml:space="preserve">            Chaung Nar(VT)</t>
  </si>
  <si>
    <t xml:space="preserve">            Kaing Lel(VT)</t>
  </si>
  <si>
    <t xml:space="preserve">            Taung Bet(VT)</t>
  </si>
  <si>
    <t xml:space="preserve">            Kin Soke(VT)</t>
  </si>
  <si>
    <t xml:space="preserve">            Kin Ma(VT)</t>
  </si>
  <si>
    <t xml:space="preserve">            Taung Cho(VT)</t>
  </si>
  <si>
    <t xml:space="preserve">            Ta Su(VT)</t>
  </si>
  <si>
    <t xml:space="preserve">            Thet Kei Kyin(VT)</t>
  </si>
  <si>
    <t xml:space="preserve">            Inn Taw(VT)</t>
  </si>
  <si>
    <t xml:space="preserve">            Tha Put Su(VT)</t>
  </si>
  <si>
    <t xml:space="preserve">            Lel Lan(VT)</t>
  </si>
  <si>
    <t xml:space="preserve">            Wun Chone(VT)</t>
  </si>
  <si>
    <t xml:space="preserve">            Than Taw Aint (Wet Poke)(VT)</t>
  </si>
  <si>
    <t xml:space="preserve">            Sa Thein(VT)</t>
  </si>
  <si>
    <t xml:space="preserve">            Dat Taw(VT)</t>
  </si>
  <si>
    <t xml:space="preserve">            Wun Tin(VT)</t>
  </si>
  <si>
    <t xml:space="preserve">            Aint Ma(VT)</t>
  </si>
  <si>
    <t xml:space="preserve">            Myauk Bet(VT)</t>
  </si>
  <si>
    <t xml:space="preserve">            Lin Taung(VT)</t>
  </si>
  <si>
    <t xml:space="preserve">            Hmyar Paing(VT)</t>
  </si>
  <si>
    <t xml:space="preserve">            Pa Laung(VT)</t>
  </si>
  <si>
    <t xml:space="preserve">            Chaung Ku(VT)</t>
  </si>
  <si>
    <t xml:space="preserve">            Yae Hpyu (VT)</t>
  </si>
  <si>
    <t xml:space="preserve">            Sa Pan(VT)</t>
  </si>
  <si>
    <t xml:space="preserve">            Ku Kar(VT)</t>
  </si>
  <si>
    <t xml:space="preserve">            Zee Pyar(VT)</t>
  </si>
  <si>
    <t xml:space="preserve">            Zaung Yar Pin(VT)</t>
  </si>
  <si>
    <t xml:space="preserve">            Lel Oh(VT)</t>
  </si>
  <si>
    <t xml:space="preserve">            Tha Yet Kan(VT)</t>
  </si>
  <si>
    <t xml:space="preserve">            Kyauk Taing Khin(VT)</t>
  </si>
  <si>
    <t xml:space="preserve">            Kyauk Ma Sin(VT)</t>
  </si>
  <si>
    <t xml:space="preserve">            Gaung Paung(VT)</t>
  </si>
  <si>
    <t xml:space="preserve">            Htan Taw(VT)</t>
  </si>
  <si>
    <t xml:space="preserve">            Kyaw Thar(VT)</t>
  </si>
  <si>
    <t xml:space="preserve">            Ka Paing (South)(VT)</t>
  </si>
  <si>
    <t xml:space="preserve">            Tha Mar Taw(VT)</t>
  </si>
  <si>
    <t xml:space="preserve">            Pyin Chaung(VT)</t>
  </si>
  <si>
    <t xml:space="preserve">            Nat U Yin(VT)</t>
  </si>
  <si>
    <t xml:space="preserve">            Su Lay Kone(VT)</t>
  </si>
  <si>
    <t xml:space="preserve">            Nyaung Win(VT)</t>
  </si>
  <si>
    <t xml:space="preserve">            Toke Su(VT)</t>
  </si>
  <si>
    <t xml:space="preserve">            Nant Thar(VT)</t>
  </si>
  <si>
    <t xml:space="preserve">            Nyaung Win Pauk(VT)</t>
  </si>
  <si>
    <t xml:space="preserve">            Myo Kin Thar(VT)</t>
  </si>
  <si>
    <t xml:space="preserve">            Sa Hpe(VT)</t>
  </si>
  <si>
    <t xml:space="preserve">            Ka Pyo(VT)</t>
  </si>
  <si>
    <t xml:space="preserve">            Tin Ngoke Pyin(VT)</t>
  </si>
  <si>
    <t xml:space="preserve">            Inn Tein(VT)</t>
  </si>
  <si>
    <t xml:space="preserve">            Tha Nat Pin Zin(VT)</t>
  </si>
  <si>
    <t xml:space="preserve">            Kan Bar Hpyu(VT)</t>
  </si>
  <si>
    <t xml:space="preserve">            Yaw Wa(W)</t>
  </si>
  <si>
    <t xml:space="preserve">            Koe Taunt(VT)</t>
  </si>
  <si>
    <t xml:space="preserve">            Kan Bar Gyi(VT)</t>
  </si>
  <si>
    <t xml:space="preserve">            Chin Taung(VT)</t>
  </si>
  <si>
    <t xml:space="preserve">            Myin Ka Wa(VT)</t>
  </si>
  <si>
    <t xml:space="preserve">            Myay Kyan Taw(VT)</t>
  </si>
  <si>
    <t xml:space="preserve">            Chaung Ma Gyi(VT)</t>
  </si>
  <si>
    <t xml:space="preserve">            Pin Ta Le(VT)</t>
  </si>
  <si>
    <t xml:space="preserve">            Daw Thar(VT)</t>
  </si>
  <si>
    <t xml:space="preserve">            Ywar Thit Gyi(VT)</t>
  </si>
  <si>
    <t xml:space="preserve">            Ah Shey Kan Twin(VT)</t>
  </si>
  <si>
    <t xml:space="preserve">            Let Se(VT)</t>
  </si>
  <si>
    <t xml:space="preserve">            Tet Ma(VT)</t>
  </si>
  <si>
    <t xml:space="preserve">            Ah Nauk Kan Twin(VT)</t>
  </si>
  <si>
    <t xml:space="preserve">            Saik Khan(VT)</t>
  </si>
  <si>
    <t xml:space="preserve">            Shar Pin Aint(VT)</t>
  </si>
  <si>
    <t xml:space="preserve">            Kya Bay(VT)</t>
  </si>
  <si>
    <t xml:space="preserve">            Htan Ma Kauk(VT)</t>
  </si>
  <si>
    <t xml:space="preserve">            Ywar Thar Aye(VT)</t>
  </si>
  <si>
    <t xml:space="preserve">            Ah Nauk Ka Hpyu(VT)</t>
  </si>
  <si>
    <t xml:space="preserve">            Ku Shey(VT)</t>
  </si>
  <si>
    <t xml:space="preserve">            Ka Zun Ma(VT)</t>
  </si>
  <si>
    <t xml:space="preserve">            Kyun Taw(VT)</t>
  </si>
  <si>
    <t xml:space="preserve">            Kone(VT)</t>
  </si>
  <si>
    <t xml:space="preserve">            Kyaung(VT)</t>
  </si>
  <si>
    <t xml:space="preserve">            Hnget Khway(VT)</t>
  </si>
  <si>
    <t xml:space="preserve">            Shauk Pin Inn(VT)</t>
  </si>
  <si>
    <t xml:space="preserve">            Hnget Pyar Gyi(VT)</t>
  </si>
  <si>
    <t xml:space="preserve">            Kaw Ton(VT)</t>
  </si>
  <si>
    <t xml:space="preserve">            Shar Hla(VT)</t>
  </si>
  <si>
    <t xml:space="preserve">            Nyaung Ni Chaung(VT)</t>
  </si>
  <si>
    <t xml:space="preserve">            Myauk Kone(W)</t>
  </si>
  <si>
    <t xml:space="preserve">            Si Pin Thar Yar(W)</t>
  </si>
  <si>
    <t xml:space="preserve">            Kyaw Taik(W)</t>
  </si>
  <si>
    <t xml:space="preserve">            Ma Kyi Khin(VT)</t>
  </si>
  <si>
    <t xml:space="preserve">            Taung Pyin(VT)</t>
  </si>
  <si>
    <t xml:space="preserve">            Za Haw(VT)</t>
  </si>
  <si>
    <t xml:space="preserve">            Lon Haw(VT)</t>
  </si>
  <si>
    <t xml:space="preserve">            Pyit Ma(VT)</t>
  </si>
  <si>
    <t xml:space="preserve">            Aung Myin(VT)</t>
  </si>
  <si>
    <t xml:space="preserve">            Kyaw(VT)</t>
  </si>
  <si>
    <t xml:space="preserve">            Myin Zar(VT)</t>
  </si>
  <si>
    <t xml:space="preserve">            Kyun Dat(VT)</t>
  </si>
  <si>
    <t xml:space="preserve">            Pyar(VT)</t>
  </si>
  <si>
    <t xml:space="preserve">            Po U(VT)</t>
  </si>
  <si>
    <t xml:space="preserve">            Kun Ze(VT)</t>
  </si>
  <si>
    <t xml:space="preserve">            Saing Du(VT)</t>
  </si>
  <si>
    <t xml:space="preserve">            Lar Boet(VT)</t>
  </si>
  <si>
    <t xml:space="preserve">            Ywar Si(VT)</t>
  </si>
  <si>
    <t xml:space="preserve">            Hpet Wun(VT)</t>
  </si>
  <si>
    <t xml:space="preserve">            Maw Lel(VT)</t>
  </si>
  <si>
    <t xml:space="preserve">            Pa Nan(VT)</t>
  </si>
  <si>
    <t xml:space="preserve">            Sin Pon(VT)</t>
  </si>
  <si>
    <t xml:space="preserve">            Sa Bai(VT)</t>
  </si>
  <si>
    <t xml:space="preserve">            Yin Mar(VT)</t>
  </si>
  <si>
    <t xml:space="preserve">            Sa Meik(VT)</t>
  </si>
  <si>
    <t xml:space="preserve">            Wet Chi Par(VT)</t>
  </si>
  <si>
    <t xml:space="preserve">            Pan Teik(VT)</t>
  </si>
  <si>
    <t xml:space="preserve">            Khauk Khu(VT)</t>
  </si>
  <si>
    <t xml:space="preserve">            Pyin Thar(VT)</t>
  </si>
  <si>
    <t xml:space="preserve">            Taw Hpoet(VT)</t>
  </si>
  <si>
    <t xml:space="preserve">            Ein Thit(VT)</t>
  </si>
  <si>
    <t xml:space="preserve">            Han Thar Wa Di(VT)</t>
  </si>
  <si>
    <t xml:space="preserve">            Lel Gyi(VT)</t>
  </si>
  <si>
    <t xml:space="preserve">            Myauk Khin Yan(VT)</t>
  </si>
  <si>
    <t xml:space="preserve">            Shwe Bo(VT)</t>
  </si>
  <si>
    <t xml:space="preserve">            Taung Khin Yan(VT)</t>
  </si>
  <si>
    <t xml:space="preserve">            Thar Lin(VT)</t>
  </si>
  <si>
    <t xml:space="preserve">            Myin Thar(VT)</t>
  </si>
  <si>
    <t xml:space="preserve">            Hnan Khar(VT)</t>
  </si>
  <si>
    <t xml:space="preserve">            Yae Shin(VT)</t>
  </si>
  <si>
    <t xml:space="preserve">            Ye Hla(VT)</t>
  </si>
  <si>
    <t xml:space="preserve">            Mwayt Lel(VT)</t>
  </si>
  <si>
    <t xml:space="preserve">            Thi Si(VT)</t>
  </si>
  <si>
    <t xml:space="preserve">            Moe So(VT)</t>
  </si>
  <si>
    <t xml:space="preserve">            Yae Shin Ma(VT)</t>
  </si>
  <si>
    <t xml:space="preserve">            Kyun Khon Tha(VT)</t>
  </si>
  <si>
    <t xml:space="preserve">            Baw Pyin(VT)</t>
  </si>
  <si>
    <t xml:space="preserve">            Taung Yar Pyin(VT)</t>
  </si>
  <si>
    <t xml:space="preserve">            Htet Hlaw (Htei Hlaw)(VT)</t>
  </si>
  <si>
    <t xml:space="preserve">            Thar Kaung(VT)</t>
  </si>
  <si>
    <t xml:space="preserve">            Mauk(VT)</t>
  </si>
  <si>
    <t xml:space="preserve">            Mauk Lin(VT)</t>
  </si>
  <si>
    <t xml:space="preserve">            Sa Kar(VT)</t>
  </si>
  <si>
    <t xml:space="preserve">            Kye(VT)</t>
  </si>
  <si>
    <t xml:space="preserve">            Kant That(VT)</t>
  </si>
  <si>
    <t xml:space="preserve">            Zan Hmway(VT)</t>
  </si>
  <si>
    <t xml:space="preserve">            War Pin(VT)</t>
  </si>
  <si>
    <t xml:space="preserve">            Khaung Tin(VT)</t>
  </si>
  <si>
    <t xml:space="preserve">            Gaung Ton(VT)</t>
  </si>
  <si>
    <t xml:space="preserve">            Ta Zan(VT)</t>
  </si>
  <si>
    <t xml:space="preserve">            Nyaung Lel(VT)</t>
  </si>
  <si>
    <t xml:space="preserve">            Ah Nauk Gant Gaw(VT)</t>
  </si>
  <si>
    <t xml:space="preserve">            Shone Shi(VT)</t>
  </si>
  <si>
    <t xml:space="preserve">            Kyet Yoe(VT)</t>
  </si>
  <si>
    <t xml:space="preserve">            Ah Nyar Ban(VT)</t>
  </si>
  <si>
    <t xml:space="preserve">            Kyar Khe(VT)</t>
  </si>
  <si>
    <t xml:space="preserve">            Hta Lin(VT)</t>
  </si>
  <si>
    <t xml:space="preserve">            Lone Paung(VT)</t>
  </si>
  <si>
    <t xml:space="preserve">            Soet Pyar(VT)</t>
  </si>
  <si>
    <t xml:space="preserve">            Ah Lel Ban(VT)</t>
  </si>
  <si>
    <t xml:space="preserve">            Pyin Pa(VT)</t>
  </si>
  <si>
    <t xml:space="preserve">            Ah Kyi War Bin(VT)</t>
  </si>
  <si>
    <t xml:space="preserve">            Kyauk Oke(VT)</t>
  </si>
  <si>
    <t xml:space="preserve">            Ngar Sin(VT)</t>
  </si>
  <si>
    <t xml:space="preserve">            Tin Chaung(VT)</t>
  </si>
  <si>
    <t xml:space="preserve">            War Yin Chaint(VT)</t>
  </si>
  <si>
    <t xml:space="preserve">            Par Myin(VT)</t>
  </si>
  <si>
    <t xml:space="preserve">            Yon Sin(VT)</t>
  </si>
  <si>
    <t xml:space="preserve">            Tha Ra Khar(VT)</t>
  </si>
  <si>
    <t xml:space="preserve">            Say Min Taw(VT)</t>
  </si>
  <si>
    <t xml:space="preserve">            Htein Taing(VT)</t>
  </si>
  <si>
    <t xml:space="preserve">            Dant Dee(VT)</t>
  </si>
  <si>
    <t xml:space="preserve">            Hin Khwet Tone(VT)</t>
  </si>
  <si>
    <t xml:space="preserve">            Ohn Hnauk(VT)</t>
  </si>
  <si>
    <t xml:space="preserve">            Yin Yaung(VT)</t>
  </si>
  <si>
    <t xml:space="preserve">            Ka Zun Htaunt(VT)</t>
  </si>
  <si>
    <t xml:space="preserve">            Yae Myet Ni(VT)</t>
  </si>
  <si>
    <t xml:space="preserve">            Kyauk Sar Yay(VT)</t>
  </si>
  <si>
    <t xml:space="preserve">            War Bo Chaung(VT)</t>
  </si>
  <si>
    <t xml:space="preserve">            Ah Htet Kyaw(VT)</t>
  </si>
  <si>
    <t xml:space="preserve">            Taw Yaung(VT)</t>
  </si>
  <si>
    <t xml:space="preserve">            Ah Kyi Ban(VT)</t>
  </si>
  <si>
    <t xml:space="preserve">            Kyauk Htu(VT)</t>
  </si>
  <si>
    <t xml:space="preserve">            Pa Leint Kaing(VT)</t>
  </si>
  <si>
    <t xml:space="preserve">            War Bin Ah Hnyar (Ah Hnyar War Bin)(VT)</t>
  </si>
  <si>
    <t xml:space="preserve">            Nat Inn(VT)</t>
  </si>
  <si>
    <t xml:space="preserve">            Sin Htoe(VT)</t>
  </si>
  <si>
    <t xml:space="preserve">            Auk Kyaw(VT)</t>
  </si>
  <si>
    <t xml:space="preserve">            Min Lel(VT)</t>
  </si>
  <si>
    <t xml:space="preserve">            Kin Pan(VT)</t>
  </si>
  <si>
    <t xml:space="preserve">            Ah Nyar Taw(VT)</t>
  </si>
  <si>
    <t xml:space="preserve">            Inn Nar(VT)</t>
  </si>
  <si>
    <t xml:space="preserve">            Lel Kan(VT)</t>
  </si>
  <si>
    <t xml:space="preserve">            Shea(VT)</t>
  </si>
  <si>
    <t xml:space="preserve">            Wet Thet Ywar Ma(VT)</t>
  </si>
  <si>
    <t xml:space="preserve">            Nwe Pyin(VT)</t>
  </si>
  <si>
    <t xml:space="preserve">            Pa Zin Chaung(VT)</t>
  </si>
  <si>
    <t xml:space="preserve">            Swea Lwe(VT)</t>
  </si>
  <si>
    <t xml:space="preserve">            Kha Paung Taw(VT)</t>
  </si>
  <si>
    <t xml:space="preserve">            Kyar U Yin(VT)</t>
  </si>
  <si>
    <t xml:space="preserve">            Ohn Taw(VT)</t>
  </si>
  <si>
    <t xml:space="preserve">            Shaw Hpyu Pin(VT)</t>
  </si>
  <si>
    <t xml:space="preserve">            Wet Thet (North)(VT)</t>
  </si>
  <si>
    <t xml:space="preserve">            Myet Hmaung(VT)</t>
  </si>
  <si>
    <t xml:space="preserve">            Myit Kaing(VT)</t>
  </si>
  <si>
    <t xml:space="preserve">            Sin Se(VT)</t>
  </si>
  <si>
    <t xml:space="preserve">            Hnyit Shauk(VT)</t>
  </si>
  <si>
    <t xml:space="preserve">            Ti(VT)</t>
  </si>
  <si>
    <t xml:space="preserve">            Thi Ri(W)</t>
  </si>
  <si>
    <t xml:space="preserve">            Zay Yar(W)</t>
  </si>
  <si>
    <t xml:space="preserve">            Khwin Chaung(VT)</t>
  </si>
  <si>
    <t xml:space="preserve">            Lel Yin(VT)</t>
  </si>
  <si>
    <t xml:space="preserve">            Ah Nyar Ka Tin(VT)</t>
  </si>
  <si>
    <t xml:space="preserve">            Let Mun(VT)</t>
  </si>
  <si>
    <t xml:space="preserve">            Hnget Chaung(VT)</t>
  </si>
  <si>
    <t xml:space="preserve">            Nyaung Gan(VT)</t>
  </si>
  <si>
    <t xml:space="preserve">            Tha Lel(VT)</t>
  </si>
  <si>
    <t xml:space="preserve">            Kyin Lein(VT)</t>
  </si>
  <si>
    <t xml:space="preserve">            Yaw Let Pan(VT)</t>
  </si>
  <si>
    <t xml:space="preserve">            Kya Khat(VT)</t>
  </si>
  <si>
    <t xml:space="preserve">            Kyauk Swea(VT)</t>
  </si>
  <si>
    <t xml:space="preserve">            Lel Hpyu(VT)</t>
  </si>
  <si>
    <t xml:space="preserve">            Poke Pa Kaing(VT)</t>
  </si>
  <si>
    <t xml:space="preserve">            Laung Shey(VT)</t>
  </si>
  <si>
    <t xml:space="preserve">            In Bu(VT)</t>
  </si>
  <si>
    <t xml:space="preserve">            Yin Ke(VT)</t>
  </si>
  <si>
    <t xml:space="preserve">            Swea Lwea Kyin(VT)</t>
  </si>
  <si>
    <t xml:space="preserve">            Yint Ye Chaung(VT)</t>
  </si>
  <si>
    <t xml:space="preserve">            Hlaw Kar(VT)</t>
  </si>
  <si>
    <t xml:space="preserve">            Taung Boet Gyi(VT)</t>
  </si>
  <si>
    <t xml:space="preserve">            Pein Chaung(VT)</t>
  </si>
  <si>
    <t xml:space="preserve">            Yan(VT)</t>
  </si>
  <si>
    <t xml:space="preserve">            Kyein Gyi(VT)</t>
  </si>
  <si>
    <t xml:space="preserve">            Taung Nga Kut(VT)</t>
  </si>
  <si>
    <t xml:space="preserve">            Si Mee(VT)</t>
  </si>
  <si>
    <t xml:space="preserve">            Pauk Pan Saing(VT)</t>
  </si>
  <si>
    <t xml:space="preserve">            Nga Lel Khon(VT)</t>
  </si>
  <si>
    <t xml:space="preserve">            Hnget Pyar Kyin(VT)</t>
  </si>
  <si>
    <t xml:space="preserve">            Pale(VT)</t>
  </si>
  <si>
    <t xml:space="preserve">            Tint Tu(VT)</t>
  </si>
  <si>
    <t xml:space="preserve">            Gon Bo(W)</t>
  </si>
  <si>
    <t xml:space="preserve">            Lay Yin Kwin(W)</t>
  </si>
  <si>
    <t xml:space="preserve">            Tay(VT)</t>
  </si>
  <si>
    <t xml:space="preserve">            Pan San(VT)</t>
  </si>
  <si>
    <t xml:space="preserve">            Nwar Thoe(VT)</t>
  </si>
  <si>
    <t xml:space="preserve">            Mi Ae(VT)</t>
  </si>
  <si>
    <t xml:space="preserve">            Hnaw(VT)</t>
  </si>
  <si>
    <t xml:space="preserve">            Pein Hne(VT)</t>
  </si>
  <si>
    <t xml:space="preserve">            Ah Nyar Pan Pa Lun(VT)</t>
  </si>
  <si>
    <t xml:space="preserve">            Ta Pyin(VT)</t>
  </si>
  <si>
    <t xml:space="preserve">            Pin Taung(VT)</t>
  </si>
  <si>
    <t xml:space="preserve">            Ah Neint(VT)</t>
  </si>
  <si>
    <t xml:space="preserve">            Kyauk Leik(VT)</t>
  </si>
  <si>
    <t xml:space="preserve">            Man(VT)</t>
  </si>
  <si>
    <t xml:space="preserve">            Kun Khin(VT)</t>
  </si>
  <si>
    <t xml:space="preserve">            Pa Soke(VT)</t>
  </si>
  <si>
    <t xml:space="preserve">            Myauk Ma Kyin(VT)</t>
  </si>
  <si>
    <t xml:space="preserve">            Nga Lun(VT)</t>
  </si>
  <si>
    <t xml:space="preserve">            Taw Kha Lun(VT)</t>
  </si>
  <si>
    <t xml:space="preserve">            Lay(VT)</t>
  </si>
  <si>
    <t xml:space="preserve">            Min Kyi(VT)</t>
  </si>
  <si>
    <t xml:space="preserve">            Yint Ye(VT)</t>
  </si>
  <si>
    <t xml:space="preserve">            Kyan Taw(VT)</t>
  </si>
  <si>
    <t xml:space="preserve">            Taunt Tet(VT)</t>
  </si>
  <si>
    <t>Ward</t>
  </si>
  <si>
    <t>Sr</t>
  </si>
  <si>
    <t>Population</t>
  </si>
  <si>
    <t>29-3-2014</t>
  </si>
  <si>
    <t>Village Tract</t>
  </si>
  <si>
    <t>Ward/Village Tract</t>
  </si>
  <si>
    <t xml:space="preserve">            Forest EA</t>
  </si>
  <si>
    <t>Magway Region,Magway District,Magway Township</t>
  </si>
  <si>
    <t>Magway Region, Magway District, Chauk Township</t>
  </si>
  <si>
    <t>Magway Region, Magway District,Taungwingyi Township</t>
  </si>
  <si>
    <t>Magway Region, Magway District, Myothit Township</t>
  </si>
  <si>
    <t>Magway Region, Magway District, Natmauk Township</t>
  </si>
  <si>
    <t>Magway Region, Minbu District,  Minbu Township</t>
  </si>
  <si>
    <t>Magway Region, Minbu District, Pwint Phyu Township</t>
  </si>
  <si>
    <t>Magway Region, Minbu District,  Ngape Township</t>
  </si>
  <si>
    <t>Magway Region, Minbu District,  Salin  Township</t>
  </si>
  <si>
    <t>Magway Region, Minbu District, Saytottara Township</t>
  </si>
  <si>
    <t>List of Township</t>
  </si>
  <si>
    <t>Magway Region,Thayet District, Thayet Township</t>
  </si>
  <si>
    <t>Magway Region,Thayet District, Minhla Township</t>
  </si>
  <si>
    <t>Magway Region, Magway District, Yenangyoung Township</t>
  </si>
  <si>
    <t>Magway Region,Thayet District, Mindon Township</t>
  </si>
  <si>
    <t>Magway Region,Thayet District, Kamma Township</t>
  </si>
  <si>
    <t>Magway Region,Thayet District, Aunglan Township</t>
  </si>
  <si>
    <t>Magway Region,Thayet District, Sinpaungwe` Township</t>
  </si>
  <si>
    <t>Magway Region, Pakokku District, Pakokku Township</t>
  </si>
  <si>
    <t>Magway Region, Pakokku District, Yesagyo Township</t>
  </si>
  <si>
    <t>Magway Region, Pakokku District, Myaing Township</t>
  </si>
  <si>
    <t>Magway Region, Pakokku District, Pauk Township</t>
  </si>
  <si>
    <t>Magway Region, Pakokku District, Seikphyu Township</t>
  </si>
  <si>
    <t>Magway Region, Gangaw District, Gangaw Township</t>
  </si>
  <si>
    <t>Magway Region, Gangaw District, Htilin Township</t>
  </si>
  <si>
    <t>Magway Region, Gangaw District, Saw Township</t>
  </si>
  <si>
    <t>Magway Region, Gangaw District, Kyaukhtu(Sub-Township)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</si>
</sst>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41">
    <xf numFmtId="0" fontId="0" fillId="0" borderId="0" xfId="0"/>
    <xf numFmtId="0" fontId="3" fillId="0" borderId="7" xfId="0" applyFont="1" applyBorder="1" applyAlignment="1">
      <alignment horizontal="center"/>
    </xf>
    <xf numFmtId="0" fontId="2" fillId="0" borderId="2" xfId="0" applyFont="1" applyBorder="1"/>
    <xf numFmtId="0" fontId="3" fillId="0" borderId="2" xfId="0" applyFont="1" applyBorder="1"/>
    <xf numFmtId="0" fontId="2" fillId="0" borderId="3" xfId="0" applyFont="1" applyBorder="1"/>
    <xf numFmtId="0" fontId="3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2" fillId="0" borderId="5" xfId="0" applyFont="1" applyBorder="1"/>
    <xf numFmtId="0" fontId="3" fillId="0" borderId="5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8" xfId="0" applyBorder="1"/>
    <xf numFmtId="0" fontId="0" fillId="0" borderId="0" xfId="0" applyBorder="1"/>
    <xf numFmtId="0" fontId="2" fillId="0" borderId="0" xfId="0" applyFont="1"/>
    <xf numFmtId="0" fontId="0" fillId="0" borderId="0" xfId="0" applyFont="1"/>
    <xf numFmtId="0" fontId="2" fillId="0" borderId="3" xfId="0" applyFont="1" applyFill="1" applyBorder="1"/>
    <xf numFmtId="0" fontId="2" fillId="0" borderId="4" xfId="0" applyFont="1" applyFill="1" applyBorder="1"/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/>
    </xf>
    <xf numFmtId="0" fontId="2" fillId="0" borderId="8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2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0" xfId="2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5" fillId="0" borderId="0" xfId="2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5" fillId="0" borderId="0" xfId="2" applyFont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B27"/>
  <sheetViews>
    <sheetView tabSelected="1" workbookViewId="0">
      <selection sqref="A1:B1"/>
    </sheetView>
  </sheetViews>
  <sheetFormatPr defaultRowHeight="15" x14ac:dyDescent="0.25"/>
  <cols>
    <col min="1" max="1" width="9.140625" style="26"/>
    <col min="2" max="2" width="59.7109375" style="26" customWidth="1"/>
    <col min="3" max="16384" width="9.140625" style="26"/>
  </cols>
  <sheetData>
    <row r="1" spans="1:2" ht="18.75" x14ac:dyDescent="0.25">
      <c r="A1" s="39" t="s">
        <v>1477</v>
      </c>
      <c r="B1" s="39"/>
    </row>
    <row r="2" spans="1:2" x14ac:dyDescent="0.25">
      <c r="A2" s="27">
        <v>1</v>
      </c>
      <c r="B2" s="25" t="str">
        <f>' Magway'!A1</f>
        <v>Magway Region,Magway District,Magway Township</v>
      </c>
    </row>
    <row r="3" spans="1:2" x14ac:dyDescent="0.25">
      <c r="A3" s="27">
        <v>2</v>
      </c>
      <c r="B3" s="25" t="str">
        <f>Yenangyoung!A1</f>
        <v>Magway Region, Magway District, Yenangyoung Township</v>
      </c>
    </row>
    <row r="4" spans="1:2" x14ac:dyDescent="0.25">
      <c r="A4" s="27">
        <v>3</v>
      </c>
      <c r="B4" s="25" t="str">
        <f>Chauk!A1</f>
        <v>Magway Region, Magway District, Chauk Township</v>
      </c>
    </row>
    <row r="5" spans="1:2" x14ac:dyDescent="0.25">
      <c r="A5" s="27">
        <v>4</v>
      </c>
      <c r="B5" s="25" t="str">
        <f>' Taungdwingyi'!A1</f>
        <v>Magway Region, Magway District,Taungwingyi Township</v>
      </c>
    </row>
    <row r="6" spans="1:2" x14ac:dyDescent="0.25">
      <c r="A6" s="27">
        <v>5</v>
      </c>
      <c r="B6" s="25" t="str">
        <f>' Myothit'!A1</f>
        <v>Magway Region, Magway District, Myothit Township</v>
      </c>
    </row>
    <row r="7" spans="1:2" x14ac:dyDescent="0.25">
      <c r="A7" s="27">
        <v>6</v>
      </c>
      <c r="B7" s="25" t="str">
        <f>Natmauk!A1</f>
        <v>Magway Region, Magway District, Natmauk Township</v>
      </c>
    </row>
    <row r="8" spans="1:2" x14ac:dyDescent="0.25">
      <c r="A8" s="27">
        <v>7</v>
      </c>
      <c r="B8" s="25" t="str">
        <f>Minbu!A1</f>
        <v>Magway Region, Minbu District,  Minbu Township</v>
      </c>
    </row>
    <row r="9" spans="1:2" x14ac:dyDescent="0.25">
      <c r="A9" s="27">
        <v>8</v>
      </c>
      <c r="B9" s="25" t="str">
        <f>' Pwint Phyu'!A1</f>
        <v>Magway Region, Minbu District, Pwint Phyu Township</v>
      </c>
    </row>
    <row r="10" spans="1:2" x14ac:dyDescent="0.25">
      <c r="A10" s="27">
        <v>9</v>
      </c>
      <c r="B10" s="25" t="str">
        <f>' Ngape'!A1</f>
        <v>Magway Region, Minbu District,  Ngape Township</v>
      </c>
    </row>
    <row r="11" spans="1:2" x14ac:dyDescent="0.25">
      <c r="A11" s="27">
        <v>10</v>
      </c>
      <c r="B11" s="25" t="str">
        <f>Salin!A1</f>
        <v>Magway Region, Minbu District,  Salin  Township</v>
      </c>
    </row>
    <row r="12" spans="1:2" x14ac:dyDescent="0.25">
      <c r="A12" s="27">
        <v>11</v>
      </c>
      <c r="B12" s="25" t="str">
        <f>Saytottara!A1</f>
        <v>Magway Region, Minbu District, Saytottara Township</v>
      </c>
    </row>
    <row r="13" spans="1:2" x14ac:dyDescent="0.25">
      <c r="A13" s="27">
        <v>12</v>
      </c>
      <c r="B13" s="25" t="str">
        <f>Thayet!A1</f>
        <v>Magway Region,Thayet District, Thayet Township</v>
      </c>
    </row>
    <row r="14" spans="1:2" x14ac:dyDescent="0.25">
      <c r="A14" s="27">
        <v>13</v>
      </c>
      <c r="B14" s="25" t="str">
        <f>Minhla!A1</f>
        <v>Magway Region,Thayet District, Minhla Township</v>
      </c>
    </row>
    <row r="15" spans="1:2" x14ac:dyDescent="0.25">
      <c r="A15" s="27">
        <v>14</v>
      </c>
      <c r="B15" s="25" t="str">
        <f>Mindon!A1</f>
        <v>Magway Region,Thayet District, Mindon Township</v>
      </c>
    </row>
    <row r="16" spans="1:2" x14ac:dyDescent="0.25">
      <c r="A16" s="27">
        <v>15</v>
      </c>
      <c r="B16" s="25" t="str">
        <f>Kamma!A1</f>
        <v>Magway Region,Thayet District, Kamma Township</v>
      </c>
    </row>
    <row r="17" spans="1:2" x14ac:dyDescent="0.25">
      <c r="A17" s="27">
        <v>16</v>
      </c>
      <c r="B17" s="25" t="str">
        <f>Aunglan!A1</f>
        <v>Magway Region,Thayet District, Aunglan Township</v>
      </c>
    </row>
    <row r="18" spans="1:2" x14ac:dyDescent="0.25">
      <c r="A18" s="27">
        <v>17</v>
      </c>
      <c r="B18" s="25" t="str">
        <f>'Sinpaungwe`'!A1</f>
        <v>Magway Region,Thayet District, Sinpaungwe` Township</v>
      </c>
    </row>
    <row r="19" spans="1:2" x14ac:dyDescent="0.25">
      <c r="A19" s="27">
        <v>18</v>
      </c>
      <c r="B19" s="25" t="str">
        <f>Pakokku!A1</f>
        <v>Magway Region, Pakokku District, Pakokku Township</v>
      </c>
    </row>
    <row r="20" spans="1:2" x14ac:dyDescent="0.25">
      <c r="A20" s="27">
        <v>19</v>
      </c>
      <c r="B20" s="25" t="str">
        <f>Yesagyo!A1</f>
        <v>Magway Region, Pakokku District, Yesagyo Township</v>
      </c>
    </row>
    <row r="21" spans="1:2" x14ac:dyDescent="0.25">
      <c r="A21" s="27">
        <v>20</v>
      </c>
      <c r="B21" s="25" t="str">
        <f>Myaing!A1</f>
        <v>Magway Region, Pakokku District, Myaing Township</v>
      </c>
    </row>
    <row r="22" spans="1:2" x14ac:dyDescent="0.25">
      <c r="A22" s="27">
        <v>21</v>
      </c>
      <c r="B22" s="25" t="str">
        <f>Pauk!A1</f>
        <v>Magway Region, Pakokku District, Pauk Township</v>
      </c>
    </row>
    <row r="23" spans="1:2" x14ac:dyDescent="0.25">
      <c r="A23" s="27">
        <v>22</v>
      </c>
      <c r="B23" s="25" t="str">
        <f>Seikphyu!A1</f>
        <v>Magway Region, Pakokku District, Seikphyu Township</v>
      </c>
    </row>
    <row r="24" spans="1:2" x14ac:dyDescent="0.25">
      <c r="A24" s="27">
        <v>23</v>
      </c>
      <c r="B24" s="25" t="str">
        <f>Gangaw!A1</f>
        <v>Magway Region, Gangaw District, Gangaw Township</v>
      </c>
    </row>
    <row r="25" spans="1:2" x14ac:dyDescent="0.25">
      <c r="A25" s="27">
        <v>24</v>
      </c>
      <c r="B25" s="25" t="str">
        <f>Htilin!A1</f>
        <v>Magway Region, Gangaw District, Htilin Township</v>
      </c>
    </row>
    <row r="26" spans="1:2" x14ac:dyDescent="0.25">
      <c r="A26" s="27">
        <v>25</v>
      </c>
      <c r="B26" s="25" t="str">
        <f>Saw!A1</f>
        <v>Magway Region, Gangaw District, Saw Township</v>
      </c>
    </row>
    <row r="27" spans="1:2" x14ac:dyDescent="0.25">
      <c r="A27" s="27">
        <v>26</v>
      </c>
      <c r="B27" s="25" t="str">
        <f>'Kyaukhtu(Sub-Tsp)'!A1</f>
        <v>Magway Region, Gangaw District, Kyaukhtu(Sub-Township)</v>
      </c>
    </row>
  </sheetData>
  <mergeCells count="1">
    <mergeCell ref="A1:B1"/>
  </mergeCells>
  <hyperlinks>
    <hyperlink ref="B2" location="' Magway'!A1" display="' Magway'!A1"/>
    <hyperlink ref="B3" location="Yenangyoung!A1" display="Yenangyoung!A1"/>
    <hyperlink ref="B4" location="Chauk!A1" display="Chauk!A1"/>
    <hyperlink ref="B5" location="' Taungdwingyi'!A1" display="' Taungdwingyi'!A1"/>
    <hyperlink ref="B6" location="' Myothit'!A1" display="' Myothit'!A1"/>
    <hyperlink ref="B7" location="Natmauk!A1" display="Natmauk!A1"/>
    <hyperlink ref="B8" location="Minbu!A1" display="Minbu!A1"/>
    <hyperlink ref="B9" location="' Pwint Phyu'!A1" display="' Pwint Phyu'!A1"/>
    <hyperlink ref="B10" location="' Ngape'!A1" display="' Ngape'!A1"/>
    <hyperlink ref="B11" location="Salin!A1" display="Salin!A1"/>
    <hyperlink ref="B12" location="Saytottara!A1" display="Saytottara!A1"/>
    <hyperlink ref="B13" location="Thayet!A1" display="Thayet!A1"/>
    <hyperlink ref="B14" location="Minhla!A1" display="Minhla!A1"/>
    <hyperlink ref="B15" location="Mindon!A1" display="Mindon!A1"/>
    <hyperlink ref="B16" location="Kamma!A1" display="Kamma!A1"/>
    <hyperlink ref="B17" location="Aunglan!A1" display="Aunglan!A1"/>
    <hyperlink ref="B18" location="'Sinpaungwe`'!A1" display="'Sinpaungwe`'!A1"/>
    <hyperlink ref="B19" location="Pakokku!A1" display="Pakokku!A1"/>
    <hyperlink ref="B20" location="Yesagyo!A1" display="Yesagyo!A1"/>
    <hyperlink ref="B21" location="Myaing!A1" display="Myaing!A1"/>
    <hyperlink ref="B22" location="Pauk!A1" display="Pauk!A1"/>
    <hyperlink ref="B23" location="Seikphyu!A1" display="Seikphyu!A1"/>
    <hyperlink ref="B24" location="Gangaw!A1" display="Gangaw!A1"/>
    <hyperlink ref="B25" location="Htilin!A1" display="Htilin!A1"/>
    <hyperlink ref="B26" location="Saw!A1" display="Saw!A1"/>
    <hyperlink ref="B27" location="'Kyaukhtu(Sub-Tsp)'!A1" display="'Kyaukhtu(Sub-Tsp)'!A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Views>
    <sheetView workbookViewId="0">
      <selection sqref="A1:E1"/>
    </sheetView>
  </sheetViews>
  <sheetFormatPr defaultRowHeight="15" x14ac:dyDescent="0.25"/>
  <cols>
    <col min="1" max="1" width="7.42578125" customWidth="1"/>
    <col min="2" max="2" width="29.42578125" customWidth="1"/>
    <col min="3" max="5" width="15.7109375" customWidth="1"/>
  </cols>
  <sheetData>
    <row r="1" spans="1:5" s="38" customFormat="1" ht="18.75" x14ac:dyDescent="0.3">
      <c r="A1" s="37" t="s">
        <v>1467</v>
      </c>
      <c r="B1" s="37"/>
      <c r="C1" s="37"/>
      <c r="D1" s="37"/>
      <c r="E1" s="37"/>
    </row>
    <row r="2" spans="1:5" ht="15.75" x14ac:dyDescent="0.25">
      <c r="E2" s="8" t="s">
        <v>1463</v>
      </c>
    </row>
    <row r="4" spans="1:5" ht="15.75" x14ac:dyDescent="0.25">
      <c r="A4" s="28" t="s">
        <v>1461</v>
      </c>
      <c r="B4" s="28" t="s">
        <v>1465</v>
      </c>
      <c r="C4" s="30" t="s">
        <v>1462</v>
      </c>
      <c r="D4" s="30"/>
      <c r="E4" s="30"/>
    </row>
    <row r="5" spans="1:5" ht="15.75" x14ac:dyDescent="0.25">
      <c r="A5" s="29"/>
      <c r="B5" s="29"/>
      <c r="C5" s="1" t="s">
        <v>0</v>
      </c>
      <c r="D5" s="1" t="s">
        <v>1</v>
      </c>
      <c r="E5" s="1" t="s">
        <v>2</v>
      </c>
    </row>
    <row r="6" spans="1:5" ht="15.75" x14ac:dyDescent="0.25">
      <c r="A6" s="2"/>
      <c r="B6" s="3" t="s">
        <v>0</v>
      </c>
      <c r="C6" s="3">
        <f>C8+C24</f>
        <v>289247</v>
      </c>
      <c r="D6" s="3">
        <f t="shared" ref="D6:E6" si="0">D8+D24</f>
        <v>135103</v>
      </c>
      <c r="E6" s="3">
        <f t="shared" si="0"/>
        <v>154144</v>
      </c>
    </row>
    <row r="7" spans="1:5" ht="12" customHeight="1" x14ac:dyDescent="0.25">
      <c r="A7" s="4"/>
      <c r="B7" s="5"/>
      <c r="C7" s="5"/>
      <c r="D7" s="5"/>
      <c r="E7" s="5"/>
    </row>
    <row r="8" spans="1:5" ht="15.75" x14ac:dyDescent="0.25">
      <c r="A8" s="4"/>
      <c r="B8" s="5" t="s">
        <v>1460</v>
      </c>
      <c r="C8" s="5">
        <f>SUM(C9:C23)</f>
        <v>94038</v>
      </c>
      <c r="D8" s="5">
        <f>SUM(D9:D23)</f>
        <v>43890</v>
      </c>
      <c r="E8" s="5">
        <f>SUM(E9:E23)</f>
        <v>50148</v>
      </c>
    </row>
    <row r="9" spans="1:5" ht="15.75" x14ac:dyDescent="0.25">
      <c r="A9" s="4">
        <v>1</v>
      </c>
      <c r="B9" s="4" t="s">
        <v>3</v>
      </c>
      <c r="C9" s="4">
        <v>4688</v>
      </c>
      <c r="D9" s="4">
        <v>2158</v>
      </c>
      <c r="E9" s="4">
        <v>2530</v>
      </c>
    </row>
    <row r="10" spans="1:5" ht="15.75" x14ac:dyDescent="0.25">
      <c r="A10" s="4">
        <v>2</v>
      </c>
      <c r="B10" s="4" t="s">
        <v>4</v>
      </c>
      <c r="C10" s="4">
        <v>1408</v>
      </c>
      <c r="D10" s="4">
        <v>623</v>
      </c>
      <c r="E10" s="4">
        <v>785</v>
      </c>
    </row>
    <row r="11" spans="1:5" ht="15.75" x14ac:dyDescent="0.25">
      <c r="A11" s="4">
        <v>3</v>
      </c>
      <c r="B11" s="4" t="s">
        <v>5</v>
      </c>
      <c r="C11" s="4">
        <v>1643</v>
      </c>
      <c r="D11" s="4">
        <v>802</v>
      </c>
      <c r="E11" s="4">
        <v>841</v>
      </c>
    </row>
    <row r="12" spans="1:5" ht="15.75" x14ac:dyDescent="0.25">
      <c r="A12" s="4">
        <v>4</v>
      </c>
      <c r="B12" s="4" t="s">
        <v>6</v>
      </c>
      <c r="C12" s="4">
        <v>1406</v>
      </c>
      <c r="D12" s="4">
        <v>644</v>
      </c>
      <c r="E12" s="4">
        <v>762</v>
      </c>
    </row>
    <row r="13" spans="1:5" ht="15.75" x14ac:dyDescent="0.25">
      <c r="A13" s="4">
        <v>5</v>
      </c>
      <c r="B13" s="4" t="s">
        <v>7</v>
      </c>
      <c r="C13" s="4">
        <v>5953</v>
      </c>
      <c r="D13" s="4">
        <v>2746</v>
      </c>
      <c r="E13" s="4">
        <v>3207</v>
      </c>
    </row>
    <row r="14" spans="1:5" ht="15.75" x14ac:dyDescent="0.25">
      <c r="A14" s="4">
        <v>6</v>
      </c>
      <c r="B14" s="4" t="s">
        <v>8</v>
      </c>
      <c r="C14" s="4">
        <v>6219</v>
      </c>
      <c r="D14" s="4">
        <v>3047</v>
      </c>
      <c r="E14" s="4">
        <v>3172</v>
      </c>
    </row>
    <row r="15" spans="1:5" ht="15.75" x14ac:dyDescent="0.25">
      <c r="A15" s="4">
        <v>7</v>
      </c>
      <c r="B15" s="4" t="s">
        <v>9</v>
      </c>
      <c r="C15" s="4">
        <v>9560</v>
      </c>
      <c r="D15" s="4">
        <v>4501</v>
      </c>
      <c r="E15" s="4">
        <v>5059</v>
      </c>
    </row>
    <row r="16" spans="1:5" ht="15.75" x14ac:dyDescent="0.25">
      <c r="A16" s="4">
        <v>8</v>
      </c>
      <c r="B16" s="4" t="s">
        <v>10</v>
      </c>
      <c r="C16" s="4">
        <v>5602</v>
      </c>
      <c r="D16" s="4">
        <v>2358</v>
      </c>
      <c r="E16" s="4">
        <v>3244</v>
      </c>
    </row>
    <row r="17" spans="1:5" ht="15.75" x14ac:dyDescent="0.25">
      <c r="A17" s="4">
        <v>9</v>
      </c>
      <c r="B17" s="4" t="s">
        <v>11</v>
      </c>
      <c r="C17" s="4">
        <v>10419</v>
      </c>
      <c r="D17" s="4">
        <v>4743</v>
      </c>
      <c r="E17" s="4">
        <v>5676</v>
      </c>
    </row>
    <row r="18" spans="1:5" ht="15.75" x14ac:dyDescent="0.25">
      <c r="A18" s="4">
        <v>10</v>
      </c>
      <c r="B18" s="4" t="s">
        <v>12</v>
      </c>
      <c r="C18" s="4">
        <v>7409</v>
      </c>
      <c r="D18" s="4">
        <v>3405</v>
      </c>
      <c r="E18" s="4">
        <v>4004</v>
      </c>
    </row>
    <row r="19" spans="1:5" ht="15.75" x14ac:dyDescent="0.25">
      <c r="A19" s="4">
        <v>11</v>
      </c>
      <c r="B19" s="4" t="s">
        <v>13</v>
      </c>
      <c r="C19" s="4">
        <v>6332</v>
      </c>
      <c r="D19" s="4">
        <v>2942</v>
      </c>
      <c r="E19" s="4">
        <v>3390</v>
      </c>
    </row>
    <row r="20" spans="1:5" ht="15.75" x14ac:dyDescent="0.25">
      <c r="A20" s="4">
        <v>12</v>
      </c>
      <c r="B20" s="4" t="s">
        <v>14</v>
      </c>
      <c r="C20" s="4">
        <v>8036</v>
      </c>
      <c r="D20" s="4">
        <v>3949</v>
      </c>
      <c r="E20" s="4">
        <v>4087</v>
      </c>
    </row>
    <row r="21" spans="1:5" ht="15.75" x14ac:dyDescent="0.25">
      <c r="A21" s="4">
        <v>13</v>
      </c>
      <c r="B21" s="4" t="s">
        <v>15</v>
      </c>
      <c r="C21" s="4">
        <v>6280</v>
      </c>
      <c r="D21" s="4">
        <v>2879</v>
      </c>
      <c r="E21" s="4">
        <v>3401</v>
      </c>
    </row>
    <row r="22" spans="1:5" ht="15.75" x14ac:dyDescent="0.25">
      <c r="A22" s="4">
        <v>14</v>
      </c>
      <c r="B22" s="4" t="s">
        <v>16</v>
      </c>
      <c r="C22" s="4">
        <v>8290</v>
      </c>
      <c r="D22" s="4">
        <v>3930</v>
      </c>
      <c r="E22" s="4">
        <v>4360</v>
      </c>
    </row>
    <row r="23" spans="1:5" ht="15.75" x14ac:dyDescent="0.25">
      <c r="A23" s="4">
        <v>15</v>
      </c>
      <c r="B23" s="4" t="s">
        <v>17</v>
      </c>
      <c r="C23" s="4">
        <v>10793</v>
      </c>
      <c r="D23" s="4">
        <v>5163</v>
      </c>
      <c r="E23" s="4">
        <v>5630</v>
      </c>
    </row>
    <row r="24" spans="1:5" ht="15.75" x14ac:dyDescent="0.25">
      <c r="A24" s="4"/>
      <c r="B24" s="5" t="s">
        <v>1464</v>
      </c>
      <c r="C24" s="5">
        <f>SUM(C25:C85)</f>
        <v>195209</v>
      </c>
      <c r="D24" s="5">
        <f t="shared" ref="D24:E24" si="1">SUM(D25:D85)</f>
        <v>91213</v>
      </c>
      <c r="E24" s="5">
        <f t="shared" si="1"/>
        <v>103996</v>
      </c>
    </row>
    <row r="25" spans="1:5" ht="15.75" x14ac:dyDescent="0.25">
      <c r="A25" s="4">
        <v>1</v>
      </c>
      <c r="B25" s="4" t="s">
        <v>18</v>
      </c>
      <c r="C25" s="4">
        <v>3342</v>
      </c>
      <c r="D25" s="4">
        <v>1553</v>
      </c>
      <c r="E25" s="4">
        <v>1789</v>
      </c>
    </row>
    <row r="26" spans="1:5" ht="15.75" x14ac:dyDescent="0.25">
      <c r="A26" s="4">
        <v>2</v>
      </c>
      <c r="B26" s="4" t="s">
        <v>19</v>
      </c>
      <c r="C26" s="4">
        <v>5146</v>
      </c>
      <c r="D26" s="4">
        <v>2504</v>
      </c>
      <c r="E26" s="4">
        <v>2642</v>
      </c>
    </row>
    <row r="27" spans="1:5" ht="15.75" x14ac:dyDescent="0.25">
      <c r="A27" s="4">
        <v>3</v>
      </c>
      <c r="B27" s="4" t="s">
        <v>20</v>
      </c>
      <c r="C27" s="4">
        <v>4994</v>
      </c>
      <c r="D27" s="4">
        <v>2339</v>
      </c>
      <c r="E27" s="4">
        <v>2655</v>
      </c>
    </row>
    <row r="28" spans="1:5" ht="15.75" x14ac:dyDescent="0.25">
      <c r="A28" s="4">
        <v>4</v>
      </c>
      <c r="B28" s="4" t="s">
        <v>21</v>
      </c>
      <c r="C28" s="4">
        <v>1777</v>
      </c>
      <c r="D28" s="4">
        <v>811</v>
      </c>
      <c r="E28" s="4">
        <v>966</v>
      </c>
    </row>
    <row r="29" spans="1:5" ht="15.75" x14ac:dyDescent="0.25">
      <c r="A29" s="4">
        <v>5</v>
      </c>
      <c r="B29" s="4" t="s">
        <v>22</v>
      </c>
      <c r="C29" s="4">
        <v>3305</v>
      </c>
      <c r="D29" s="4">
        <v>1483</v>
      </c>
      <c r="E29" s="4">
        <v>1822</v>
      </c>
    </row>
    <row r="30" spans="1:5" ht="15.75" x14ac:dyDescent="0.25">
      <c r="A30" s="4">
        <v>6</v>
      </c>
      <c r="B30" s="4" t="s">
        <v>23</v>
      </c>
      <c r="C30" s="4">
        <v>4361</v>
      </c>
      <c r="D30" s="4">
        <v>1973</v>
      </c>
      <c r="E30" s="4">
        <v>2388</v>
      </c>
    </row>
    <row r="31" spans="1:5" ht="15.75" x14ac:dyDescent="0.25">
      <c r="A31" s="4">
        <v>7</v>
      </c>
      <c r="B31" s="4" t="s">
        <v>24</v>
      </c>
      <c r="C31" s="4">
        <v>4763</v>
      </c>
      <c r="D31" s="4">
        <v>2214</v>
      </c>
      <c r="E31" s="4">
        <v>2549</v>
      </c>
    </row>
    <row r="32" spans="1:5" ht="15.75" x14ac:dyDescent="0.25">
      <c r="A32" s="4">
        <v>8</v>
      </c>
      <c r="B32" s="4" t="s">
        <v>25</v>
      </c>
      <c r="C32" s="4">
        <v>2254</v>
      </c>
      <c r="D32" s="4">
        <v>1010</v>
      </c>
      <c r="E32" s="4">
        <v>1244</v>
      </c>
    </row>
    <row r="33" spans="1:5" ht="15.75" x14ac:dyDescent="0.25">
      <c r="A33" s="4">
        <v>9</v>
      </c>
      <c r="B33" s="4" t="s">
        <v>26</v>
      </c>
      <c r="C33" s="4">
        <v>2281</v>
      </c>
      <c r="D33" s="4">
        <v>1087</v>
      </c>
      <c r="E33" s="4">
        <v>1194</v>
      </c>
    </row>
    <row r="34" spans="1:5" ht="15.75" x14ac:dyDescent="0.25">
      <c r="A34" s="4">
        <v>10</v>
      </c>
      <c r="B34" s="4" t="s">
        <v>27</v>
      </c>
      <c r="C34" s="4">
        <v>2080</v>
      </c>
      <c r="D34" s="4">
        <v>964</v>
      </c>
      <c r="E34" s="4">
        <v>1116</v>
      </c>
    </row>
    <row r="35" spans="1:5" ht="15.75" x14ac:dyDescent="0.25">
      <c r="A35" s="4">
        <v>11</v>
      </c>
      <c r="B35" s="4" t="s">
        <v>28</v>
      </c>
      <c r="C35" s="4">
        <v>1518</v>
      </c>
      <c r="D35" s="4">
        <v>717</v>
      </c>
      <c r="E35" s="4">
        <v>801</v>
      </c>
    </row>
    <row r="36" spans="1:5" ht="15.75" x14ac:dyDescent="0.25">
      <c r="A36" s="4">
        <v>12</v>
      </c>
      <c r="B36" s="4" t="s">
        <v>29</v>
      </c>
      <c r="C36" s="4">
        <v>4279</v>
      </c>
      <c r="D36" s="4">
        <v>2061</v>
      </c>
      <c r="E36" s="4">
        <v>2218</v>
      </c>
    </row>
    <row r="37" spans="1:5" ht="15.75" x14ac:dyDescent="0.25">
      <c r="A37" s="4">
        <v>13</v>
      </c>
      <c r="B37" s="4" t="s">
        <v>30</v>
      </c>
      <c r="C37" s="4">
        <v>2378</v>
      </c>
      <c r="D37" s="4">
        <v>1134</v>
      </c>
      <c r="E37" s="4">
        <v>1244</v>
      </c>
    </row>
    <row r="38" spans="1:5" ht="15.75" x14ac:dyDescent="0.25">
      <c r="A38" s="4">
        <v>14</v>
      </c>
      <c r="B38" s="4" t="s">
        <v>31</v>
      </c>
      <c r="C38" s="4">
        <v>794</v>
      </c>
      <c r="D38" s="4">
        <v>388</v>
      </c>
      <c r="E38" s="4">
        <v>406</v>
      </c>
    </row>
    <row r="39" spans="1:5" ht="15.75" x14ac:dyDescent="0.25">
      <c r="A39" s="4">
        <v>15</v>
      </c>
      <c r="B39" s="4" t="s">
        <v>32</v>
      </c>
      <c r="C39" s="4">
        <v>1787</v>
      </c>
      <c r="D39" s="4">
        <v>812</v>
      </c>
      <c r="E39" s="4">
        <v>975</v>
      </c>
    </row>
    <row r="40" spans="1:5" ht="15.75" x14ac:dyDescent="0.25">
      <c r="A40" s="4">
        <v>16</v>
      </c>
      <c r="B40" s="4" t="s">
        <v>33</v>
      </c>
      <c r="C40" s="4">
        <v>3797</v>
      </c>
      <c r="D40" s="4">
        <v>1729</v>
      </c>
      <c r="E40" s="4">
        <v>2068</v>
      </c>
    </row>
    <row r="41" spans="1:5" ht="15.75" x14ac:dyDescent="0.25">
      <c r="A41" s="4">
        <v>17</v>
      </c>
      <c r="B41" s="4" t="s">
        <v>34</v>
      </c>
      <c r="C41" s="4">
        <v>3027</v>
      </c>
      <c r="D41" s="4">
        <v>1329</v>
      </c>
      <c r="E41" s="4">
        <v>1698</v>
      </c>
    </row>
    <row r="42" spans="1:5" ht="15.75" x14ac:dyDescent="0.25">
      <c r="A42" s="4">
        <v>18</v>
      </c>
      <c r="B42" s="4" t="s">
        <v>35</v>
      </c>
      <c r="C42" s="4">
        <v>3075</v>
      </c>
      <c r="D42" s="4">
        <v>1452</v>
      </c>
      <c r="E42" s="4">
        <v>1623</v>
      </c>
    </row>
    <row r="43" spans="1:5" ht="15.75" x14ac:dyDescent="0.25">
      <c r="A43" s="4">
        <v>19</v>
      </c>
      <c r="B43" s="4" t="s">
        <v>36</v>
      </c>
      <c r="C43" s="4">
        <v>4103</v>
      </c>
      <c r="D43" s="4">
        <v>1928</v>
      </c>
      <c r="E43" s="4">
        <v>2175</v>
      </c>
    </row>
    <row r="44" spans="1:5" ht="15.75" x14ac:dyDescent="0.25">
      <c r="A44" s="4">
        <v>20</v>
      </c>
      <c r="B44" s="4" t="s">
        <v>37</v>
      </c>
      <c r="C44" s="4">
        <v>5093</v>
      </c>
      <c r="D44" s="4">
        <v>2369</v>
      </c>
      <c r="E44" s="4">
        <v>2724</v>
      </c>
    </row>
    <row r="45" spans="1:5" ht="15.75" x14ac:dyDescent="0.25">
      <c r="A45" s="4">
        <v>21</v>
      </c>
      <c r="B45" s="4" t="s">
        <v>38</v>
      </c>
      <c r="C45" s="4">
        <v>6706</v>
      </c>
      <c r="D45" s="4">
        <v>3126</v>
      </c>
      <c r="E45" s="4">
        <v>3580</v>
      </c>
    </row>
    <row r="46" spans="1:5" ht="15.75" x14ac:dyDescent="0.25">
      <c r="A46" s="4">
        <v>22</v>
      </c>
      <c r="B46" s="4" t="s">
        <v>39</v>
      </c>
      <c r="C46" s="4">
        <v>2016</v>
      </c>
      <c r="D46" s="4">
        <v>916</v>
      </c>
      <c r="E46" s="4">
        <v>1100</v>
      </c>
    </row>
    <row r="47" spans="1:5" ht="15.75" x14ac:dyDescent="0.25">
      <c r="A47" s="4">
        <v>23</v>
      </c>
      <c r="B47" s="4" t="s">
        <v>40</v>
      </c>
      <c r="C47" s="4">
        <v>845</v>
      </c>
      <c r="D47" s="4">
        <v>366</v>
      </c>
      <c r="E47" s="4">
        <v>479</v>
      </c>
    </row>
    <row r="48" spans="1:5" ht="15.75" x14ac:dyDescent="0.25">
      <c r="A48" s="4">
        <v>24</v>
      </c>
      <c r="B48" s="4" t="s">
        <v>41</v>
      </c>
      <c r="C48" s="4">
        <v>5224</v>
      </c>
      <c r="D48" s="4">
        <v>2418</v>
      </c>
      <c r="E48" s="4">
        <v>2806</v>
      </c>
    </row>
    <row r="49" spans="1:5" ht="15.75" x14ac:dyDescent="0.25">
      <c r="A49" s="4">
        <v>25</v>
      </c>
      <c r="B49" s="4" t="s">
        <v>42</v>
      </c>
      <c r="C49" s="4">
        <v>2549</v>
      </c>
      <c r="D49" s="4">
        <v>1157</v>
      </c>
      <c r="E49" s="4">
        <v>1392</v>
      </c>
    </row>
    <row r="50" spans="1:5" ht="15.75" x14ac:dyDescent="0.25">
      <c r="A50" s="4">
        <v>26</v>
      </c>
      <c r="B50" s="4" t="s">
        <v>43</v>
      </c>
      <c r="C50" s="4">
        <v>11889</v>
      </c>
      <c r="D50" s="4">
        <v>5512</v>
      </c>
      <c r="E50" s="4">
        <v>6377</v>
      </c>
    </row>
    <row r="51" spans="1:5" ht="15.75" x14ac:dyDescent="0.25">
      <c r="A51" s="4">
        <v>27</v>
      </c>
      <c r="B51" s="4" t="s">
        <v>44</v>
      </c>
      <c r="C51" s="4">
        <v>2177</v>
      </c>
      <c r="D51" s="4">
        <v>1010</v>
      </c>
      <c r="E51" s="4">
        <v>1167</v>
      </c>
    </row>
    <row r="52" spans="1:5" ht="15.75" x14ac:dyDescent="0.25">
      <c r="A52" s="4">
        <v>28</v>
      </c>
      <c r="B52" s="4" t="s">
        <v>45</v>
      </c>
      <c r="C52" s="4">
        <v>3765</v>
      </c>
      <c r="D52" s="4">
        <v>1792</v>
      </c>
      <c r="E52" s="4">
        <v>1973</v>
      </c>
    </row>
    <row r="53" spans="1:5" ht="15.75" x14ac:dyDescent="0.25">
      <c r="A53" s="4">
        <v>29</v>
      </c>
      <c r="B53" s="4" t="s">
        <v>46</v>
      </c>
      <c r="C53" s="4">
        <v>2196</v>
      </c>
      <c r="D53" s="4">
        <v>1023</v>
      </c>
      <c r="E53" s="4">
        <v>1173</v>
      </c>
    </row>
    <row r="54" spans="1:5" ht="15.75" x14ac:dyDescent="0.25">
      <c r="A54" s="4">
        <v>30</v>
      </c>
      <c r="B54" s="4" t="s">
        <v>47</v>
      </c>
      <c r="C54" s="4">
        <v>4041</v>
      </c>
      <c r="D54" s="4">
        <v>1888</v>
      </c>
      <c r="E54" s="4">
        <v>2153</v>
      </c>
    </row>
    <row r="55" spans="1:5" ht="15.75" x14ac:dyDescent="0.25">
      <c r="A55" s="4">
        <v>31</v>
      </c>
      <c r="B55" s="4" t="s">
        <v>48</v>
      </c>
      <c r="C55" s="4">
        <v>610</v>
      </c>
      <c r="D55" s="4">
        <v>277</v>
      </c>
      <c r="E55" s="4">
        <v>333</v>
      </c>
    </row>
    <row r="56" spans="1:5" ht="15.75" x14ac:dyDescent="0.25">
      <c r="A56" s="4">
        <v>32</v>
      </c>
      <c r="B56" s="4" t="s">
        <v>49</v>
      </c>
      <c r="C56" s="4">
        <v>3308</v>
      </c>
      <c r="D56" s="4">
        <v>1493</v>
      </c>
      <c r="E56" s="4">
        <v>1815</v>
      </c>
    </row>
    <row r="57" spans="1:5" ht="15.75" x14ac:dyDescent="0.25">
      <c r="A57" s="4">
        <v>33</v>
      </c>
      <c r="B57" s="4" t="s">
        <v>50</v>
      </c>
      <c r="C57" s="4">
        <v>4568</v>
      </c>
      <c r="D57" s="4">
        <v>2183</v>
      </c>
      <c r="E57" s="4">
        <v>2385</v>
      </c>
    </row>
    <row r="58" spans="1:5" ht="15.75" x14ac:dyDescent="0.25">
      <c r="A58" s="4">
        <v>34</v>
      </c>
      <c r="B58" s="4" t="s">
        <v>51</v>
      </c>
      <c r="C58" s="4">
        <v>1582</v>
      </c>
      <c r="D58" s="4">
        <v>734</v>
      </c>
      <c r="E58" s="4">
        <v>848</v>
      </c>
    </row>
    <row r="59" spans="1:5" ht="15.75" x14ac:dyDescent="0.25">
      <c r="A59" s="4">
        <v>35</v>
      </c>
      <c r="B59" s="4" t="s">
        <v>52</v>
      </c>
      <c r="C59" s="4">
        <v>3120</v>
      </c>
      <c r="D59" s="4">
        <v>1483</v>
      </c>
      <c r="E59" s="4">
        <v>1637</v>
      </c>
    </row>
    <row r="60" spans="1:5" ht="15.75" x14ac:dyDescent="0.25">
      <c r="A60" s="4">
        <v>36</v>
      </c>
      <c r="B60" s="4" t="s">
        <v>53</v>
      </c>
      <c r="C60" s="4">
        <v>2027</v>
      </c>
      <c r="D60" s="4">
        <v>974</v>
      </c>
      <c r="E60" s="4">
        <v>1053</v>
      </c>
    </row>
    <row r="61" spans="1:5" ht="15.75" x14ac:dyDescent="0.25">
      <c r="A61" s="4">
        <v>37</v>
      </c>
      <c r="B61" s="4" t="s">
        <v>54</v>
      </c>
      <c r="C61" s="4">
        <v>5458</v>
      </c>
      <c r="D61" s="4">
        <v>2583</v>
      </c>
      <c r="E61" s="4">
        <v>2875</v>
      </c>
    </row>
    <row r="62" spans="1:5" ht="15.75" x14ac:dyDescent="0.25">
      <c r="A62" s="4">
        <v>38</v>
      </c>
      <c r="B62" s="4" t="s">
        <v>55</v>
      </c>
      <c r="C62" s="4">
        <v>2080</v>
      </c>
      <c r="D62" s="4">
        <v>970</v>
      </c>
      <c r="E62" s="4">
        <v>1110</v>
      </c>
    </row>
    <row r="63" spans="1:5" ht="15.75" x14ac:dyDescent="0.25">
      <c r="A63" s="4">
        <v>39</v>
      </c>
      <c r="B63" s="4" t="s">
        <v>56</v>
      </c>
      <c r="C63" s="4">
        <v>3742</v>
      </c>
      <c r="D63" s="4">
        <v>1732</v>
      </c>
      <c r="E63" s="4">
        <v>2010</v>
      </c>
    </row>
    <row r="64" spans="1:5" ht="15.75" x14ac:dyDescent="0.25">
      <c r="A64" s="4">
        <v>40</v>
      </c>
      <c r="B64" s="4" t="s">
        <v>57</v>
      </c>
      <c r="C64" s="4">
        <v>6921</v>
      </c>
      <c r="D64" s="4">
        <v>3334</v>
      </c>
      <c r="E64" s="4">
        <v>3587</v>
      </c>
    </row>
    <row r="65" spans="1:5" ht="15.75" x14ac:dyDescent="0.25">
      <c r="A65" s="4">
        <v>41</v>
      </c>
      <c r="B65" s="4" t="s">
        <v>58</v>
      </c>
      <c r="C65" s="4">
        <v>3023</v>
      </c>
      <c r="D65" s="4">
        <v>1434</v>
      </c>
      <c r="E65" s="4">
        <v>1589</v>
      </c>
    </row>
    <row r="66" spans="1:5" ht="15.75" x14ac:dyDescent="0.25">
      <c r="A66" s="4">
        <v>42</v>
      </c>
      <c r="B66" s="4" t="s">
        <v>59</v>
      </c>
      <c r="C66" s="4">
        <v>2113</v>
      </c>
      <c r="D66" s="4">
        <v>987</v>
      </c>
      <c r="E66" s="4">
        <v>1126</v>
      </c>
    </row>
    <row r="67" spans="1:5" ht="15.75" x14ac:dyDescent="0.25">
      <c r="A67" s="4">
        <v>43</v>
      </c>
      <c r="B67" s="4" t="s">
        <v>60</v>
      </c>
      <c r="C67" s="4">
        <v>2827</v>
      </c>
      <c r="D67" s="4">
        <v>1374</v>
      </c>
      <c r="E67" s="4">
        <v>1453</v>
      </c>
    </row>
    <row r="68" spans="1:5" ht="15.75" x14ac:dyDescent="0.25">
      <c r="A68" s="4">
        <v>44</v>
      </c>
      <c r="B68" s="4" t="s">
        <v>61</v>
      </c>
      <c r="C68" s="4">
        <v>1648</v>
      </c>
      <c r="D68" s="4">
        <v>783</v>
      </c>
      <c r="E68" s="4">
        <v>865</v>
      </c>
    </row>
    <row r="69" spans="1:5" ht="15.75" x14ac:dyDescent="0.25">
      <c r="A69" s="4">
        <v>45</v>
      </c>
      <c r="B69" s="4" t="s">
        <v>62</v>
      </c>
      <c r="C69" s="4">
        <v>1882</v>
      </c>
      <c r="D69" s="4">
        <v>869</v>
      </c>
      <c r="E69" s="4">
        <v>1013</v>
      </c>
    </row>
    <row r="70" spans="1:5" ht="15.75" x14ac:dyDescent="0.25">
      <c r="A70" s="4">
        <v>46</v>
      </c>
      <c r="B70" s="4" t="s">
        <v>63</v>
      </c>
      <c r="C70" s="4">
        <v>5508</v>
      </c>
      <c r="D70" s="4">
        <v>2630</v>
      </c>
      <c r="E70" s="4">
        <v>2878</v>
      </c>
    </row>
    <row r="71" spans="1:5" ht="15.75" x14ac:dyDescent="0.25">
      <c r="A71" s="4">
        <v>47</v>
      </c>
      <c r="B71" s="4" t="s">
        <v>64</v>
      </c>
      <c r="C71" s="4">
        <v>2062</v>
      </c>
      <c r="D71" s="4">
        <v>931</v>
      </c>
      <c r="E71" s="4">
        <v>1131</v>
      </c>
    </row>
    <row r="72" spans="1:5" ht="15.75" x14ac:dyDescent="0.25">
      <c r="A72" s="4">
        <v>48</v>
      </c>
      <c r="B72" s="4" t="s">
        <v>65</v>
      </c>
      <c r="C72" s="4">
        <v>2886</v>
      </c>
      <c r="D72" s="4">
        <v>1389</v>
      </c>
      <c r="E72" s="4">
        <v>1497</v>
      </c>
    </row>
    <row r="73" spans="1:5" ht="15.75" x14ac:dyDescent="0.25">
      <c r="A73" s="4">
        <v>49</v>
      </c>
      <c r="B73" s="4" t="s">
        <v>66</v>
      </c>
      <c r="C73" s="4">
        <v>3834</v>
      </c>
      <c r="D73" s="4">
        <v>1833</v>
      </c>
      <c r="E73" s="4">
        <v>2001</v>
      </c>
    </row>
    <row r="74" spans="1:5" ht="15.75" x14ac:dyDescent="0.25">
      <c r="A74" s="4">
        <v>50</v>
      </c>
      <c r="B74" s="4" t="s">
        <v>67</v>
      </c>
      <c r="C74" s="4">
        <v>2238</v>
      </c>
      <c r="D74" s="4">
        <v>1026</v>
      </c>
      <c r="E74" s="4">
        <v>1212</v>
      </c>
    </row>
    <row r="75" spans="1:5" ht="15.75" x14ac:dyDescent="0.25">
      <c r="A75" s="4">
        <v>51</v>
      </c>
      <c r="B75" s="4" t="s">
        <v>68</v>
      </c>
      <c r="C75" s="4">
        <v>1980</v>
      </c>
      <c r="D75" s="4">
        <v>921</v>
      </c>
      <c r="E75" s="4">
        <v>1059</v>
      </c>
    </row>
    <row r="76" spans="1:5" ht="15.75" x14ac:dyDescent="0.25">
      <c r="A76" s="4">
        <v>52</v>
      </c>
      <c r="B76" s="4" t="s">
        <v>69</v>
      </c>
      <c r="C76" s="4">
        <v>3454</v>
      </c>
      <c r="D76" s="4">
        <v>1567</v>
      </c>
      <c r="E76" s="4">
        <v>1887</v>
      </c>
    </row>
    <row r="77" spans="1:5" ht="15.75" x14ac:dyDescent="0.25">
      <c r="A77" s="4">
        <v>53</v>
      </c>
      <c r="B77" s="4" t="s">
        <v>70</v>
      </c>
      <c r="C77" s="4">
        <v>1753</v>
      </c>
      <c r="D77" s="4">
        <v>834</v>
      </c>
      <c r="E77" s="4">
        <v>919</v>
      </c>
    </row>
    <row r="78" spans="1:5" ht="15.75" x14ac:dyDescent="0.25">
      <c r="A78" s="4">
        <v>54</v>
      </c>
      <c r="B78" s="4" t="s">
        <v>71</v>
      </c>
      <c r="C78" s="4">
        <v>1112</v>
      </c>
      <c r="D78" s="4">
        <v>542</v>
      </c>
      <c r="E78" s="4">
        <v>570</v>
      </c>
    </row>
    <row r="79" spans="1:5" ht="15.75" x14ac:dyDescent="0.25">
      <c r="A79" s="4">
        <v>55</v>
      </c>
      <c r="B79" s="4" t="s">
        <v>72</v>
      </c>
      <c r="C79" s="4">
        <v>3764</v>
      </c>
      <c r="D79" s="4">
        <v>1828</v>
      </c>
      <c r="E79" s="4">
        <v>1936</v>
      </c>
    </row>
    <row r="80" spans="1:5" ht="15.75" x14ac:dyDescent="0.25">
      <c r="A80" s="4">
        <v>56</v>
      </c>
      <c r="B80" s="4" t="s">
        <v>73</v>
      </c>
      <c r="C80" s="4">
        <v>2582</v>
      </c>
      <c r="D80" s="4">
        <v>1162</v>
      </c>
      <c r="E80" s="4">
        <v>1420</v>
      </c>
    </row>
    <row r="81" spans="1:5" ht="15.75" x14ac:dyDescent="0.25">
      <c r="A81" s="4">
        <v>57</v>
      </c>
      <c r="B81" s="4" t="s">
        <v>74</v>
      </c>
      <c r="C81" s="4">
        <v>1985</v>
      </c>
      <c r="D81" s="4">
        <v>934</v>
      </c>
      <c r="E81" s="4">
        <v>1051</v>
      </c>
    </row>
    <row r="82" spans="1:5" ht="15.75" x14ac:dyDescent="0.25">
      <c r="A82" s="4">
        <v>58</v>
      </c>
      <c r="B82" s="4" t="s">
        <v>75</v>
      </c>
      <c r="C82" s="4">
        <v>1070</v>
      </c>
      <c r="D82" s="4">
        <v>491</v>
      </c>
      <c r="E82" s="4">
        <v>579</v>
      </c>
    </row>
    <row r="83" spans="1:5" ht="15.75" x14ac:dyDescent="0.25">
      <c r="A83" s="4">
        <v>59</v>
      </c>
      <c r="B83" s="4" t="s">
        <v>76</v>
      </c>
      <c r="C83" s="4">
        <v>1226</v>
      </c>
      <c r="D83" s="4">
        <v>564</v>
      </c>
      <c r="E83" s="4">
        <v>662</v>
      </c>
    </row>
    <row r="84" spans="1:5" ht="15.75" x14ac:dyDescent="0.25">
      <c r="A84" s="4">
        <v>60</v>
      </c>
      <c r="B84" s="4" t="s">
        <v>77</v>
      </c>
      <c r="C84" s="4">
        <v>7295</v>
      </c>
      <c r="D84" s="4">
        <v>3371</v>
      </c>
      <c r="E84" s="4">
        <v>3924</v>
      </c>
    </row>
    <row r="85" spans="1:5" ht="15.75" x14ac:dyDescent="0.25">
      <c r="A85" s="6">
        <v>61</v>
      </c>
      <c r="B85" s="6" t="s">
        <v>78</v>
      </c>
      <c r="C85" s="6">
        <v>1989</v>
      </c>
      <c r="D85" s="6">
        <v>915</v>
      </c>
      <c r="E85" s="6">
        <v>1074</v>
      </c>
    </row>
  </sheetData>
  <mergeCells count="4">
    <mergeCell ref="A4:A5"/>
    <mergeCell ref="B4:B5"/>
    <mergeCell ref="C4:E4"/>
    <mergeCell ref="A1:E1"/>
  </mergeCells>
  <hyperlinks>
    <hyperlink ref="A1:E1" location="'Lest of twonship'!A1" display="        Magway Region,Magway District,Magway Township"/>
  </hyperlinks>
  <pageMargins left="0.75" right="0.5" top="0.5" bottom="0.2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>
      <selection sqref="A1:E1"/>
    </sheetView>
  </sheetViews>
  <sheetFormatPr defaultRowHeight="15" x14ac:dyDescent="0.25"/>
  <cols>
    <col min="1" max="1" width="7.28515625" customWidth="1"/>
    <col min="2" max="2" width="31.28515625" bestFit="1" customWidth="1"/>
    <col min="3" max="5" width="15.7109375" customWidth="1"/>
  </cols>
  <sheetData>
    <row r="1" spans="1:5" ht="18.75" x14ac:dyDescent="0.3">
      <c r="A1" s="37" t="s">
        <v>1480</v>
      </c>
      <c r="B1" s="37"/>
      <c r="C1" s="37"/>
      <c r="D1" s="37"/>
      <c r="E1" s="37"/>
    </row>
    <row r="2" spans="1:5" ht="15.75" x14ac:dyDescent="0.25">
      <c r="E2" s="8" t="s">
        <v>1463</v>
      </c>
    </row>
    <row r="4" spans="1:5" ht="15.75" x14ac:dyDescent="0.25">
      <c r="A4" s="28" t="s">
        <v>1461</v>
      </c>
      <c r="B4" s="28" t="s">
        <v>1465</v>
      </c>
      <c r="C4" s="30" t="s">
        <v>1462</v>
      </c>
      <c r="D4" s="30"/>
      <c r="E4" s="30"/>
    </row>
    <row r="5" spans="1:5" ht="15.75" x14ac:dyDescent="0.25">
      <c r="A5" s="29"/>
      <c r="B5" s="29"/>
      <c r="C5" s="1" t="s">
        <v>0</v>
      </c>
      <c r="D5" s="1" t="s">
        <v>1</v>
      </c>
      <c r="E5" s="1" t="s">
        <v>2</v>
      </c>
    </row>
    <row r="6" spans="1:5" ht="23.25" customHeight="1" x14ac:dyDescent="0.25">
      <c r="A6" s="2"/>
      <c r="B6" s="3" t="s">
        <v>0</v>
      </c>
      <c r="C6" s="3">
        <f>C8+C23</f>
        <v>134227</v>
      </c>
      <c r="D6" s="3">
        <f t="shared" ref="D6:E6" si="0">D8+D23</f>
        <v>60228</v>
      </c>
      <c r="E6" s="3">
        <f t="shared" si="0"/>
        <v>73999</v>
      </c>
    </row>
    <row r="7" spans="1:5" ht="10.5" customHeight="1" x14ac:dyDescent="0.25">
      <c r="A7" s="4"/>
      <c r="B7" s="4"/>
      <c r="C7" s="4"/>
      <c r="D7" s="4"/>
      <c r="E7" s="4"/>
    </row>
    <row r="8" spans="1:5" ht="15.75" customHeight="1" x14ac:dyDescent="0.25">
      <c r="A8" s="4"/>
      <c r="B8" s="5" t="s">
        <v>1460</v>
      </c>
      <c r="C8" s="5">
        <f>SUM(C9:C22)</f>
        <v>45120</v>
      </c>
      <c r="D8" s="5">
        <f t="shared" ref="D8:E8" si="1">SUM(D9:D22)</f>
        <v>20271</v>
      </c>
      <c r="E8" s="5">
        <f t="shared" si="1"/>
        <v>24849</v>
      </c>
    </row>
    <row r="9" spans="1:5" ht="15.75" customHeight="1" x14ac:dyDescent="0.25">
      <c r="A9" s="4">
        <v>1</v>
      </c>
      <c r="B9" s="4" t="s">
        <v>79</v>
      </c>
      <c r="C9" s="4">
        <v>3913</v>
      </c>
      <c r="D9" s="4">
        <v>1753</v>
      </c>
      <c r="E9" s="4">
        <v>2160</v>
      </c>
    </row>
    <row r="10" spans="1:5" ht="15.75" customHeight="1" x14ac:dyDescent="0.25">
      <c r="A10" s="4">
        <v>2</v>
      </c>
      <c r="B10" s="4" t="s">
        <v>80</v>
      </c>
      <c r="C10" s="4">
        <v>2227</v>
      </c>
      <c r="D10" s="4">
        <v>1048</v>
      </c>
      <c r="E10" s="4">
        <v>1179</v>
      </c>
    </row>
    <row r="11" spans="1:5" ht="15.75" customHeight="1" x14ac:dyDescent="0.25">
      <c r="A11" s="4">
        <v>3</v>
      </c>
      <c r="B11" s="4" t="s">
        <v>81</v>
      </c>
      <c r="C11" s="4">
        <v>2802</v>
      </c>
      <c r="D11" s="4">
        <v>1351</v>
      </c>
      <c r="E11" s="4">
        <v>1451</v>
      </c>
    </row>
    <row r="12" spans="1:5" ht="15.75" customHeight="1" x14ac:dyDescent="0.25">
      <c r="A12" s="4">
        <v>4</v>
      </c>
      <c r="B12" s="4" t="s">
        <v>82</v>
      </c>
      <c r="C12" s="4">
        <v>2814</v>
      </c>
      <c r="D12" s="4">
        <v>1267</v>
      </c>
      <c r="E12" s="4">
        <v>1547</v>
      </c>
    </row>
    <row r="13" spans="1:5" ht="15.75" customHeight="1" x14ac:dyDescent="0.25">
      <c r="A13" s="4">
        <v>5</v>
      </c>
      <c r="B13" s="4" t="s">
        <v>83</v>
      </c>
      <c r="C13" s="4">
        <v>2039</v>
      </c>
      <c r="D13" s="4">
        <v>924</v>
      </c>
      <c r="E13" s="4">
        <v>1115</v>
      </c>
    </row>
    <row r="14" spans="1:5" ht="15.75" customHeight="1" x14ac:dyDescent="0.25">
      <c r="A14" s="4">
        <v>6</v>
      </c>
      <c r="B14" s="4" t="s">
        <v>84</v>
      </c>
      <c r="C14" s="4">
        <v>6192</v>
      </c>
      <c r="D14" s="4">
        <v>2728</v>
      </c>
      <c r="E14" s="4">
        <v>3464</v>
      </c>
    </row>
    <row r="15" spans="1:5" ht="15.75" customHeight="1" x14ac:dyDescent="0.25">
      <c r="A15" s="4">
        <v>7</v>
      </c>
      <c r="B15" s="4" t="s">
        <v>85</v>
      </c>
      <c r="C15" s="4">
        <v>1785</v>
      </c>
      <c r="D15" s="4">
        <v>777</v>
      </c>
      <c r="E15" s="4">
        <v>1008</v>
      </c>
    </row>
    <row r="16" spans="1:5" ht="15.75" customHeight="1" x14ac:dyDescent="0.25">
      <c r="A16" s="4">
        <v>8</v>
      </c>
      <c r="B16" s="4" t="s">
        <v>86</v>
      </c>
      <c r="C16" s="4">
        <v>3220</v>
      </c>
      <c r="D16" s="4">
        <v>1406</v>
      </c>
      <c r="E16" s="4">
        <v>1814</v>
      </c>
    </row>
    <row r="17" spans="1:5" ht="15.75" customHeight="1" x14ac:dyDescent="0.25">
      <c r="A17" s="4">
        <v>9</v>
      </c>
      <c r="B17" s="4" t="s">
        <v>87</v>
      </c>
      <c r="C17" s="4">
        <v>2446</v>
      </c>
      <c r="D17" s="4">
        <v>1039</v>
      </c>
      <c r="E17" s="4">
        <v>1407</v>
      </c>
    </row>
    <row r="18" spans="1:5" ht="15.75" customHeight="1" x14ac:dyDescent="0.25">
      <c r="A18" s="4">
        <v>10</v>
      </c>
      <c r="B18" s="4" t="s">
        <v>88</v>
      </c>
      <c r="C18" s="4">
        <v>2803</v>
      </c>
      <c r="D18" s="4">
        <v>1199</v>
      </c>
      <c r="E18" s="4">
        <v>1604</v>
      </c>
    </row>
    <row r="19" spans="1:5" ht="15.75" customHeight="1" x14ac:dyDescent="0.25">
      <c r="A19" s="4">
        <v>11</v>
      </c>
      <c r="B19" s="4" t="s">
        <v>89</v>
      </c>
      <c r="C19" s="4">
        <v>2369</v>
      </c>
      <c r="D19" s="4">
        <v>1063</v>
      </c>
      <c r="E19" s="4">
        <v>1306</v>
      </c>
    </row>
    <row r="20" spans="1:5" ht="15.75" customHeight="1" x14ac:dyDescent="0.25">
      <c r="A20" s="4">
        <v>12</v>
      </c>
      <c r="B20" s="4" t="s">
        <v>90</v>
      </c>
      <c r="C20" s="4">
        <v>7047</v>
      </c>
      <c r="D20" s="4">
        <v>3302</v>
      </c>
      <c r="E20" s="4">
        <v>3745</v>
      </c>
    </row>
    <row r="21" spans="1:5" ht="15.75" customHeight="1" x14ac:dyDescent="0.25">
      <c r="A21" s="4">
        <v>13</v>
      </c>
      <c r="B21" s="4" t="s">
        <v>91</v>
      </c>
      <c r="C21" s="4">
        <v>3724</v>
      </c>
      <c r="D21" s="4">
        <v>1642</v>
      </c>
      <c r="E21" s="4">
        <v>2082</v>
      </c>
    </row>
    <row r="22" spans="1:5" ht="15.75" customHeight="1" x14ac:dyDescent="0.25">
      <c r="A22" s="4">
        <v>14</v>
      </c>
      <c r="B22" s="4" t="s">
        <v>92</v>
      </c>
      <c r="C22" s="4">
        <v>1739</v>
      </c>
      <c r="D22" s="4">
        <v>772</v>
      </c>
      <c r="E22" s="4">
        <v>967</v>
      </c>
    </row>
    <row r="23" spans="1:5" ht="15.75" customHeight="1" x14ac:dyDescent="0.25">
      <c r="A23" s="4"/>
      <c r="B23" s="5" t="s">
        <v>1464</v>
      </c>
      <c r="C23" s="5">
        <f>SUM(C24:C52)</f>
        <v>89107</v>
      </c>
      <c r="D23" s="5">
        <f t="shared" ref="D23:E23" si="2">SUM(D24:D52)</f>
        <v>39957</v>
      </c>
      <c r="E23" s="5">
        <f t="shared" si="2"/>
        <v>49150</v>
      </c>
    </row>
    <row r="24" spans="1:5" ht="15.75" customHeight="1" x14ac:dyDescent="0.25">
      <c r="A24" s="4">
        <v>1</v>
      </c>
      <c r="B24" s="4" t="s">
        <v>93</v>
      </c>
      <c r="C24" s="4">
        <v>6140</v>
      </c>
      <c r="D24" s="4">
        <v>2668</v>
      </c>
      <c r="E24" s="4">
        <v>3472</v>
      </c>
    </row>
    <row r="25" spans="1:5" ht="15.75" customHeight="1" x14ac:dyDescent="0.25">
      <c r="A25" s="4">
        <v>2</v>
      </c>
      <c r="B25" s="4" t="s">
        <v>94</v>
      </c>
      <c r="C25" s="4">
        <v>1634</v>
      </c>
      <c r="D25" s="4">
        <v>726</v>
      </c>
      <c r="E25" s="4">
        <v>908</v>
      </c>
    </row>
    <row r="26" spans="1:5" ht="15.75" customHeight="1" x14ac:dyDescent="0.25">
      <c r="A26" s="4">
        <v>3</v>
      </c>
      <c r="B26" s="4" t="s">
        <v>95</v>
      </c>
      <c r="C26" s="4">
        <v>2271</v>
      </c>
      <c r="D26" s="4">
        <v>1049</v>
      </c>
      <c r="E26" s="4">
        <v>1222</v>
      </c>
    </row>
    <row r="27" spans="1:5" ht="15.75" customHeight="1" x14ac:dyDescent="0.25">
      <c r="A27" s="4">
        <v>4</v>
      </c>
      <c r="B27" s="4" t="s">
        <v>96</v>
      </c>
      <c r="C27" s="4">
        <v>2071</v>
      </c>
      <c r="D27" s="4">
        <v>913</v>
      </c>
      <c r="E27" s="4">
        <v>1158</v>
      </c>
    </row>
    <row r="28" spans="1:5" ht="15.75" customHeight="1" x14ac:dyDescent="0.25">
      <c r="A28" s="4">
        <v>5</v>
      </c>
      <c r="B28" s="4" t="s">
        <v>97</v>
      </c>
      <c r="C28" s="4">
        <v>4783</v>
      </c>
      <c r="D28" s="4">
        <v>2185</v>
      </c>
      <c r="E28" s="4">
        <v>2598</v>
      </c>
    </row>
    <row r="29" spans="1:5" ht="15.75" customHeight="1" x14ac:dyDescent="0.25">
      <c r="A29" s="4">
        <v>6</v>
      </c>
      <c r="B29" s="4" t="s">
        <v>98</v>
      </c>
      <c r="C29" s="4">
        <v>7048</v>
      </c>
      <c r="D29" s="4">
        <v>3124</v>
      </c>
      <c r="E29" s="4">
        <v>3924</v>
      </c>
    </row>
    <row r="30" spans="1:5" ht="15.75" customHeight="1" x14ac:dyDescent="0.25">
      <c r="A30" s="4">
        <v>7</v>
      </c>
      <c r="B30" s="4" t="s">
        <v>99</v>
      </c>
      <c r="C30" s="4">
        <v>3268</v>
      </c>
      <c r="D30" s="4">
        <v>1484</v>
      </c>
      <c r="E30" s="4">
        <v>1784</v>
      </c>
    </row>
    <row r="31" spans="1:5" ht="15.75" customHeight="1" x14ac:dyDescent="0.25">
      <c r="A31" s="4">
        <v>8</v>
      </c>
      <c r="B31" s="4" t="s">
        <v>100</v>
      </c>
      <c r="C31" s="4">
        <v>2687</v>
      </c>
      <c r="D31" s="4">
        <v>1265</v>
      </c>
      <c r="E31" s="4">
        <v>1422</v>
      </c>
    </row>
    <row r="32" spans="1:5" ht="15.75" customHeight="1" x14ac:dyDescent="0.25">
      <c r="A32" s="4">
        <v>9</v>
      </c>
      <c r="B32" s="4" t="s">
        <v>101</v>
      </c>
      <c r="C32" s="4">
        <v>2885</v>
      </c>
      <c r="D32" s="4">
        <v>1272</v>
      </c>
      <c r="E32" s="4">
        <v>1613</v>
      </c>
    </row>
    <row r="33" spans="1:5" ht="15.75" customHeight="1" x14ac:dyDescent="0.25">
      <c r="A33" s="4">
        <v>10</v>
      </c>
      <c r="B33" s="4" t="s">
        <v>102</v>
      </c>
      <c r="C33" s="4">
        <v>4123</v>
      </c>
      <c r="D33" s="4">
        <v>1829</v>
      </c>
      <c r="E33" s="4">
        <v>2294</v>
      </c>
    </row>
    <row r="34" spans="1:5" ht="15.75" customHeight="1" x14ac:dyDescent="0.25">
      <c r="A34" s="4">
        <v>11</v>
      </c>
      <c r="B34" s="4" t="s">
        <v>103</v>
      </c>
      <c r="C34" s="4">
        <v>2206</v>
      </c>
      <c r="D34" s="4">
        <v>1014</v>
      </c>
      <c r="E34" s="4">
        <v>1192</v>
      </c>
    </row>
    <row r="35" spans="1:5" ht="15.75" customHeight="1" x14ac:dyDescent="0.25">
      <c r="A35" s="4">
        <v>12</v>
      </c>
      <c r="B35" s="4" t="s">
        <v>38</v>
      </c>
      <c r="C35" s="4">
        <v>4148</v>
      </c>
      <c r="D35" s="4">
        <v>1830</v>
      </c>
      <c r="E35" s="4">
        <v>2318</v>
      </c>
    </row>
    <row r="36" spans="1:5" ht="15.75" customHeight="1" x14ac:dyDescent="0.25">
      <c r="A36" s="4">
        <v>13</v>
      </c>
      <c r="B36" s="4" t="s">
        <v>104</v>
      </c>
      <c r="C36" s="4">
        <v>3533</v>
      </c>
      <c r="D36" s="4">
        <v>1540</v>
      </c>
      <c r="E36" s="4">
        <v>1993</v>
      </c>
    </row>
    <row r="37" spans="1:5" ht="15.75" customHeight="1" x14ac:dyDescent="0.25">
      <c r="A37" s="4">
        <v>14</v>
      </c>
      <c r="B37" s="4" t="s">
        <v>105</v>
      </c>
      <c r="C37" s="4">
        <v>4013</v>
      </c>
      <c r="D37" s="4">
        <v>1762</v>
      </c>
      <c r="E37" s="4">
        <v>2251</v>
      </c>
    </row>
    <row r="38" spans="1:5" ht="15.75" customHeight="1" x14ac:dyDescent="0.25">
      <c r="A38" s="4">
        <v>15</v>
      </c>
      <c r="B38" s="4" t="s">
        <v>106</v>
      </c>
      <c r="C38" s="4">
        <v>2233</v>
      </c>
      <c r="D38" s="4">
        <v>977</v>
      </c>
      <c r="E38" s="4">
        <v>1256</v>
      </c>
    </row>
    <row r="39" spans="1:5" ht="15.75" customHeight="1" x14ac:dyDescent="0.25">
      <c r="A39" s="4">
        <v>16</v>
      </c>
      <c r="B39" s="4" t="s">
        <v>107</v>
      </c>
      <c r="C39" s="4">
        <v>1354</v>
      </c>
      <c r="D39" s="4">
        <v>630</v>
      </c>
      <c r="E39" s="4">
        <v>724</v>
      </c>
    </row>
    <row r="40" spans="1:5" ht="15.75" customHeight="1" x14ac:dyDescent="0.25">
      <c r="A40" s="4">
        <v>17</v>
      </c>
      <c r="B40" s="4" t="s">
        <v>108</v>
      </c>
      <c r="C40" s="4">
        <v>2305</v>
      </c>
      <c r="D40" s="4">
        <v>1008</v>
      </c>
      <c r="E40" s="4">
        <v>1297</v>
      </c>
    </row>
    <row r="41" spans="1:5" ht="15.75" customHeight="1" x14ac:dyDescent="0.25">
      <c r="A41" s="4">
        <v>18</v>
      </c>
      <c r="B41" s="4" t="s">
        <v>109</v>
      </c>
      <c r="C41" s="4">
        <v>2572</v>
      </c>
      <c r="D41" s="4">
        <v>1135</v>
      </c>
      <c r="E41" s="4">
        <v>1437</v>
      </c>
    </row>
    <row r="42" spans="1:5" ht="15.75" customHeight="1" x14ac:dyDescent="0.25">
      <c r="A42" s="4">
        <v>19</v>
      </c>
      <c r="B42" s="4" t="s">
        <v>110</v>
      </c>
      <c r="C42" s="4">
        <v>4926</v>
      </c>
      <c r="D42" s="4">
        <v>2177</v>
      </c>
      <c r="E42" s="4">
        <v>2749</v>
      </c>
    </row>
    <row r="43" spans="1:5" ht="15.75" customHeight="1" x14ac:dyDescent="0.25">
      <c r="A43" s="4">
        <v>20</v>
      </c>
      <c r="B43" s="4" t="s">
        <v>111</v>
      </c>
      <c r="C43" s="4">
        <v>2094</v>
      </c>
      <c r="D43" s="4">
        <v>962</v>
      </c>
      <c r="E43" s="4">
        <v>1132</v>
      </c>
    </row>
    <row r="44" spans="1:5" ht="15.75" customHeight="1" x14ac:dyDescent="0.25">
      <c r="A44" s="4">
        <v>21</v>
      </c>
      <c r="B44" s="4" t="s">
        <v>112</v>
      </c>
      <c r="C44" s="4">
        <v>3332</v>
      </c>
      <c r="D44" s="4">
        <v>1452</v>
      </c>
      <c r="E44" s="4">
        <v>1880</v>
      </c>
    </row>
    <row r="45" spans="1:5" ht="15.75" customHeight="1" x14ac:dyDescent="0.25">
      <c r="A45" s="4">
        <v>22</v>
      </c>
      <c r="B45" s="4" t="s">
        <v>113</v>
      </c>
      <c r="C45" s="4">
        <v>3557</v>
      </c>
      <c r="D45" s="4">
        <v>1644</v>
      </c>
      <c r="E45" s="4">
        <v>1913</v>
      </c>
    </row>
    <row r="46" spans="1:5" ht="15.75" customHeight="1" x14ac:dyDescent="0.25">
      <c r="A46" s="4">
        <v>23</v>
      </c>
      <c r="B46" s="4" t="s">
        <v>114</v>
      </c>
      <c r="C46" s="4">
        <v>2052</v>
      </c>
      <c r="D46" s="4">
        <v>928</v>
      </c>
      <c r="E46" s="4">
        <v>1124</v>
      </c>
    </row>
    <row r="47" spans="1:5" ht="15.75" customHeight="1" x14ac:dyDescent="0.25">
      <c r="A47" s="4">
        <v>24</v>
      </c>
      <c r="B47" s="4" t="s">
        <v>115</v>
      </c>
      <c r="C47" s="4">
        <v>4357</v>
      </c>
      <c r="D47" s="4">
        <v>1991</v>
      </c>
      <c r="E47" s="4">
        <v>2366</v>
      </c>
    </row>
    <row r="48" spans="1:5" ht="15.75" customHeight="1" x14ac:dyDescent="0.25">
      <c r="A48" s="4">
        <v>25</v>
      </c>
      <c r="B48" s="4" t="s">
        <v>116</v>
      </c>
      <c r="C48" s="4">
        <v>1113</v>
      </c>
      <c r="D48" s="4">
        <v>509</v>
      </c>
      <c r="E48" s="4">
        <v>604</v>
      </c>
    </row>
    <row r="49" spans="1:5" ht="15.75" customHeight="1" x14ac:dyDescent="0.25">
      <c r="A49" s="4">
        <v>26</v>
      </c>
      <c r="B49" s="4" t="s">
        <v>117</v>
      </c>
      <c r="C49" s="4">
        <v>1639</v>
      </c>
      <c r="D49" s="4">
        <v>735</v>
      </c>
      <c r="E49" s="4">
        <v>904</v>
      </c>
    </row>
    <row r="50" spans="1:5" ht="15.75" customHeight="1" x14ac:dyDescent="0.25">
      <c r="A50" s="4">
        <v>27</v>
      </c>
      <c r="B50" s="4" t="s">
        <v>118</v>
      </c>
      <c r="C50" s="4">
        <v>2903</v>
      </c>
      <c r="D50" s="4">
        <v>1361</v>
      </c>
      <c r="E50" s="4">
        <v>1542</v>
      </c>
    </row>
    <row r="51" spans="1:5" ht="15.75" customHeight="1" x14ac:dyDescent="0.25">
      <c r="A51" s="4">
        <v>28</v>
      </c>
      <c r="B51" s="4" t="s">
        <v>119</v>
      </c>
      <c r="C51" s="4">
        <v>2779</v>
      </c>
      <c r="D51" s="4">
        <v>1260</v>
      </c>
      <c r="E51" s="4">
        <v>1519</v>
      </c>
    </row>
    <row r="52" spans="1:5" ht="15.75" customHeight="1" x14ac:dyDescent="0.25">
      <c r="A52" s="6">
        <v>29</v>
      </c>
      <c r="B52" s="6" t="s">
        <v>120</v>
      </c>
      <c r="C52" s="6">
        <v>1081</v>
      </c>
      <c r="D52" s="6">
        <v>527</v>
      </c>
      <c r="E52" s="6">
        <v>554</v>
      </c>
    </row>
  </sheetData>
  <mergeCells count="4">
    <mergeCell ref="A4:A5"/>
    <mergeCell ref="B4:B5"/>
    <mergeCell ref="C4:E4"/>
    <mergeCell ref="A1:E1"/>
  </mergeCells>
  <hyperlinks>
    <hyperlink ref="A1:E1" location="'Lest of twonship'!A1" display="  Magway Region, Magway District, Yenangyoung Township"/>
  </hyperlinks>
  <pageMargins left="0.75" right="0.5" top="0.5" bottom="0.2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"/>
  <sheetViews>
    <sheetView workbookViewId="0">
      <selection sqref="A1:E1"/>
    </sheetView>
  </sheetViews>
  <sheetFormatPr defaultRowHeight="15" x14ac:dyDescent="0.25"/>
  <cols>
    <col min="1" max="1" width="7.42578125" style="17" customWidth="1"/>
    <col min="2" max="2" width="30.28515625" bestFit="1" customWidth="1"/>
    <col min="3" max="5" width="15.7109375" customWidth="1"/>
  </cols>
  <sheetData>
    <row r="1" spans="1:5" s="38" customFormat="1" ht="18.75" x14ac:dyDescent="0.3">
      <c r="A1" s="37" t="s">
        <v>1468</v>
      </c>
      <c r="B1" s="37"/>
      <c r="C1" s="37"/>
      <c r="D1" s="37"/>
      <c r="E1" s="37"/>
    </row>
    <row r="2" spans="1:5" ht="15.75" x14ac:dyDescent="0.25">
      <c r="E2" s="8" t="s">
        <v>1463</v>
      </c>
    </row>
    <row r="4" spans="1:5" ht="15.75" x14ac:dyDescent="0.25">
      <c r="A4" s="28" t="s">
        <v>1461</v>
      </c>
      <c r="B4" s="28" t="s">
        <v>1465</v>
      </c>
      <c r="C4" s="30" t="s">
        <v>1462</v>
      </c>
      <c r="D4" s="30"/>
      <c r="E4" s="30"/>
    </row>
    <row r="5" spans="1:5" ht="15.75" x14ac:dyDescent="0.25">
      <c r="A5" s="29"/>
      <c r="B5" s="29"/>
      <c r="C5" s="1" t="s">
        <v>0</v>
      </c>
      <c r="D5" s="1" t="s">
        <v>1</v>
      </c>
      <c r="E5" s="1" t="s">
        <v>2</v>
      </c>
    </row>
    <row r="6" spans="1:5" ht="15.75" x14ac:dyDescent="0.25">
      <c r="A6" s="2"/>
      <c r="B6" s="3" t="s">
        <v>0</v>
      </c>
      <c r="C6" s="3">
        <v>185189</v>
      </c>
      <c r="D6" s="3">
        <v>82385</v>
      </c>
      <c r="E6" s="3">
        <v>102804</v>
      </c>
    </row>
    <row r="7" spans="1:5" ht="12" customHeight="1" x14ac:dyDescent="0.25">
      <c r="A7" s="4"/>
      <c r="B7" s="4"/>
      <c r="C7" s="4"/>
      <c r="D7" s="4"/>
      <c r="E7" s="4"/>
    </row>
    <row r="8" spans="1:5" ht="15.75" x14ac:dyDescent="0.25">
      <c r="A8" s="4"/>
      <c r="B8" s="5" t="s">
        <v>1460</v>
      </c>
      <c r="C8" s="5">
        <f>SUM(C9:C23)</f>
        <v>45076</v>
      </c>
      <c r="D8" s="5">
        <f t="shared" ref="D8:E8" si="0">SUM(D9:D23)</f>
        <v>20281</v>
      </c>
      <c r="E8" s="5">
        <f t="shared" si="0"/>
        <v>24795</v>
      </c>
    </row>
    <row r="9" spans="1:5" ht="15.75" x14ac:dyDescent="0.25">
      <c r="A9" s="18">
        <v>1</v>
      </c>
      <c r="B9" s="4" t="s">
        <v>121</v>
      </c>
      <c r="C9" s="4">
        <v>2990</v>
      </c>
      <c r="D9" s="4">
        <v>1334</v>
      </c>
      <c r="E9" s="4">
        <v>1656</v>
      </c>
    </row>
    <row r="10" spans="1:5" ht="15.75" x14ac:dyDescent="0.25">
      <c r="A10" s="18">
        <v>2</v>
      </c>
      <c r="B10" s="4" t="s">
        <v>122</v>
      </c>
      <c r="C10" s="4">
        <v>1149</v>
      </c>
      <c r="D10" s="4">
        <v>467</v>
      </c>
      <c r="E10" s="4">
        <v>682</v>
      </c>
    </row>
    <row r="11" spans="1:5" ht="15.75" x14ac:dyDescent="0.25">
      <c r="A11" s="18">
        <v>3</v>
      </c>
      <c r="B11" s="4" t="s">
        <v>123</v>
      </c>
      <c r="C11" s="4">
        <v>992</v>
      </c>
      <c r="D11" s="4">
        <v>423</v>
      </c>
      <c r="E11" s="4">
        <v>569</v>
      </c>
    </row>
    <row r="12" spans="1:5" ht="15.75" x14ac:dyDescent="0.25">
      <c r="A12" s="18">
        <v>4</v>
      </c>
      <c r="B12" s="4" t="s">
        <v>124</v>
      </c>
      <c r="C12" s="4">
        <v>3023</v>
      </c>
      <c r="D12" s="4">
        <v>1376</v>
      </c>
      <c r="E12" s="4">
        <v>1647</v>
      </c>
    </row>
    <row r="13" spans="1:5" ht="15.75" x14ac:dyDescent="0.25">
      <c r="A13" s="18">
        <v>5</v>
      </c>
      <c r="B13" s="4" t="s">
        <v>125</v>
      </c>
      <c r="C13" s="4">
        <v>3555</v>
      </c>
      <c r="D13" s="4">
        <v>1564</v>
      </c>
      <c r="E13" s="4">
        <v>1991</v>
      </c>
    </row>
    <row r="14" spans="1:5" ht="15.75" x14ac:dyDescent="0.25">
      <c r="A14" s="18">
        <v>6</v>
      </c>
      <c r="B14" s="4" t="s">
        <v>126</v>
      </c>
      <c r="C14" s="4">
        <v>3189</v>
      </c>
      <c r="D14" s="4">
        <v>1344</v>
      </c>
      <c r="E14" s="4">
        <v>1845</v>
      </c>
    </row>
    <row r="15" spans="1:5" ht="15.75" x14ac:dyDescent="0.25">
      <c r="A15" s="18">
        <v>7</v>
      </c>
      <c r="B15" s="4" t="s">
        <v>127</v>
      </c>
      <c r="C15" s="4">
        <v>3111</v>
      </c>
      <c r="D15" s="4">
        <v>1395</v>
      </c>
      <c r="E15" s="4">
        <v>1716</v>
      </c>
    </row>
    <row r="16" spans="1:5" ht="15.75" x14ac:dyDescent="0.25">
      <c r="A16" s="18">
        <v>8</v>
      </c>
      <c r="B16" s="4" t="s">
        <v>128</v>
      </c>
      <c r="C16" s="4">
        <v>2665</v>
      </c>
      <c r="D16" s="4">
        <v>1161</v>
      </c>
      <c r="E16" s="4">
        <v>1504</v>
      </c>
    </row>
    <row r="17" spans="1:5" ht="15.75" x14ac:dyDescent="0.25">
      <c r="A17" s="18">
        <v>9</v>
      </c>
      <c r="B17" s="4" t="s">
        <v>129</v>
      </c>
      <c r="C17" s="4">
        <v>1611</v>
      </c>
      <c r="D17" s="4">
        <v>720</v>
      </c>
      <c r="E17" s="4">
        <v>891</v>
      </c>
    </row>
    <row r="18" spans="1:5" ht="15.75" x14ac:dyDescent="0.25">
      <c r="A18" s="18">
        <v>10</v>
      </c>
      <c r="B18" s="4" t="s">
        <v>130</v>
      </c>
      <c r="C18" s="4">
        <v>4830</v>
      </c>
      <c r="D18" s="4">
        <v>2217</v>
      </c>
      <c r="E18" s="4">
        <v>2613</v>
      </c>
    </row>
    <row r="19" spans="1:5" ht="15.75" x14ac:dyDescent="0.25">
      <c r="A19" s="18">
        <v>11</v>
      </c>
      <c r="B19" s="4" t="s">
        <v>131</v>
      </c>
      <c r="C19" s="4">
        <v>1467</v>
      </c>
      <c r="D19" s="4">
        <v>625</v>
      </c>
      <c r="E19" s="4">
        <v>842</v>
      </c>
    </row>
    <row r="20" spans="1:5" ht="15.75" x14ac:dyDescent="0.25">
      <c r="A20" s="18">
        <v>12</v>
      </c>
      <c r="B20" s="4" t="s">
        <v>132</v>
      </c>
      <c r="C20" s="4">
        <v>2026</v>
      </c>
      <c r="D20" s="4">
        <v>861</v>
      </c>
      <c r="E20" s="4">
        <v>1165</v>
      </c>
    </row>
    <row r="21" spans="1:5" ht="15.75" x14ac:dyDescent="0.25">
      <c r="A21" s="18">
        <v>13</v>
      </c>
      <c r="B21" s="4" t="s">
        <v>133</v>
      </c>
      <c r="C21" s="4">
        <v>2384</v>
      </c>
      <c r="D21" s="4">
        <v>1127</v>
      </c>
      <c r="E21" s="4">
        <v>1257</v>
      </c>
    </row>
    <row r="22" spans="1:5" ht="15.75" x14ac:dyDescent="0.25">
      <c r="A22" s="18">
        <v>14</v>
      </c>
      <c r="B22" s="4" t="s">
        <v>134</v>
      </c>
      <c r="C22" s="4">
        <v>5049</v>
      </c>
      <c r="D22" s="4">
        <v>2339</v>
      </c>
      <c r="E22" s="4">
        <v>2710</v>
      </c>
    </row>
    <row r="23" spans="1:5" ht="15.75" x14ac:dyDescent="0.25">
      <c r="A23" s="18">
        <v>15</v>
      </c>
      <c r="B23" s="4" t="s">
        <v>135</v>
      </c>
      <c r="C23" s="4">
        <v>7035</v>
      </c>
      <c r="D23" s="4">
        <v>3328</v>
      </c>
      <c r="E23" s="4">
        <v>3707</v>
      </c>
    </row>
    <row r="24" spans="1:5" ht="15.75" x14ac:dyDescent="0.25">
      <c r="A24" s="4"/>
      <c r="B24" s="5" t="s">
        <v>1464</v>
      </c>
      <c r="C24" s="5">
        <f>SUM(C25:C75)</f>
        <v>140113</v>
      </c>
      <c r="D24" s="5">
        <f t="shared" ref="D24:E24" si="1">SUM(D25:D75)</f>
        <v>62104</v>
      </c>
      <c r="E24" s="5">
        <f t="shared" si="1"/>
        <v>78009</v>
      </c>
    </row>
    <row r="25" spans="1:5" ht="15.75" x14ac:dyDescent="0.25">
      <c r="A25" s="18">
        <v>1</v>
      </c>
      <c r="B25" s="4" t="s">
        <v>136</v>
      </c>
      <c r="C25" s="4">
        <v>1733</v>
      </c>
      <c r="D25" s="4">
        <v>738</v>
      </c>
      <c r="E25" s="4">
        <v>995</v>
      </c>
    </row>
    <row r="26" spans="1:5" ht="15.75" x14ac:dyDescent="0.25">
      <c r="A26" s="18">
        <v>2</v>
      </c>
      <c r="B26" s="4" t="s">
        <v>137</v>
      </c>
      <c r="C26" s="4">
        <v>2642</v>
      </c>
      <c r="D26" s="4">
        <v>1265</v>
      </c>
      <c r="E26" s="4">
        <v>1377</v>
      </c>
    </row>
    <row r="27" spans="1:5" ht="15.75" x14ac:dyDescent="0.25">
      <c r="A27" s="18">
        <v>3</v>
      </c>
      <c r="B27" s="4" t="s">
        <v>138</v>
      </c>
      <c r="C27" s="4">
        <v>6695</v>
      </c>
      <c r="D27" s="4">
        <v>2936</v>
      </c>
      <c r="E27" s="4">
        <v>3759</v>
      </c>
    </row>
    <row r="28" spans="1:5" ht="15.75" x14ac:dyDescent="0.25">
      <c r="A28" s="18">
        <v>4</v>
      </c>
      <c r="B28" s="4" t="s">
        <v>139</v>
      </c>
      <c r="C28" s="4">
        <v>2771</v>
      </c>
      <c r="D28" s="4">
        <v>1180</v>
      </c>
      <c r="E28" s="4">
        <v>1591</v>
      </c>
    </row>
    <row r="29" spans="1:5" ht="15.75" x14ac:dyDescent="0.25">
      <c r="A29" s="18">
        <v>5</v>
      </c>
      <c r="B29" s="4" t="s">
        <v>140</v>
      </c>
      <c r="C29" s="4">
        <v>2679</v>
      </c>
      <c r="D29" s="4">
        <v>1195</v>
      </c>
      <c r="E29" s="4">
        <v>1484</v>
      </c>
    </row>
    <row r="30" spans="1:5" ht="15.75" x14ac:dyDescent="0.25">
      <c r="A30" s="18">
        <v>6</v>
      </c>
      <c r="B30" s="4" t="s">
        <v>141</v>
      </c>
      <c r="C30" s="4">
        <v>1671</v>
      </c>
      <c r="D30" s="4">
        <v>759</v>
      </c>
      <c r="E30" s="4">
        <v>912</v>
      </c>
    </row>
    <row r="31" spans="1:5" ht="15.75" x14ac:dyDescent="0.25">
      <c r="A31" s="18">
        <v>7</v>
      </c>
      <c r="B31" s="4" t="s">
        <v>142</v>
      </c>
      <c r="C31" s="4">
        <v>3159</v>
      </c>
      <c r="D31" s="4">
        <v>1271</v>
      </c>
      <c r="E31" s="4">
        <v>1888</v>
      </c>
    </row>
    <row r="32" spans="1:5" ht="15.75" x14ac:dyDescent="0.25">
      <c r="A32" s="18">
        <v>8</v>
      </c>
      <c r="B32" s="4" t="s">
        <v>143</v>
      </c>
      <c r="C32" s="4">
        <v>2603</v>
      </c>
      <c r="D32" s="4">
        <v>1149</v>
      </c>
      <c r="E32" s="4">
        <v>1454</v>
      </c>
    </row>
    <row r="33" spans="1:5" ht="15.75" x14ac:dyDescent="0.25">
      <c r="A33" s="18">
        <v>9</v>
      </c>
      <c r="B33" s="4" t="s">
        <v>144</v>
      </c>
      <c r="C33" s="4">
        <v>2894</v>
      </c>
      <c r="D33" s="4">
        <v>1298</v>
      </c>
      <c r="E33" s="4">
        <v>1596</v>
      </c>
    </row>
    <row r="34" spans="1:5" ht="15.75" x14ac:dyDescent="0.25">
      <c r="A34" s="18">
        <v>10</v>
      </c>
      <c r="B34" s="4" t="s">
        <v>145</v>
      </c>
      <c r="C34" s="4">
        <v>1870</v>
      </c>
      <c r="D34" s="4">
        <v>802</v>
      </c>
      <c r="E34" s="4">
        <v>1068</v>
      </c>
    </row>
    <row r="35" spans="1:5" ht="15.75" x14ac:dyDescent="0.25">
      <c r="A35" s="18">
        <v>11</v>
      </c>
      <c r="B35" s="4" t="s">
        <v>146</v>
      </c>
      <c r="C35" s="4">
        <v>2213</v>
      </c>
      <c r="D35" s="4">
        <v>932</v>
      </c>
      <c r="E35" s="4">
        <v>1281</v>
      </c>
    </row>
    <row r="36" spans="1:5" ht="15.75" x14ac:dyDescent="0.25">
      <c r="A36" s="18">
        <v>12</v>
      </c>
      <c r="B36" s="4" t="s">
        <v>147</v>
      </c>
      <c r="C36" s="4">
        <v>3236</v>
      </c>
      <c r="D36" s="4">
        <v>1424</v>
      </c>
      <c r="E36" s="4">
        <v>1812</v>
      </c>
    </row>
    <row r="37" spans="1:5" ht="15.75" x14ac:dyDescent="0.25">
      <c r="A37" s="18">
        <v>13</v>
      </c>
      <c r="B37" s="4" t="s">
        <v>148</v>
      </c>
      <c r="C37" s="4">
        <v>6161</v>
      </c>
      <c r="D37" s="4">
        <v>2751</v>
      </c>
      <c r="E37" s="4">
        <v>3410</v>
      </c>
    </row>
    <row r="38" spans="1:5" ht="15.75" x14ac:dyDescent="0.25">
      <c r="A38" s="18">
        <v>14</v>
      </c>
      <c r="B38" s="4" t="s">
        <v>149</v>
      </c>
      <c r="C38" s="4">
        <v>4930</v>
      </c>
      <c r="D38" s="4">
        <v>2363</v>
      </c>
      <c r="E38" s="4">
        <v>2567</v>
      </c>
    </row>
    <row r="39" spans="1:5" ht="15.75" x14ac:dyDescent="0.25">
      <c r="A39" s="18">
        <v>15</v>
      </c>
      <c r="B39" s="4" t="s">
        <v>150</v>
      </c>
      <c r="C39" s="4">
        <v>2876</v>
      </c>
      <c r="D39" s="4">
        <v>1327</v>
      </c>
      <c r="E39" s="4">
        <v>1549</v>
      </c>
    </row>
    <row r="40" spans="1:5" ht="15.75" x14ac:dyDescent="0.25">
      <c r="A40" s="18">
        <v>16</v>
      </c>
      <c r="B40" s="4" t="s">
        <v>151</v>
      </c>
      <c r="C40" s="4">
        <v>2741</v>
      </c>
      <c r="D40" s="4">
        <v>1202</v>
      </c>
      <c r="E40" s="4">
        <v>1539</v>
      </c>
    </row>
    <row r="41" spans="1:5" ht="15.75" x14ac:dyDescent="0.25">
      <c r="A41" s="18">
        <v>17</v>
      </c>
      <c r="B41" s="4" t="s">
        <v>152</v>
      </c>
      <c r="C41" s="4">
        <v>2585</v>
      </c>
      <c r="D41" s="4">
        <v>1140</v>
      </c>
      <c r="E41" s="4">
        <v>1445</v>
      </c>
    </row>
    <row r="42" spans="1:5" ht="15.75" x14ac:dyDescent="0.25">
      <c r="A42" s="18">
        <v>18</v>
      </c>
      <c r="B42" s="4" t="s">
        <v>153</v>
      </c>
      <c r="C42" s="4">
        <v>2840</v>
      </c>
      <c r="D42" s="4">
        <v>1304</v>
      </c>
      <c r="E42" s="4">
        <v>1536</v>
      </c>
    </row>
    <row r="43" spans="1:5" ht="15.75" x14ac:dyDescent="0.25">
      <c r="A43" s="18">
        <v>19</v>
      </c>
      <c r="B43" s="4" t="s">
        <v>154</v>
      </c>
      <c r="C43" s="4">
        <v>1719</v>
      </c>
      <c r="D43" s="4">
        <v>761</v>
      </c>
      <c r="E43" s="4">
        <v>958</v>
      </c>
    </row>
    <row r="44" spans="1:5" ht="15.75" x14ac:dyDescent="0.25">
      <c r="A44" s="18">
        <v>20</v>
      </c>
      <c r="B44" s="4" t="s">
        <v>155</v>
      </c>
      <c r="C44" s="4">
        <v>1945</v>
      </c>
      <c r="D44" s="4">
        <v>865</v>
      </c>
      <c r="E44" s="4">
        <v>1080</v>
      </c>
    </row>
    <row r="45" spans="1:5" ht="15.75" x14ac:dyDescent="0.25">
      <c r="A45" s="18">
        <v>21</v>
      </c>
      <c r="B45" s="4" t="s">
        <v>156</v>
      </c>
      <c r="C45" s="4">
        <v>4176</v>
      </c>
      <c r="D45" s="4">
        <v>1944</v>
      </c>
      <c r="E45" s="4">
        <v>2232</v>
      </c>
    </row>
    <row r="46" spans="1:5" ht="15.75" x14ac:dyDescent="0.25">
      <c r="A46" s="18">
        <v>22</v>
      </c>
      <c r="B46" s="4" t="s">
        <v>157</v>
      </c>
      <c r="C46" s="4">
        <v>3195</v>
      </c>
      <c r="D46" s="4">
        <v>1411</v>
      </c>
      <c r="E46" s="4">
        <v>1784</v>
      </c>
    </row>
    <row r="47" spans="1:5" ht="15.75" x14ac:dyDescent="0.25">
      <c r="A47" s="18">
        <v>23</v>
      </c>
      <c r="B47" s="4" t="s">
        <v>158</v>
      </c>
      <c r="C47" s="4">
        <v>2649</v>
      </c>
      <c r="D47" s="4">
        <v>1206</v>
      </c>
      <c r="E47" s="4">
        <v>1443</v>
      </c>
    </row>
    <row r="48" spans="1:5" ht="15.75" x14ac:dyDescent="0.25">
      <c r="A48" s="18">
        <v>24</v>
      </c>
      <c r="B48" s="4" t="s">
        <v>159</v>
      </c>
      <c r="C48" s="4">
        <v>6089</v>
      </c>
      <c r="D48" s="4">
        <v>2770</v>
      </c>
      <c r="E48" s="4">
        <v>3319</v>
      </c>
    </row>
    <row r="49" spans="1:5" ht="15.75" x14ac:dyDescent="0.25">
      <c r="A49" s="18">
        <v>25</v>
      </c>
      <c r="B49" s="4" t="s">
        <v>160</v>
      </c>
      <c r="C49" s="4">
        <v>4978</v>
      </c>
      <c r="D49" s="4">
        <v>2338</v>
      </c>
      <c r="E49" s="4">
        <v>2640</v>
      </c>
    </row>
    <row r="50" spans="1:5" ht="15.75" x14ac:dyDescent="0.25">
      <c r="A50" s="18">
        <v>26</v>
      </c>
      <c r="B50" s="4" t="s">
        <v>161</v>
      </c>
      <c r="C50" s="4">
        <v>2756</v>
      </c>
      <c r="D50" s="4">
        <v>1325</v>
      </c>
      <c r="E50" s="4">
        <v>1431</v>
      </c>
    </row>
    <row r="51" spans="1:5" ht="15.75" x14ac:dyDescent="0.25">
      <c r="A51" s="18">
        <v>27</v>
      </c>
      <c r="B51" s="4" t="s">
        <v>162</v>
      </c>
      <c r="C51" s="4">
        <v>2012</v>
      </c>
      <c r="D51" s="4">
        <v>915</v>
      </c>
      <c r="E51" s="4">
        <v>1097</v>
      </c>
    </row>
    <row r="52" spans="1:5" ht="15.75" x14ac:dyDescent="0.25">
      <c r="A52" s="18">
        <v>28</v>
      </c>
      <c r="B52" s="4" t="s">
        <v>163</v>
      </c>
      <c r="C52" s="4">
        <v>4336</v>
      </c>
      <c r="D52" s="4">
        <v>1956</v>
      </c>
      <c r="E52" s="4">
        <v>2380</v>
      </c>
    </row>
    <row r="53" spans="1:5" ht="15.75" x14ac:dyDescent="0.25">
      <c r="A53" s="18">
        <v>29</v>
      </c>
      <c r="B53" s="4" t="s">
        <v>164</v>
      </c>
      <c r="C53" s="4">
        <v>1585</v>
      </c>
      <c r="D53" s="4">
        <v>694</v>
      </c>
      <c r="E53" s="4">
        <v>891</v>
      </c>
    </row>
    <row r="54" spans="1:5" ht="15.75" x14ac:dyDescent="0.25">
      <c r="A54" s="18">
        <v>30</v>
      </c>
      <c r="B54" s="4" t="s">
        <v>165</v>
      </c>
      <c r="C54" s="4">
        <v>1175</v>
      </c>
      <c r="D54" s="4">
        <v>527</v>
      </c>
      <c r="E54" s="4">
        <v>648</v>
      </c>
    </row>
    <row r="55" spans="1:5" ht="15.75" x14ac:dyDescent="0.25">
      <c r="A55" s="18">
        <v>31</v>
      </c>
      <c r="B55" s="4" t="s">
        <v>166</v>
      </c>
      <c r="C55" s="4">
        <v>2362</v>
      </c>
      <c r="D55" s="4">
        <v>1002</v>
      </c>
      <c r="E55" s="4">
        <v>1360</v>
      </c>
    </row>
    <row r="56" spans="1:5" ht="15.75" x14ac:dyDescent="0.25">
      <c r="A56" s="18">
        <v>32</v>
      </c>
      <c r="B56" s="4" t="s">
        <v>167</v>
      </c>
      <c r="C56" s="4">
        <v>1064</v>
      </c>
      <c r="D56" s="4">
        <v>470</v>
      </c>
      <c r="E56" s="4">
        <v>594</v>
      </c>
    </row>
    <row r="57" spans="1:5" ht="15.75" x14ac:dyDescent="0.25">
      <c r="A57" s="18">
        <v>33</v>
      </c>
      <c r="B57" s="4" t="s">
        <v>168</v>
      </c>
      <c r="C57" s="4">
        <v>1005</v>
      </c>
      <c r="D57" s="4">
        <v>442</v>
      </c>
      <c r="E57" s="4">
        <v>563</v>
      </c>
    </row>
    <row r="58" spans="1:5" ht="15.75" x14ac:dyDescent="0.25">
      <c r="A58" s="18">
        <v>34</v>
      </c>
      <c r="B58" s="4" t="s">
        <v>169</v>
      </c>
      <c r="C58" s="4">
        <v>2017</v>
      </c>
      <c r="D58" s="4">
        <v>808</v>
      </c>
      <c r="E58" s="4">
        <v>1209</v>
      </c>
    </row>
    <row r="59" spans="1:5" ht="15.75" x14ac:dyDescent="0.25">
      <c r="A59" s="18">
        <v>35</v>
      </c>
      <c r="B59" s="4" t="s">
        <v>170</v>
      </c>
      <c r="C59" s="4">
        <v>2358</v>
      </c>
      <c r="D59" s="4">
        <v>989</v>
      </c>
      <c r="E59" s="4">
        <v>1369</v>
      </c>
    </row>
    <row r="60" spans="1:5" ht="15.75" x14ac:dyDescent="0.25">
      <c r="A60" s="18">
        <v>36</v>
      </c>
      <c r="B60" s="4" t="s">
        <v>171</v>
      </c>
      <c r="C60" s="4">
        <v>2389</v>
      </c>
      <c r="D60" s="4">
        <v>994</v>
      </c>
      <c r="E60" s="4">
        <v>1395</v>
      </c>
    </row>
    <row r="61" spans="1:5" ht="15.75" x14ac:dyDescent="0.25">
      <c r="A61" s="18">
        <v>37</v>
      </c>
      <c r="B61" s="4" t="s">
        <v>172</v>
      </c>
      <c r="C61" s="4">
        <v>2624</v>
      </c>
      <c r="D61" s="4">
        <v>1118</v>
      </c>
      <c r="E61" s="4">
        <v>1506</v>
      </c>
    </row>
    <row r="62" spans="1:5" ht="15.75" x14ac:dyDescent="0.25">
      <c r="A62" s="18">
        <v>38</v>
      </c>
      <c r="B62" s="4" t="s">
        <v>173</v>
      </c>
      <c r="C62" s="4">
        <v>2144</v>
      </c>
      <c r="D62" s="4">
        <v>925</v>
      </c>
      <c r="E62" s="4">
        <v>1219</v>
      </c>
    </row>
    <row r="63" spans="1:5" ht="15.75" x14ac:dyDescent="0.25">
      <c r="A63" s="18">
        <v>39</v>
      </c>
      <c r="B63" s="4" t="s">
        <v>174</v>
      </c>
      <c r="C63" s="4">
        <v>4094</v>
      </c>
      <c r="D63" s="4">
        <v>1903</v>
      </c>
      <c r="E63" s="4">
        <v>2191</v>
      </c>
    </row>
    <row r="64" spans="1:5" ht="15.75" x14ac:dyDescent="0.25">
      <c r="A64" s="18">
        <v>40</v>
      </c>
      <c r="B64" s="4" t="s">
        <v>175</v>
      </c>
      <c r="C64" s="4">
        <v>1742</v>
      </c>
      <c r="D64" s="4">
        <v>770</v>
      </c>
      <c r="E64" s="4">
        <v>972</v>
      </c>
    </row>
    <row r="65" spans="1:5" ht="15.75" x14ac:dyDescent="0.25">
      <c r="A65" s="18">
        <v>41</v>
      </c>
      <c r="B65" s="4" t="s">
        <v>176</v>
      </c>
      <c r="C65" s="4">
        <v>2959</v>
      </c>
      <c r="D65" s="4">
        <v>1295</v>
      </c>
      <c r="E65" s="4">
        <v>1664</v>
      </c>
    </row>
    <row r="66" spans="1:5" ht="15.75" x14ac:dyDescent="0.25">
      <c r="A66" s="18">
        <v>42</v>
      </c>
      <c r="B66" s="4" t="s">
        <v>177</v>
      </c>
      <c r="C66" s="4">
        <v>1584</v>
      </c>
      <c r="D66" s="4">
        <v>694</v>
      </c>
      <c r="E66" s="4">
        <v>890</v>
      </c>
    </row>
    <row r="67" spans="1:5" ht="15.75" x14ac:dyDescent="0.25">
      <c r="A67" s="18">
        <v>43</v>
      </c>
      <c r="B67" s="4" t="s">
        <v>178</v>
      </c>
      <c r="C67" s="4">
        <v>1738</v>
      </c>
      <c r="D67" s="4">
        <v>685</v>
      </c>
      <c r="E67" s="4">
        <v>1053</v>
      </c>
    </row>
    <row r="68" spans="1:5" ht="15.75" x14ac:dyDescent="0.25">
      <c r="A68" s="18">
        <v>44</v>
      </c>
      <c r="B68" s="4" t="s">
        <v>179</v>
      </c>
      <c r="C68" s="4">
        <v>1313</v>
      </c>
      <c r="D68" s="4">
        <v>563</v>
      </c>
      <c r="E68" s="4">
        <v>750</v>
      </c>
    </row>
    <row r="69" spans="1:5" ht="15.75" x14ac:dyDescent="0.25">
      <c r="A69" s="18">
        <v>45</v>
      </c>
      <c r="B69" s="4" t="s">
        <v>180</v>
      </c>
      <c r="C69" s="4">
        <v>4196</v>
      </c>
      <c r="D69" s="4">
        <v>1847</v>
      </c>
      <c r="E69" s="4">
        <v>2349</v>
      </c>
    </row>
    <row r="70" spans="1:5" ht="15.75" x14ac:dyDescent="0.25">
      <c r="A70" s="18">
        <v>46</v>
      </c>
      <c r="B70" s="4" t="s">
        <v>181</v>
      </c>
      <c r="C70" s="4">
        <v>2683</v>
      </c>
      <c r="D70" s="4">
        <v>1128</v>
      </c>
      <c r="E70" s="4">
        <v>1555</v>
      </c>
    </row>
    <row r="71" spans="1:5" ht="15.75" x14ac:dyDescent="0.25">
      <c r="A71" s="18">
        <v>47</v>
      </c>
      <c r="B71" s="4" t="s">
        <v>182</v>
      </c>
      <c r="C71" s="4">
        <v>3145</v>
      </c>
      <c r="D71" s="4">
        <v>1318</v>
      </c>
      <c r="E71" s="4">
        <v>1827</v>
      </c>
    </row>
    <row r="72" spans="1:5" ht="15.75" x14ac:dyDescent="0.25">
      <c r="A72" s="18">
        <v>48</v>
      </c>
      <c r="B72" s="4" t="s">
        <v>183</v>
      </c>
      <c r="C72" s="4">
        <v>1706</v>
      </c>
      <c r="D72" s="4">
        <v>738</v>
      </c>
      <c r="E72" s="4">
        <v>968</v>
      </c>
    </row>
    <row r="73" spans="1:5" ht="15.75" x14ac:dyDescent="0.25">
      <c r="A73" s="18">
        <v>49</v>
      </c>
      <c r="B73" s="4" t="s">
        <v>184</v>
      </c>
      <c r="C73" s="4">
        <v>2031</v>
      </c>
      <c r="D73" s="4">
        <v>893</v>
      </c>
      <c r="E73" s="4">
        <v>1138</v>
      </c>
    </row>
    <row r="74" spans="1:5" ht="15.75" x14ac:dyDescent="0.25">
      <c r="A74" s="18">
        <v>50</v>
      </c>
      <c r="B74" s="4" t="s">
        <v>185</v>
      </c>
      <c r="C74" s="4">
        <v>2169</v>
      </c>
      <c r="D74" s="4">
        <v>939</v>
      </c>
      <c r="E74" s="4">
        <v>1230</v>
      </c>
    </row>
    <row r="75" spans="1:5" ht="15.75" x14ac:dyDescent="0.25">
      <c r="A75" s="19">
        <v>51</v>
      </c>
      <c r="B75" s="6" t="s">
        <v>38</v>
      </c>
      <c r="C75" s="6">
        <v>1876</v>
      </c>
      <c r="D75" s="6">
        <v>835</v>
      </c>
      <c r="E75" s="6">
        <v>1041</v>
      </c>
    </row>
  </sheetData>
  <mergeCells count="4">
    <mergeCell ref="A4:A5"/>
    <mergeCell ref="B4:B5"/>
    <mergeCell ref="C4:E4"/>
    <mergeCell ref="A1:E1"/>
  </mergeCells>
  <hyperlinks>
    <hyperlink ref="A1:E1" location="'Lest of twonship'!A1" display="  Magway Region, Magway District, Chauk Township"/>
  </hyperlinks>
  <pageMargins left="0.75" right="0.5" top="0.5" bottom="0.2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workbookViewId="0">
      <selection sqref="A1:E1"/>
    </sheetView>
  </sheetViews>
  <sheetFormatPr defaultRowHeight="15" x14ac:dyDescent="0.25"/>
  <cols>
    <col min="1" max="1" width="7.28515625" customWidth="1"/>
    <col min="2" max="2" width="35.5703125" bestFit="1" customWidth="1"/>
    <col min="3" max="5" width="15.7109375" customWidth="1"/>
  </cols>
  <sheetData>
    <row r="1" spans="1:5" s="38" customFormat="1" ht="18.75" x14ac:dyDescent="0.3">
      <c r="A1" s="37" t="s">
        <v>1469</v>
      </c>
      <c r="B1" s="37"/>
      <c r="C1" s="37"/>
      <c r="D1" s="37"/>
      <c r="E1" s="37"/>
    </row>
    <row r="2" spans="1:5" ht="15.75" x14ac:dyDescent="0.25">
      <c r="E2" s="8" t="s">
        <v>1463</v>
      </c>
    </row>
    <row r="4" spans="1:5" ht="15.75" x14ac:dyDescent="0.25">
      <c r="A4" s="32" t="s">
        <v>1461</v>
      </c>
      <c r="B4" s="32" t="s">
        <v>1465</v>
      </c>
      <c r="C4" s="30" t="s">
        <v>1462</v>
      </c>
      <c r="D4" s="30"/>
      <c r="E4" s="30"/>
    </row>
    <row r="5" spans="1:5" ht="15.75" x14ac:dyDescent="0.25">
      <c r="A5" s="32"/>
      <c r="B5" s="32"/>
      <c r="C5" s="7" t="s">
        <v>0</v>
      </c>
      <c r="D5" s="7" t="s">
        <v>1</v>
      </c>
      <c r="E5" s="7" t="s">
        <v>2</v>
      </c>
    </row>
    <row r="6" spans="1:5" ht="22.5" customHeight="1" x14ac:dyDescent="0.25">
      <c r="A6" s="9"/>
      <c r="B6" s="3" t="s">
        <v>0</v>
      </c>
      <c r="C6" s="10">
        <f>SUM(C8+C19)</f>
        <v>259860</v>
      </c>
      <c r="D6" s="10">
        <f t="shared" ref="D6:E6" si="0">SUM(D8+D19)</f>
        <v>122706</v>
      </c>
      <c r="E6" s="10">
        <f t="shared" si="0"/>
        <v>137154</v>
      </c>
    </row>
    <row r="7" spans="1:5" ht="8.25" customHeight="1" x14ac:dyDescent="0.25">
      <c r="A7" s="4"/>
      <c r="B7" s="4"/>
      <c r="C7" s="4"/>
      <c r="D7" s="4"/>
      <c r="E7" s="4"/>
    </row>
    <row r="8" spans="1:5" ht="15.75" x14ac:dyDescent="0.25">
      <c r="A8" s="4"/>
      <c r="B8" s="5" t="s">
        <v>1460</v>
      </c>
      <c r="C8" s="5">
        <f>SUM(C9:C18)</f>
        <v>46023</v>
      </c>
      <c r="D8" s="5">
        <f t="shared" ref="D8:E8" si="1">SUM(D9:D18)</f>
        <v>21742</v>
      </c>
      <c r="E8" s="5">
        <f t="shared" si="1"/>
        <v>24281</v>
      </c>
    </row>
    <row r="9" spans="1:5" ht="15.75" x14ac:dyDescent="0.25">
      <c r="A9" s="4">
        <v>1</v>
      </c>
      <c r="B9" s="4" t="s">
        <v>186</v>
      </c>
      <c r="C9" s="4">
        <v>4649</v>
      </c>
      <c r="D9" s="4">
        <v>2150</v>
      </c>
      <c r="E9" s="4">
        <v>2499</v>
      </c>
    </row>
    <row r="10" spans="1:5" ht="15.75" x14ac:dyDescent="0.25">
      <c r="A10" s="4">
        <v>2</v>
      </c>
      <c r="B10" s="4" t="s">
        <v>187</v>
      </c>
      <c r="C10" s="4">
        <v>4197</v>
      </c>
      <c r="D10" s="4">
        <v>1960</v>
      </c>
      <c r="E10" s="4">
        <v>2237</v>
      </c>
    </row>
    <row r="11" spans="1:5" ht="15.75" x14ac:dyDescent="0.25">
      <c r="A11" s="4">
        <v>3</v>
      </c>
      <c r="B11" s="4" t="s">
        <v>188</v>
      </c>
      <c r="C11" s="4">
        <v>2617</v>
      </c>
      <c r="D11" s="4">
        <v>1207</v>
      </c>
      <c r="E11" s="4">
        <v>1410</v>
      </c>
    </row>
    <row r="12" spans="1:5" ht="15.75" x14ac:dyDescent="0.25">
      <c r="A12" s="4">
        <v>4</v>
      </c>
      <c r="B12" s="4" t="s">
        <v>189</v>
      </c>
      <c r="C12" s="4">
        <v>7132</v>
      </c>
      <c r="D12" s="4">
        <v>3687</v>
      </c>
      <c r="E12" s="4">
        <v>3445</v>
      </c>
    </row>
    <row r="13" spans="1:5" ht="15.75" x14ac:dyDescent="0.25">
      <c r="A13" s="4">
        <v>5</v>
      </c>
      <c r="B13" s="4" t="s">
        <v>190</v>
      </c>
      <c r="C13" s="4">
        <v>6432</v>
      </c>
      <c r="D13" s="4">
        <v>3048</v>
      </c>
      <c r="E13" s="4">
        <v>3384</v>
      </c>
    </row>
    <row r="14" spans="1:5" ht="15.75" x14ac:dyDescent="0.25">
      <c r="A14" s="4">
        <v>6</v>
      </c>
      <c r="B14" s="4" t="s">
        <v>191</v>
      </c>
      <c r="C14" s="4">
        <v>4883</v>
      </c>
      <c r="D14" s="4">
        <v>2244</v>
      </c>
      <c r="E14" s="4">
        <v>2639</v>
      </c>
    </row>
    <row r="15" spans="1:5" ht="15.75" x14ac:dyDescent="0.25">
      <c r="A15" s="4">
        <v>7</v>
      </c>
      <c r="B15" s="4" t="s">
        <v>192</v>
      </c>
      <c r="C15" s="4">
        <v>4881</v>
      </c>
      <c r="D15" s="4">
        <v>2319</v>
      </c>
      <c r="E15" s="4">
        <v>2562</v>
      </c>
    </row>
    <row r="16" spans="1:5" ht="15.75" x14ac:dyDescent="0.25">
      <c r="A16" s="4">
        <v>8</v>
      </c>
      <c r="B16" s="4" t="s">
        <v>193</v>
      </c>
      <c r="C16" s="4">
        <v>1744</v>
      </c>
      <c r="D16" s="4">
        <v>804</v>
      </c>
      <c r="E16" s="4">
        <v>940</v>
      </c>
    </row>
    <row r="17" spans="1:5" ht="15.75" x14ac:dyDescent="0.25">
      <c r="A17" s="4">
        <v>9</v>
      </c>
      <c r="B17" s="4" t="s">
        <v>194</v>
      </c>
      <c r="C17" s="4">
        <v>4952</v>
      </c>
      <c r="D17" s="4">
        <v>2225</v>
      </c>
      <c r="E17" s="4">
        <v>2727</v>
      </c>
    </row>
    <row r="18" spans="1:5" ht="15.75" x14ac:dyDescent="0.25">
      <c r="A18" s="4">
        <v>10</v>
      </c>
      <c r="B18" s="4" t="s">
        <v>195</v>
      </c>
      <c r="C18" s="4">
        <v>4536</v>
      </c>
      <c r="D18" s="4">
        <v>2098</v>
      </c>
      <c r="E18" s="4">
        <v>2438</v>
      </c>
    </row>
    <row r="19" spans="1:5" ht="15.75" x14ac:dyDescent="0.25">
      <c r="A19" s="4"/>
      <c r="B19" s="5" t="s">
        <v>1464</v>
      </c>
      <c r="C19" s="5">
        <f>SUM(C20:C91)</f>
        <v>213837</v>
      </c>
      <c r="D19" s="5">
        <f t="shared" ref="D19:E19" si="2">SUM(D20:D91)</f>
        <v>100964</v>
      </c>
      <c r="E19" s="5">
        <f t="shared" si="2"/>
        <v>112873</v>
      </c>
    </row>
    <row r="20" spans="1:5" ht="15.75" x14ac:dyDescent="0.25">
      <c r="A20" s="4">
        <v>1</v>
      </c>
      <c r="B20" s="4" t="s">
        <v>196</v>
      </c>
      <c r="C20" s="4">
        <v>3389</v>
      </c>
      <c r="D20" s="4">
        <v>1556</v>
      </c>
      <c r="E20" s="4">
        <v>1833</v>
      </c>
    </row>
    <row r="21" spans="1:5" ht="15.75" x14ac:dyDescent="0.25">
      <c r="A21" s="4">
        <v>2</v>
      </c>
      <c r="B21" s="4" t="s">
        <v>197</v>
      </c>
      <c r="C21" s="4">
        <v>3903</v>
      </c>
      <c r="D21" s="4">
        <v>1836</v>
      </c>
      <c r="E21" s="4">
        <v>2067</v>
      </c>
    </row>
    <row r="22" spans="1:5" ht="15.75" x14ac:dyDescent="0.25">
      <c r="A22" s="4">
        <v>3</v>
      </c>
      <c r="B22" s="4" t="s">
        <v>198</v>
      </c>
      <c r="C22" s="4">
        <v>3903</v>
      </c>
      <c r="D22" s="4">
        <v>1861</v>
      </c>
      <c r="E22" s="4">
        <v>2042</v>
      </c>
    </row>
    <row r="23" spans="1:5" ht="15.75" x14ac:dyDescent="0.25">
      <c r="A23" s="4">
        <v>4</v>
      </c>
      <c r="B23" s="4" t="s">
        <v>199</v>
      </c>
      <c r="C23" s="4">
        <v>1285</v>
      </c>
      <c r="D23" s="4">
        <v>612</v>
      </c>
      <c r="E23" s="4">
        <v>673</v>
      </c>
    </row>
    <row r="24" spans="1:5" ht="15.75" x14ac:dyDescent="0.25">
      <c r="A24" s="4">
        <v>5</v>
      </c>
      <c r="B24" s="4" t="s">
        <v>104</v>
      </c>
      <c r="C24" s="4">
        <v>2606</v>
      </c>
      <c r="D24" s="4">
        <v>1202</v>
      </c>
      <c r="E24" s="4">
        <v>1404</v>
      </c>
    </row>
    <row r="25" spans="1:5" ht="15.75" x14ac:dyDescent="0.25">
      <c r="A25" s="4">
        <v>6</v>
      </c>
      <c r="B25" s="4" t="s">
        <v>200</v>
      </c>
      <c r="C25" s="4">
        <v>1062</v>
      </c>
      <c r="D25" s="4">
        <v>484</v>
      </c>
      <c r="E25" s="4">
        <v>578</v>
      </c>
    </row>
    <row r="26" spans="1:5" ht="15.75" x14ac:dyDescent="0.25">
      <c r="A26" s="4">
        <v>7</v>
      </c>
      <c r="B26" s="4" t="s">
        <v>201</v>
      </c>
      <c r="C26" s="4">
        <v>1365</v>
      </c>
      <c r="D26" s="4">
        <v>638</v>
      </c>
      <c r="E26" s="4">
        <v>727</v>
      </c>
    </row>
    <row r="27" spans="1:5" ht="15.75" x14ac:dyDescent="0.25">
      <c r="A27" s="4">
        <v>8</v>
      </c>
      <c r="B27" s="4" t="s">
        <v>202</v>
      </c>
      <c r="C27" s="4">
        <v>559</v>
      </c>
      <c r="D27" s="4">
        <v>267</v>
      </c>
      <c r="E27" s="4">
        <v>292</v>
      </c>
    </row>
    <row r="28" spans="1:5" ht="15.75" x14ac:dyDescent="0.25">
      <c r="A28" s="4">
        <v>9</v>
      </c>
      <c r="B28" s="4" t="s">
        <v>203</v>
      </c>
      <c r="C28" s="4">
        <v>1208</v>
      </c>
      <c r="D28" s="4">
        <v>566</v>
      </c>
      <c r="E28" s="4">
        <v>642</v>
      </c>
    </row>
    <row r="29" spans="1:5" ht="15.75" x14ac:dyDescent="0.25">
      <c r="A29" s="4">
        <v>10</v>
      </c>
      <c r="B29" s="4" t="s">
        <v>204</v>
      </c>
      <c r="C29" s="4">
        <v>2556</v>
      </c>
      <c r="D29" s="4">
        <v>1194</v>
      </c>
      <c r="E29" s="4">
        <v>1362</v>
      </c>
    </row>
    <row r="30" spans="1:5" ht="15.75" x14ac:dyDescent="0.25">
      <c r="A30" s="4">
        <v>11</v>
      </c>
      <c r="B30" s="4" t="s">
        <v>205</v>
      </c>
      <c r="C30" s="4">
        <v>2079</v>
      </c>
      <c r="D30" s="4">
        <v>932</v>
      </c>
      <c r="E30" s="4">
        <v>1147</v>
      </c>
    </row>
    <row r="31" spans="1:5" ht="15.75" x14ac:dyDescent="0.25">
      <c r="A31" s="4">
        <v>12</v>
      </c>
      <c r="B31" s="4" t="s">
        <v>206</v>
      </c>
      <c r="C31" s="4">
        <v>4214</v>
      </c>
      <c r="D31" s="4">
        <v>2015</v>
      </c>
      <c r="E31" s="4">
        <v>2199</v>
      </c>
    </row>
    <row r="32" spans="1:5" ht="15.75" x14ac:dyDescent="0.25">
      <c r="A32" s="4">
        <v>13</v>
      </c>
      <c r="B32" s="4" t="s">
        <v>207</v>
      </c>
      <c r="C32" s="4">
        <v>1896</v>
      </c>
      <c r="D32" s="4">
        <v>899</v>
      </c>
      <c r="E32" s="4">
        <v>997</v>
      </c>
    </row>
    <row r="33" spans="1:5" ht="15.75" x14ac:dyDescent="0.25">
      <c r="A33" s="4">
        <v>14</v>
      </c>
      <c r="B33" s="4" t="s">
        <v>208</v>
      </c>
      <c r="C33" s="4">
        <v>4154</v>
      </c>
      <c r="D33" s="4">
        <v>1902</v>
      </c>
      <c r="E33" s="4">
        <v>2252</v>
      </c>
    </row>
    <row r="34" spans="1:5" ht="15.75" x14ac:dyDescent="0.25">
      <c r="A34" s="4">
        <v>15</v>
      </c>
      <c r="B34" s="4" t="s">
        <v>209</v>
      </c>
      <c r="C34" s="4">
        <v>965</v>
      </c>
      <c r="D34" s="4">
        <v>444</v>
      </c>
      <c r="E34" s="4">
        <v>521</v>
      </c>
    </row>
    <row r="35" spans="1:5" ht="15.75" x14ac:dyDescent="0.25">
      <c r="A35" s="4">
        <v>16</v>
      </c>
      <c r="B35" s="4" t="s">
        <v>210</v>
      </c>
      <c r="C35" s="4">
        <v>5080</v>
      </c>
      <c r="D35" s="4">
        <v>2330</v>
      </c>
      <c r="E35" s="4">
        <v>2750</v>
      </c>
    </row>
    <row r="36" spans="1:5" ht="15.75" x14ac:dyDescent="0.25">
      <c r="A36" s="4">
        <v>17</v>
      </c>
      <c r="B36" s="4" t="s">
        <v>211</v>
      </c>
      <c r="C36" s="4">
        <v>7436</v>
      </c>
      <c r="D36" s="4">
        <v>3465</v>
      </c>
      <c r="E36" s="4">
        <v>3971</v>
      </c>
    </row>
    <row r="37" spans="1:5" ht="15.75" x14ac:dyDescent="0.25">
      <c r="A37" s="4">
        <v>18</v>
      </c>
      <c r="B37" s="4" t="s">
        <v>212</v>
      </c>
      <c r="C37" s="4">
        <v>1950</v>
      </c>
      <c r="D37" s="4">
        <v>912</v>
      </c>
      <c r="E37" s="4">
        <v>1038</v>
      </c>
    </row>
    <row r="38" spans="1:5" ht="15.75" x14ac:dyDescent="0.25">
      <c r="A38" s="4">
        <v>19</v>
      </c>
      <c r="B38" s="4" t="s">
        <v>213</v>
      </c>
      <c r="C38" s="4">
        <v>2495</v>
      </c>
      <c r="D38" s="4">
        <v>1107</v>
      </c>
      <c r="E38" s="4">
        <v>1388</v>
      </c>
    </row>
    <row r="39" spans="1:5" ht="15.75" x14ac:dyDescent="0.25">
      <c r="A39" s="4">
        <v>20</v>
      </c>
      <c r="B39" s="4" t="s">
        <v>214</v>
      </c>
      <c r="C39" s="4">
        <v>525</v>
      </c>
      <c r="D39" s="4">
        <v>223</v>
      </c>
      <c r="E39" s="4">
        <v>302</v>
      </c>
    </row>
    <row r="40" spans="1:5" ht="15.75" x14ac:dyDescent="0.25">
      <c r="A40" s="4">
        <v>21</v>
      </c>
      <c r="B40" s="4" t="s">
        <v>215</v>
      </c>
      <c r="C40" s="4">
        <v>3077</v>
      </c>
      <c r="D40" s="4">
        <v>1454</v>
      </c>
      <c r="E40" s="4">
        <v>1623</v>
      </c>
    </row>
    <row r="41" spans="1:5" ht="15.75" x14ac:dyDescent="0.25">
      <c r="A41" s="4">
        <v>22</v>
      </c>
      <c r="B41" s="4" t="s">
        <v>216</v>
      </c>
      <c r="C41" s="4">
        <v>1647</v>
      </c>
      <c r="D41" s="4">
        <v>763</v>
      </c>
      <c r="E41" s="4">
        <v>884</v>
      </c>
    </row>
    <row r="42" spans="1:5" ht="15.75" x14ac:dyDescent="0.25">
      <c r="A42" s="4">
        <v>23</v>
      </c>
      <c r="B42" s="4" t="s">
        <v>217</v>
      </c>
      <c r="C42" s="4">
        <v>2650</v>
      </c>
      <c r="D42" s="4">
        <v>1210</v>
      </c>
      <c r="E42" s="4">
        <v>1440</v>
      </c>
    </row>
    <row r="43" spans="1:5" ht="15.75" x14ac:dyDescent="0.25">
      <c r="A43" s="4">
        <v>24</v>
      </c>
      <c r="B43" s="4" t="s">
        <v>218</v>
      </c>
      <c r="C43" s="4">
        <v>7595</v>
      </c>
      <c r="D43" s="4">
        <v>3575</v>
      </c>
      <c r="E43" s="4">
        <v>4020</v>
      </c>
    </row>
    <row r="44" spans="1:5" ht="15.75" x14ac:dyDescent="0.25">
      <c r="A44" s="4">
        <v>25</v>
      </c>
      <c r="B44" s="4" t="s">
        <v>219</v>
      </c>
      <c r="C44" s="4">
        <v>786</v>
      </c>
      <c r="D44" s="4">
        <v>365</v>
      </c>
      <c r="E44" s="4">
        <v>421</v>
      </c>
    </row>
    <row r="45" spans="1:5" ht="15.75" x14ac:dyDescent="0.25">
      <c r="A45" s="4">
        <v>26</v>
      </c>
      <c r="B45" s="4" t="s">
        <v>220</v>
      </c>
      <c r="C45" s="4">
        <v>6881</v>
      </c>
      <c r="D45" s="4">
        <v>3313</v>
      </c>
      <c r="E45" s="4">
        <v>3568</v>
      </c>
    </row>
    <row r="46" spans="1:5" ht="15.75" x14ac:dyDescent="0.25">
      <c r="A46" s="4">
        <v>27</v>
      </c>
      <c r="B46" s="4" t="s">
        <v>221</v>
      </c>
      <c r="C46" s="4">
        <v>1437</v>
      </c>
      <c r="D46" s="4">
        <v>693</v>
      </c>
      <c r="E46" s="4">
        <v>744</v>
      </c>
    </row>
    <row r="47" spans="1:5" ht="15.75" x14ac:dyDescent="0.25">
      <c r="A47" s="4">
        <v>28</v>
      </c>
      <c r="B47" s="4" t="s">
        <v>222</v>
      </c>
      <c r="C47" s="4">
        <v>1562</v>
      </c>
      <c r="D47" s="4">
        <v>732</v>
      </c>
      <c r="E47" s="4">
        <v>830</v>
      </c>
    </row>
    <row r="48" spans="1:5" ht="15.75" x14ac:dyDescent="0.25">
      <c r="A48" s="4">
        <v>29</v>
      </c>
      <c r="B48" s="4" t="s">
        <v>223</v>
      </c>
      <c r="C48" s="4">
        <v>3552</v>
      </c>
      <c r="D48" s="4">
        <v>1660</v>
      </c>
      <c r="E48" s="4">
        <v>1892</v>
      </c>
    </row>
    <row r="49" spans="1:5" ht="15.75" x14ac:dyDescent="0.25">
      <c r="A49" s="4">
        <v>30</v>
      </c>
      <c r="B49" s="4" t="s">
        <v>224</v>
      </c>
      <c r="C49" s="4">
        <v>9112</v>
      </c>
      <c r="D49" s="4">
        <v>4537</v>
      </c>
      <c r="E49" s="4">
        <v>4575</v>
      </c>
    </row>
    <row r="50" spans="1:5" ht="15.75" x14ac:dyDescent="0.25">
      <c r="A50" s="4">
        <v>31</v>
      </c>
      <c r="B50" s="4" t="s">
        <v>225</v>
      </c>
      <c r="C50" s="4">
        <v>2754</v>
      </c>
      <c r="D50" s="4">
        <v>1361</v>
      </c>
      <c r="E50" s="4">
        <v>1393</v>
      </c>
    </row>
    <row r="51" spans="1:5" ht="15.75" x14ac:dyDescent="0.25">
      <c r="A51" s="4">
        <v>32</v>
      </c>
      <c r="B51" s="4" t="s">
        <v>226</v>
      </c>
      <c r="C51" s="4">
        <v>4079</v>
      </c>
      <c r="D51" s="4">
        <v>1844</v>
      </c>
      <c r="E51" s="4">
        <v>2235</v>
      </c>
    </row>
    <row r="52" spans="1:5" ht="15.75" x14ac:dyDescent="0.25">
      <c r="A52" s="4">
        <v>33</v>
      </c>
      <c r="B52" s="4" t="s">
        <v>227</v>
      </c>
      <c r="C52" s="4">
        <v>7154</v>
      </c>
      <c r="D52" s="4">
        <v>3338</v>
      </c>
      <c r="E52" s="4">
        <v>3816</v>
      </c>
    </row>
    <row r="53" spans="1:5" ht="15.75" x14ac:dyDescent="0.25">
      <c r="A53" s="4">
        <v>34</v>
      </c>
      <c r="B53" s="4" t="s">
        <v>228</v>
      </c>
      <c r="C53" s="4">
        <v>3117</v>
      </c>
      <c r="D53" s="4">
        <v>1436</v>
      </c>
      <c r="E53" s="4">
        <v>1681</v>
      </c>
    </row>
    <row r="54" spans="1:5" ht="15.75" x14ac:dyDescent="0.25">
      <c r="A54" s="4">
        <v>35</v>
      </c>
      <c r="B54" s="4" t="s">
        <v>229</v>
      </c>
      <c r="C54" s="4">
        <v>2885</v>
      </c>
      <c r="D54" s="4">
        <v>1358</v>
      </c>
      <c r="E54" s="4">
        <v>1527</v>
      </c>
    </row>
    <row r="55" spans="1:5" ht="15.75" x14ac:dyDescent="0.25">
      <c r="A55" s="4">
        <v>36</v>
      </c>
      <c r="B55" s="4" t="s">
        <v>230</v>
      </c>
      <c r="C55" s="4">
        <v>1289</v>
      </c>
      <c r="D55" s="4">
        <v>630</v>
      </c>
      <c r="E55" s="4">
        <v>659</v>
      </c>
    </row>
    <row r="56" spans="1:5" ht="15.75" x14ac:dyDescent="0.25">
      <c r="A56" s="4">
        <v>37</v>
      </c>
      <c r="B56" s="4" t="s">
        <v>231</v>
      </c>
      <c r="C56" s="4">
        <v>453</v>
      </c>
      <c r="D56" s="4">
        <v>214</v>
      </c>
      <c r="E56" s="4">
        <v>239</v>
      </c>
    </row>
    <row r="57" spans="1:5" ht="15.75" x14ac:dyDescent="0.25">
      <c r="A57" s="4">
        <v>38</v>
      </c>
      <c r="B57" s="4" t="s">
        <v>232</v>
      </c>
      <c r="C57" s="4">
        <v>2150</v>
      </c>
      <c r="D57" s="4">
        <v>966</v>
      </c>
      <c r="E57" s="4">
        <v>1184</v>
      </c>
    </row>
    <row r="58" spans="1:5" ht="15.75" x14ac:dyDescent="0.25">
      <c r="A58" s="4">
        <v>39</v>
      </c>
      <c r="B58" s="4" t="s">
        <v>233</v>
      </c>
      <c r="C58" s="4">
        <v>3425</v>
      </c>
      <c r="D58" s="4">
        <v>1618</v>
      </c>
      <c r="E58" s="4">
        <v>1807</v>
      </c>
    </row>
    <row r="59" spans="1:5" ht="15.75" x14ac:dyDescent="0.25">
      <c r="A59" s="4">
        <v>40</v>
      </c>
      <c r="B59" s="4" t="s">
        <v>234</v>
      </c>
      <c r="C59" s="4">
        <v>1794</v>
      </c>
      <c r="D59" s="4">
        <v>827</v>
      </c>
      <c r="E59" s="4">
        <v>967</v>
      </c>
    </row>
    <row r="60" spans="1:5" ht="15.75" x14ac:dyDescent="0.25">
      <c r="A60" s="4">
        <v>41</v>
      </c>
      <c r="B60" s="4" t="s">
        <v>235</v>
      </c>
      <c r="C60" s="4">
        <v>2383</v>
      </c>
      <c r="D60" s="4">
        <v>1176</v>
      </c>
      <c r="E60" s="4">
        <v>1207</v>
      </c>
    </row>
    <row r="61" spans="1:5" ht="15.75" x14ac:dyDescent="0.25">
      <c r="A61" s="4">
        <v>42</v>
      </c>
      <c r="B61" s="4" t="s">
        <v>236</v>
      </c>
      <c r="C61" s="4">
        <v>1554</v>
      </c>
      <c r="D61" s="4">
        <v>760</v>
      </c>
      <c r="E61" s="4">
        <v>794</v>
      </c>
    </row>
    <row r="62" spans="1:5" ht="15.75" x14ac:dyDescent="0.25">
      <c r="A62" s="4">
        <v>43</v>
      </c>
      <c r="B62" s="4" t="s">
        <v>237</v>
      </c>
      <c r="C62" s="4">
        <v>2770</v>
      </c>
      <c r="D62" s="4">
        <v>1329</v>
      </c>
      <c r="E62" s="4">
        <v>1441</v>
      </c>
    </row>
    <row r="63" spans="1:5" ht="15.75" customHeight="1" x14ac:dyDescent="0.25">
      <c r="A63" s="4">
        <v>44</v>
      </c>
      <c r="B63" s="4" t="s">
        <v>238</v>
      </c>
      <c r="C63" s="4">
        <v>3843</v>
      </c>
      <c r="D63" s="4">
        <v>1803</v>
      </c>
      <c r="E63" s="4">
        <v>2040</v>
      </c>
    </row>
    <row r="64" spans="1:5" ht="15.75" customHeight="1" x14ac:dyDescent="0.25">
      <c r="A64" s="4">
        <v>45</v>
      </c>
      <c r="B64" s="4" t="s">
        <v>239</v>
      </c>
      <c r="C64" s="4">
        <v>1643</v>
      </c>
      <c r="D64" s="4">
        <v>755</v>
      </c>
      <c r="E64" s="4">
        <v>888</v>
      </c>
    </row>
    <row r="65" spans="1:5" ht="15.75" customHeight="1" x14ac:dyDescent="0.25">
      <c r="A65" s="4">
        <v>46</v>
      </c>
      <c r="B65" s="4" t="s">
        <v>240</v>
      </c>
      <c r="C65" s="4">
        <v>717</v>
      </c>
      <c r="D65" s="4">
        <v>303</v>
      </c>
      <c r="E65" s="4">
        <v>414</v>
      </c>
    </row>
    <row r="66" spans="1:5" ht="15.75" customHeight="1" x14ac:dyDescent="0.25">
      <c r="A66" s="4">
        <v>47</v>
      </c>
      <c r="B66" s="4" t="s">
        <v>241</v>
      </c>
      <c r="C66" s="4">
        <v>1274</v>
      </c>
      <c r="D66" s="4">
        <v>608</v>
      </c>
      <c r="E66" s="4">
        <v>666</v>
      </c>
    </row>
    <row r="67" spans="1:5" ht="15.75" customHeight="1" x14ac:dyDescent="0.25">
      <c r="A67" s="4">
        <v>48</v>
      </c>
      <c r="B67" s="4" t="s">
        <v>242</v>
      </c>
      <c r="C67" s="4">
        <v>2177</v>
      </c>
      <c r="D67" s="4">
        <v>999</v>
      </c>
      <c r="E67" s="4">
        <v>1178</v>
      </c>
    </row>
    <row r="68" spans="1:5" ht="15.75" customHeight="1" x14ac:dyDescent="0.25">
      <c r="A68" s="4">
        <v>49</v>
      </c>
      <c r="B68" s="4" t="s">
        <v>243</v>
      </c>
      <c r="C68" s="4">
        <v>3789</v>
      </c>
      <c r="D68" s="4">
        <v>1814</v>
      </c>
      <c r="E68" s="4">
        <v>1975</v>
      </c>
    </row>
    <row r="69" spans="1:5" ht="15.75" customHeight="1" x14ac:dyDescent="0.25">
      <c r="A69" s="4">
        <v>50</v>
      </c>
      <c r="B69" s="4" t="s">
        <v>244</v>
      </c>
      <c r="C69" s="4">
        <v>337</v>
      </c>
      <c r="D69" s="4">
        <v>157</v>
      </c>
      <c r="E69" s="4">
        <v>180</v>
      </c>
    </row>
    <row r="70" spans="1:5" ht="15.75" customHeight="1" x14ac:dyDescent="0.25">
      <c r="A70" s="4">
        <v>51</v>
      </c>
      <c r="B70" s="4" t="s">
        <v>245</v>
      </c>
      <c r="C70" s="4">
        <v>7927</v>
      </c>
      <c r="D70" s="4">
        <v>3844</v>
      </c>
      <c r="E70" s="4">
        <v>4083</v>
      </c>
    </row>
    <row r="71" spans="1:5" ht="15.75" customHeight="1" x14ac:dyDescent="0.25">
      <c r="A71" s="4">
        <v>52</v>
      </c>
      <c r="B71" s="4" t="s">
        <v>246</v>
      </c>
      <c r="C71" s="4">
        <v>2602</v>
      </c>
      <c r="D71" s="4">
        <v>1291</v>
      </c>
      <c r="E71" s="4">
        <v>1311</v>
      </c>
    </row>
    <row r="72" spans="1:5" ht="15.75" customHeight="1" x14ac:dyDescent="0.25">
      <c r="A72" s="4">
        <v>53</v>
      </c>
      <c r="B72" s="4" t="s">
        <v>247</v>
      </c>
      <c r="C72" s="4">
        <v>5530</v>
      </c>
      <c r="D72" s="4">
        <v>2610</v>
      </c>
      <c r="E72" s="4">
        <v>2920</v>
      </c>
    </row>
    <row r="73" spans="1:5" ht="15.75" customHeight="1" x14ac:dyDescent="0.25">
      <c r="A73" s="4">
        <v>54</v>
      </c>
      <c r="B73" s="4" t="s">
        <v>248</v>
      </c>
      <c r="C73" s="4">
        <v>2885</v>
      </c>
      <c r="D73" s="4">
        <v>1334</v>
      </c>
      <c r="E73" s="4">
        <v>1551</v>
      </c>
    </row>
    <row r="74" spans="1:5" ht="15.75" customHeight="1" x14ac:dyDescent="0.25">
      <c r="A74" s="4">
        <v>55</v>
      </c>
      <c r="B74" s="4" t="s">
        <v>249</v>
      </c>
      <c r="C74" s="4">
        <v>3687</v>
      </c>
      <c r="D74" s="4">
        <v>1674</v>
      </c>
      <c r="E74" s="4">
        <v>2013</v>
      </c>
    </row>
    <row r="75" spans="1:5" ht="15.75" customHeight="1" x14ac:dyDescent="0.25">
      <c r="A75" s="4">
        <v>56</v>
      </c>
      <c r="B75" s="4" t="s">
        <v>250</v>
      </c>
      <c r="C75" s="4">
        <v>4177</v>
      </c>
      <c r="D75" s="4">
        <v>2029</v>
      </c>
      <c r="E75" s="4">
        <v>2148</v>
      </c>
    </row>
    <row r="76" spans="1:5" ht="15.75" customHeight="1" x14ac:dyDescent="0.25">
      <c r="A76" s="4">
        <v>57</v>
      </c>
      <c r="B76" s="4" t="s">
        <v>251</v>
      </c>
      <c r="C76" s="4">
        <v>2521</v>
      </c>
      <c r="D76" s="4">
        <v>1198</v>
      </c>
      <c r="E76" s="4">
        <v>1323</v>
      </c>
    </row>
    <row r="77" spans="1:5" ht="15.75" customHeight="1" x14ac:dyDescent="0.25">
      <c r="A77" s="4">
        <v>58</v>
      </c>
      <c r="B77" s="4" t="s">
        <v>252</v>
      </c>
      <c r="C77" s="4">
        <v>2559</v>
      </c>
      <c r="D77" s="4">
        <v>1213</v>
      </c>
      <c r="E77" s="4">
        <v>1346</v>
      </c>
    </row>
    <row r="78" spans="1:5" ht="15.75" customHeight="1" x14ac:dyDescent="0.25">
      <c r="A78" s="4">
        <v>59</v>
      </c>
      <c r="B78" s="4" t="s">
        <v>253</v>
      </c>
      <c r="C78" s="4">
        <v>2427</v>
      </c>
      <c r="D78" s="4">
        <v>1139</v>
      </c>
      <c r="E78" s="4">
        <v>1288</v>
      </c>
    </row>
    <row r="79" spans="1:5" ht="15.75" customHeight="1" x14ac:dyDescent="0.25">
      <c r="A79" s="4">
        <v>60</v>
      </c>
      <c r="B79" s="4" t="s">
        <v>254</v>
      </c>
      <c r="C79" s="4">
        <v>2113</v>
      </c>
      <c r="D79" s="4">
        <v>1024</v>
      </c>
      <c r="E79" s="4">
        <v>1089</v>
      </c>
    </row>
    <row r="80" spans="1:5" ht="15.75" customHeight="1" x14ac:dyDescent="0.25">
      <c r="A80" s="4">
        <v>61</v>
      </c>
      <c r="B80" s="4" t="s">
        <v>255</v>
      </c>
      <c r="C80" s="4">
        <v>2547</v>
      </c>
      <c r="D80" s="4">
        <v>1256</v>
      </c>
      <c r="E80" s="4">
        <v>1291</v>
      </c>
    </row>
    <row r="81" spans="1:5" ht="15.75" customHeight="1" x14ac:dyDescent="0.25">
      <c r="A81" s="4">
        <v>62</v>
      </c>
      <c r="B81" s="4" t="s">
        <v>256</v>
      </c>
      <c r="C81" s="4">
        <v>2248</v>
      </c>
      <c r="D81" s="4">
        <v>1088</v>
      </c>
      <c r="E81" s="4">
        <v>1160</v>
      </c>
    </row>
    <row r="82" spans="1:5" ht="15.75" customHeight="1" x14ac:dyDescent="0.25">
      <c r="A82" s="4">
        <v>63</v>
      </c>
      <c r="B82" s="4" t="s">
        <v>257</v>
      </c>
      <c r="C82" s="4">
        <v>2127</v>
      </c>
      <c r="D82" s="4">
        <v>1001</v>
      </c>
      <c r="E82" s="4">
        <v>1126</v>
      </c>
    </row>
    <row r="83" spans="1:5" ht="15.75" customHeight="1" x14ac:dyDescent="0.25">
      <c r="A83" s="4">
        <v>64</v>
      </c>
      <c r="B83" s="4" t="s">
        <v>258</v>
      </c>
      <c r="C83" s="4">
        <v>1670</v>
      </c>
      <c r="D83" s="4">
        <v>808</v>
      </c>
      <c r="E83" s="4">
        <v>862</v>
      </c>
    </row>
    <row r="84" spans="1:5" ht="15.75" customHeight="1" x14ac:dyDescent="0.25">
      <c r="A84" s="4">
        <v>65</v>
      </c>
      <c r="B84" s="4" t="s">
        <v>259</v>
      </c>
      <c r="C84" s="4">
        <v>1540</v>
      </c>
      <c r="D84" s="4">
        <v>760</v>
      </c>
      <c r="E84" s="4">
        <v>780</v>
      </c>
    </row>
    <row r="85" spans="1:5" ht="15.75" customHeight="1" x14ac:dyDescent="0.25">
      <c r="A85" s="4">
        <v>66</v>
      </c>
      <c r="B85" s="4" t="s">
        <v>260</v>
      </c>
      <c r="C85" s="4">
        <v>4912</v>
      </c>
      <c r="D85" s="4">
        <v>2393</v>
      </c>
      <c r="E85" s="4">
        <v>2519</v>
      </c>
    </row>
    <row r="86" spans="1:5" ht="15.75" customHeight="1" x14ac:dyDescent="0.25">
      <c r="A86" s="4">
        <v>67</v>
      </c>
      <c r="B86" s="4" t="s">
        <v>261</v>
      </c>
      <c r="C86" s="4">
        <v>4072</v>
      </c>
      <c r="D86" s="4">
        <v>1836</v>
      </c>
      <c r="E86" s="4">
        <v>2236</v>
      </c>
    </row>
    <row r="87" spans="1:5" ht="15.75" customHeight="1" x14ac:dyDescent="0.25">
      <c r="A87" s="4">
        <v>68</v>
      </c>
      <c r="B87" s="4" t="s">
        <v>262</v>
      </c>
      <c r="C87" s="4">
        <v>3750</v>
      </c>
      <c r="D87" s="4">
        <v>1760</v>
      </c>
      <c r="E87" s="4">
        <v>1990</v>
      </c>
    </row>
    <row r="88" spans="1:5" ht="15.75" customHeight="1" x14ac:dyDescent="0.25">
      <c r="A88" s="4">
        <v>69</v>
      </c>
      <c r="B88" s="4" t="s">
        <v>263</v>
      </c>
      <c r="C88" s="4">
        <v>2266</v>
      </c>
      <c r="D88" s="4">
        <v>1089</v>
      </c>
      <c r="E88" s="4">
        <v>1177</v>
      </c>
    </row>
    <row r="89" spans="1:5" ht="15.75" customHeight="1" x14ac:dyDescent="0.25">
      <c r="A89" s="4">
        <v>70</v>
      </c>
      <c r="B89" s="4" t="s">
        <v>264</v>
      </c>
      <c r="C89" s="4">
        <v>5258</v>
      </c>
      <c r="D89" s="4">
        <v>2507</v>
      </c>
      <c r="E89" s="4">
        <v>2751</v>
      </c>
    </row>
    <row r="90" spans="1:5" ht="15.75" customHeight="1" x14ac:dyDescent="0.25">
      <c r="A90" s="4">
        <v>71</v>
      </c>
      <c r="B90" s="4" t="s">
        <v>265</v>
      </c>
      <c r="C90" s="4">
        <v>3005</v>
      </c>
      <c r="D90" s="4">
        <v>1408</v>
      </c>
      <c r="E90" s="4">
        <v>1597</v>
      </c>
    </row>
    <row r="91" spans="1:5" ht="15.75" customHeight="1" x14ac:dyDescent="0.25">
      <c r="A91" s="6">
        <v>72</v>
      </c>
      <c r="B91" s="6" t="s">
        <v>266</v>
      </c>
      <c r="C91" s="6">
        <v>3498</v>
      </c>
      <c r="D91" s="6">
        <v>1659</v>
      </c>
      <c r="E91" s="6">
        <v>1839</v>
      </c>
    </row>
  </sheetData>
  <mergeCells count="4">
    <mergeCell ref="A4:A5"/>
    <mergeCell ref="B4:B5"/>
    <mergeCell ref="C4:E4"/>
    <mergeCell ref="A1:E1"/>
  </mergeCells>
  <hyperlinks>
    <hyperlink ref="A1:E1" location="'Lest of twonship'!A1" display="        Magway Region, Magway District,Taungwingyi Township"/>
  </hyperlinks>
  <pageMargins left="0.75" right="0.5" top="0.5" bottom="0.2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workbookViewId="0">
      <selection sqref="A1:E1"/>
    </sheetView>
  </sheetViews>
  <sheetFormatPr defaultRowHeight="15" x14ac:dyDescent="0.25"/>
  <cols>
    <col min="1" max="1" width="7.5703125" customWidth="1"/>
    <col min="2" max="2" width="27.5703125" bestFit="1" customWidth="1"/>
    <col min="3" max="5" width="15.7109375" customWidth="1"/>
  </cols>
  <sheetData>
    <row r="1" spans="1:5" ht="18.75" x14ac:dyDescent="0.3">
      <c r="A1" s="37" t="s">
        <v>1470</v>
      </c>
      <c r="B1" s="37"/>
      <c r="C1" s="37"/>
      <c r="D1" s="37"/>
      <c r="E1" s="37"/>
    </row>
    <row r="2" spans="1:5" ht="15.75" x14ac:dyDescent="0.25">
      <c r="E2" s="8" t="s">
        <v>1463</v>
      </c>
    </row>
    <row r="4" spans="1:5" ht="15.75" x14ac:dyDescent="0.25">
      <c r="A4" s="32" t="s">
        <v>1461</v>
      </c>
      <c r="B4" s="32" t="s">
        <v>1465</v>
      </c>
      <c r="C4" s="30" t="s">
        <v>1462</v>
      </c>
      <c r="D4" s="30"/>
      <c r="E4" s="30"/>
    </row>
    <row r="5" spans="1:5" ht="15.75" x14ac:dyDescent="0.25">
      <c r="A5" s="32"/>
      <c r="B5" s="32"/>
      <c r="C5" s="11" t="s">
        <v>0</v>
      </c>
      <c r="D5" s="11" t="s">
        <v>1</v>
      </c>
      <c r="E5" s="11" t="s">
        <v>2</v>
      </c>
    </row>
    <row r="6" spans="1:5" ht="21" customHeight="1" x14ac:dyDescent="0.25">
      <c r="A6" s="9"/>
      <c r="B6" s="3" t="s">
        <v>0</v>
      </c>
      <c r="C6" s="10">
        <f>SUM(C8+C14)</f>
        <v>159511</v>
      </c>
      <c r="D6" s="10">
        <f t="shared" ref="D6:E6" si="0">SUM(D8+D14)</f>
        <v>74039</v>
      </c>
      <c r="E6" s="10">
        <f t="shared" si="0"/>
        <v>85472</v>
      </c>
    </row>
    <row r="7" spans="1:5" ht="7.5" customHeight="1" x14ac:dyDescent="0.25">
      <c r="A7" s="4"/>
      <c r="B7" s="4"/>
      <c r="C7" s="4"/>
      <c r="D7" s="4"/>
      <c r="E7" s="4"/>
    </row>
    <row r="8" spans="1:5" ht="15.75" x14ac:dyDescent="0.25">
      <c r="A8" s="4"/>
      <c r="B8" s="5" t="s">
        <v>1460</v>
      </c>
      <c r="C8" s="5">
        <f>SUM(C9:C13)</f>
        <v>8080</v>
      </c>
      <c r="D8" s="5">
        <f t="shared" ref="D8:E8" si="1">SUM(D9:D13)</f>
        <v>3706</v>
      </c>
      <c r="E8" s="5">
        <f t="shared" si="1"/>
        <v>4374</v>
      </c>
    </row>
    <row r="9" spans="1:5" ht="15.75" x14ac:dyDescent="0.25">
      <c r="A9" s="4">
        <v>1</v>
      </c>
      <c r="B9" s="4" t="s">
        <v>267</v>
      </c>
      <c r="C9" s="4">
        <v>1785</v>
      </c>
      <c r="D9" s="4">
        <v>807</v>
      </c>
      <c r="E9" s="4">
        <v>978</v>
      </c>
    </row>
    <row r="10" spans="1:5" ht="15.75" x14ac:dyDescent="0.25">
      <c r="A10" s="4">
        <v>2</v>
      </c>
      <c r="B10" s="4" t="s">
        <v>268</v>
      </c>
      <c r="C10" s="4">
        <v>1486</v>
      </c>
      <c r="D10" s="4">
        <v>682</v>
      </c>
      <c r="E10" s="4">
        <v>804</v>
      </c>
    </row>
    <row r="11" spans="1:5" ht="15.75" x14ac:dyDescent="0.25">
      <c r="A11" s="4">
        <v>3</v>
      </c>
      <c r="B11" s="4" t="s">
        <v>269</v>
      </c>
      <c r="C11" s="4">
        <v>2794</v>
      </c>
      <c r="D11" s="4">
        <v>1351</v>
      </c>
      <c r="E11" s="4">
        <v>1443</v>
      </c>
    </row>
    <row r="12" spans="1:5" ht="15.75" x14ac:dyDescent="0.25">
      <c r="A12" s="4">
        <v>4</v>
      </c>
      <c r="B12" s="4" t="s">
        <v>270</v>
      </c>
      <c r="C12" s="4">
        <v>870</v>
      </c>
      <c r="D12" s="4">
        <v>370</v>
      </c>
      <c r="E12" s="4">
        <v>500</v>
      </c>
    </row>
    <row r="13" spans="1:5" ht="15.75" x14ac:dyDescent="0.25">
      <c r="A13" s="4">
        <v>5</v>
      </c>
      <c r="B13" s="4" t="s">
        <v>271</v>
      </c>
      <c r="C13" s="4">
        <v>1145</v>
      </c>
      <c r="D13" s="4">
        <v>496</v>
      </c>
      <c r="E13" s="4">
        <v>649</v>
      </c>
    </row>
    <row r="14" spans="1:5" ht="15.75" x14ac:dyDescent="0.25">
      <c r="A14" s="4"/>
      <c r="B14" s="5" t="s">
        <v>1464</v>
      </c>
      <c r="C14" s="5">
        <f>SUM(C15:C61)</f>
        <v>151431</v>
      </c>
      <c r="D14" s="5">
        <f t="shared" ref="D14:E14" si="2">SUM(D15:D61)</f>
        <v>70333</v>
      </c>
      <c r="E14" s="5">
        <f t="shared" si="2"/>
        <v>81098</v>
      </c>
    </row>
    <row r="15" spans="1:5" ht="15.75" x14ac:dyDescent="0.25">
      <c r="A15" s="4">
        <v>1</v>
      </c>
      <c r="B15" s="4" t="s">
        <v>272</v>
      </c>
      <c r="C15" s="4">
        <v>1499</v>
      </c>
      <c r="D15" s="4">
        <v>705</v>
      </c>
      <c r="E15" s="4">
        <v>794</v>
      </c>
    </row>
    <row r="16" spans="1:5" ht="15.75" x14ac:dyDescent="0.25">
      <c r="A16" s="4">
        <v>2</v>
      </c>
      <c r="B16" s="4" t="s">
        <v>273</v>
      </c>
      <c r="C16" s="4">
        <v>2128</v>
      </c>
      <c r="D16" s="4">
        <v>1020</v>
      </c>
      <c r="E16" s="4">
        <v>1108</v>
      </c>
    </row>
    <row r="17" spans="1:5" ht="15.75" x14ac:dyDescent="0.25">
      <c r="A17" s="4">
        <v>3</v>
      </c>
      <c r="B17" s="4" t="s">
        <v>274</v>
      </c>
      <c r="C17" s="4">
        <v>6206</v>
      </c>
      <c r="D17" s="4">
        <v>2713</v>
      </c>
      <c r="E17" s="4">
        <v>3493</v>
      </c>
    </row>
    <row r="18" spans="1:5" ht="15.75" x14ac:dyDescent="0.25">
      <c r="A18" s="4">
        <v>4</v>
      </c>
      <c r="B18" s="4" t="s">
        <v>275</v>
      </c>
      <c r="C18" s="4">
        <v>5632</v>
      </c>
      <c r="D18" s="4">
        <v>2721</v>
      </c>
      <c r="E18" s="4">
        <v>2911</v>
      </c>
    </row>
    <row r="19" spans="1:5" ht="15.75" x14ac:dyDescent="0.25">
      <c r="A19" s="4">
        <v>5</v>
      </c>
      <c r="B19" s="4" t="s">
        <v>276</v>
      </c>
      <c r="C19" s="4">
        <v>1069</v>
      </c>
      <c r="D19" s="4">
        <v>498</v>
      </c>
      <c r="E19" s="4">
        <v>571</v>
      </c>
    </row>
    <row r="20" spans="1:5" ht="15.75" x14ac:dyDescent="0.25">
      <c r="A20" s="4">
        <v>6</v>
      </c>
      <c r="B20" s="4" t="s">
        <v>277</v>
      </c>
      <c r="C20" s="4">
        <v>1694</v>
      </c>
      <c r="D20" s="4">
        <v>841</v>
      </c>
      <c r="E20" s="4">
        <v>853</v>
      </c>
    </row>
    <row r="21" spans="1:5" ht="15.75" x14ac:dyDescent="0.25">
      <c r="A21" s="4">
        <v>7</v>
      </c>
      <c r="B21" s="4" t="s">
        <v>278</v>
      </c>
      <c r="C21" s="4">
        <v>3826</v>
      </c>
      <c r="D21" s="4">
        <v>1745</v>
      </c>
      <c r="E21" s="4">
        <v>2081</v>
      </c>
    </row>
    <row r="22" spans="1:5" ht="15.75" x14ac:dyDescent="0.25">
      <c r="A22" s="4">
        <v>8</v>
      </c>
      <c r="B22" s="4" t="s">
        <v>279</v>
      </c>
      <c r="C22" s="4">
        <v>3734</v>
      </c>
      <c r="D22" s="4">
        <v>1772</v>
      </c>
      <c r="E22" s="4">
        <v>1962</v>
      </c>
    </row>
    <row r="23" spans="1:5" ht="15.75" x14ac:dyDescent="0.25">
      <c r="A23" s="4">
        <v>9</v>
      </c>
      <c r="B23" s="4" t="s">
        <v>280</v>
      </c>
      <c r="C23" s="4">
        <v>5946</v>
      </c>
      <c r="D23" s="4">
        <v>2831</v>
      </c>
      <c r="E23" s="4">
        <v>3115</v>
      </c>
    </row>
    <row r="24" spans="1:5" ht="15.75" x14ac:dyDescent="0.25">
      <c r="A24" s="4">
        <v>10</v>
      </c>
      <c r="B24" s="4" t="s">
        <v>281</v>
      </c>
      <c r="C24" s="4">
        <v>6872</v>
      </c>
      <c r="D24" s="4">
        <v>3325</v>
      </c>
      <c r="E24" s="4">
        <v>3547</v>
      </c>
    </row>
    <row r="25" spans="1:5" ht="15.75" x14ac:dyDescent="0.25">
      <c r="A25" s="4">
        <v>11</v>
      </c>
      <c r="B25" s="4" t="s">
        <v>282</v>
      </c>
      <c r="C25" s="4">
        <v>4297</v>
      </c>
      <c r="D25" s="4">
        <v>2108</v>
      </c>
      <c r="E25" s="4">
        <v>2189</v>
      </c>
    </row>
    <row r="26" spans="1:5" ht="15.75" x14ac:dyDescent="0.25">
      <c r="A26" s="4">
        <v>12</v>
      </c>
      <c r="B26" s="4" t="s">
        <v>283</v>
      </c>
      <c r="C26" s="4">
        <v>1746</v>
      </c>
      <c r="D26" s="4">
        <v>820</v>
      </c>
      <c r="E26" s="4">
        <v>926</v>
      </c>
    </row>
    <row r="27" spans="1:5" ht="15.75" x14ac:dyDescent="0.25">
      <c r="A27" s="4">
        <v>13</v>
      </c>
      <c r="B27" s="4" t="s">
        <v>284</v>
      </c>
      <c r="C27" s="4">
        <v>2443</v>
      </c>
      <c r="D27" s="4">
        <v>1131</v>
      </c>
      <c r="E27" s="4">
        <v>1312</v>
      </c>
    </row>
    <row r="28" spans="1:5" ht="15.75" x14ac:dyDescent="0.25">
      <c r="A28" s="4">
        <v>14</v>
      </c>
      <c r="B28" s="4" t="s">
        <v>285</v>
      </c>
      <c r="C28" s="4">
        <v>3518</v>
      </c>
      <c r="D28" s="4">
        <v>1611</v>
      </c>
      <c r="E28" s="4">
        <v>1907</v>
      </c>
    </row>
    <row r="29" spans="1:5" ht="15.75" x14ac:dyDescent="0.25">
      <c r="A29" s="4">
        <v>15</v>
      </c>
      <c r="B29" s="4" t="s">
        <v>286</v>
      </c>
      <c r="C29" s="4">
        <v>5009</v>
      </c>
      <c r="D29" s="4">
        <v>2248</v>
      </c>
      <c r="E29" s="4">
        <v>2761</v>
      </c>
    </row>
    <row r="30" spans="1:5" ht="15.75" x14ac:dyDescent="0.25">
      <c r="A30" s="4">
        <v>16</v>
      </c>
      <c r="B30" s="4" t="s">
        <v>287</v>
      </c>
      <c r="C30" s="4">
        <v>1762</v>
      </c>
      <c r="D30" s="4">
        <v>786</v>
      </c>
      <c r="E30" s="4">
        <v>976</v>
      </c>
    </row>
    <row r="31" spans="1:5" ht="15.75" x14ac:dyDescent="0.25">
      <c r="A31" s="4">
        <v>17</v>
      </c>
      <c r="B31" s="4" t="s">
        <v>288</v>
      </c>
      <c r="C31" s="4">
        <v>1923</v>
      </c>
      <c r="D31" s="4">
        <v>882</v>
      </c>
      <c r="E31" s="4">
        <v>1041</v>
      </c>
    </row>
    <row r="32" spans="1:5" ht="15.75" x14ac:dyDescent="0.25">
      <c r="A32" s="4">
        <v>18</v>
      </c>
      <c r="B32" s="4" t="s">
        <v>289</v>
      </c>
      <c r="C32" s="4">
        <v>3709</v>
      </c>
      <c r="D32" s="4">
        <v>1711</v>
      </c>
      <c r="E32" s="4">
        <v>1998</v>
      </c>
    </row>
    <row r="33" spans="1:5" ht="15.75" x14ac:dyDescent="0.25">
      <c r="A33" s="4">
        <v>19</v>
      </c>
      <c r="B33" s="4" t="s">
        <v>290</v>
      </c>
      <c r="C33" s="4">
        <v>2954</v>
      </c>
      <c r="D33" s="4">
        <v>1311</v>
      </c>
      <c r="E33" s="4">
        <v>1643</v>
      </c>
    </row>
    <row r="34" spans="1:5" ht="15.75" x14ac:dyDescent="0.25">
      <c r="A34" s="4">
        <v>20</v>
      </c>
      <c r="B34" s="4" t="s">
        <v>291</v>
      </c>
      <c r="C34" s="4">
        <v>3873</v>
      </c>
      <c r="D34" s="4">
        <v>1674</v>
      </c>
      <c r="E34" s="4">
        <v>2199</v>
      </c>
    </row>
    <row r="35" spans="1:5" ht="15.75" x14ac:dyDescent="0.25">
      <c r="A35" s="4">
        <v>21</v>
      </c>
      <c r="B35" s="4" t="s">
        <v>202</v>
      </c>
      <c r="C35" s="4">
        <v>4867</v>
      </c>
      <c r="D35" s="4">
        <v>2255</v>
      </c>
      <c r="E35" s="4">
        <v>2612</v>
      </c>
    </row>
    <row r="36" spans="1:5" ht="15.75" x14ac:dyDescent="0.25">
      <c r="A36" s="4">
        <v>22</v>
      </c>
      <c r="B36" s="4" t="s">
        <v>292</v>
      </c>
      <c r="C36" s="4">
        <v>943</v>
      </c>
      <c r="D36" s="4">
        <v>444</v>
      </c>
      <c r="E36" s="4">
        <v>499</v>
      </c>
    </row>
    <row r="37" spans="1:5" ht="15.75" x14ac:dyDescent="0.25">
      <c r="A37" s="4">
        <v>23</v>
      </c>
      <c r="B37" s="4" t="s">
        <v>107</v>
      </c>
      <c r="C37" s="4">
        <v>8740</v>
      </c>
      <c r="D37" s="4">
        <v>4030</v>
      </c>
      <c r="E37" s="4">
        <v>4710</v>
      </c>
    </row>
    <row r="38" spans="1:5" ht="15.75" x14ac:dyDescent="0.25">
      <c r="A38" s="4">
        <v>24</v>
      </c>
      <c r="B38" s="4" t="s">
        <v>293</v>
      </c>
      <c r="C38" s="4">
        <v>3792</v>
      </c>
      <c r="D38" s="4">
        <v>1817</v>
      </c>
      <c r="E38" s="4">
        <v>1975</v>
      </c>
    </row>
    <row r="39" spans="1:5" ht="15.75" x14ac:dyDescent="0.25">
      <c r="A39" s="4">
        <v>25</v>
      </c>
      <c r="B39" s="4" t="s">
        <v>294</v>
      </c>
      <c r="C39" s="4">
        <v>2954</v>
      </c>
      <c r="D39" s="4">
        <v>1352</v>
      </c>
      <c r="E39" s="4">
        <v>1602</v>
      </c>
    </row>
    <row r="40" spans="1:5" ht="15.75" x14ac:dyDescent="0.25">
      <c r="A40" s="4">
        <v>26</v>
      </c>
      <c r="B40" s="4" t="s">
        <v>295</v>
      </c>
      <c r="C40" s="4">
        <v>1911</v>
      </c>
      <c r="D40" s="4">
        <v>939</v>
      </c>
      <c r="E40" s="4">
        <v>972</v>
      </c>
    </row>
    <row r="41" spans="1:5" ht="15.75" x14ac:dyDescent="0.25">
      <c r="A41" s="4">
        <v>27</v>
      </c>
      <c r="B41" s="4" t="s">
        <v>64</v>
      </c>
      <c r="C41" s="4">
        <v>3138</v>
      </c>
      <c r="D41" s="4">
        <v>1420</v>
      </c>
      <c r="E41" s="4">
        <v>1718</v>
      </c>
    </row>
    <row r="42" spans="1:5" ht="15.75" x14ac:dyDescent="0.25">
      <c r="A42" s="4">
        <v>28</v>
      </c>
      <c r="B42" s="4" t="s">
        <v>296</v>
      </c>
      <c r="C42" s="4">
        <v>2261</v>
      </c>
      <c r="D42" s="4">
        <v>1068</v>
      </c>
      <c r="E42" s="4">
        <v>1193</v>
      </c>
    </row>
    <row r="43" spans="1:5" ht="15.75" x14ac:dyDescent="0.25">
      <c r="A43" s="4">
        <v>29</v>
      </c>
      <c r="B43" s="4" t="s">
        <v>297</v>
      </c>
      <c r="C43" s="4">
        <v>3689</v>
      </c>
      <c r="D43" s="4">
        <v>1677</v>
      </c>
      <c r="E43" s="4">
        <v>2012</v>
      </c>
    </row>
    <row r="44" spans="1:5" ht="15.75" x14ac:dyDescent="0.25">
      <c r="A44" s="4">
        <v>30</v>
      </c>
      <c r="B44" s="4" t="s">
        <v>298</v>
      </c>
      <c r="C44" s="4">
        <v>4666</v>
      </c>
      <c r="D44" s="4">
        <v>2162</v>
      </c>
      <c r="E44" s="4">
        <v>2504</v>
      </c>
    </row>
    <row r="45" spans="1:5" ht="15.75" x14ac:dyDescent="0.25">
      <c r="A45" s="4">
        <v>31</v>
      </c>
      <c r="B45" s="4" t="s">
        <v>299</v>
      </c>
      <c r="C45" s="4">
        <v>987</v>
      </c>
      <c r="D45" s="4">
        <v>470</v>
      </c>
      <c r="E45" s="4">
        <v>517</v>
      </c>
    </row>
    <row r="46" spans="1:5" ht="15.75" x14ac:dyDescent="0.25">
      <c r="A46" s="4">
        <v>32</v>
      </c>
      <c r="B46" s="4" t="s">
        <v>165</v>
      </c>
      <c r="C46" s="4">
        <v>2188</v>
      </c>
      <c r="D46" s="4">
        <v>1003</v>
      </c>
      <c r="E46" s="4">
        <v>1185</v>
      </c>
    </row>
    <row r="47" spans="1:5" ht="15.75" x14ac:dyDescent="0.25">
      <c r="A47" s="4">
        <v>33</v>
      </c>
      <c r="B47" s="4" t="s">
        <v>300</v>
      </c>
      <c r="C47" s="4">
        <v>1608</v>
      </c>
      <c r="D47" s="4">
        <v>736</v>
      </c>
      <c r="E47" s="4">
        <v>872</v>
      </c>
    </row>
    <row r="48" spans="1:5" ht="15.75" x14ac:dyDescent="0.25">
      <c r="A48" s="4">
        <v>34</v>
      </c>
      <c r="B48" s="4" t="s">
        <v>301</v>
      </c>
      <c r="C48" s="4">
        <v>4348</v>
      </c>
      <c r="D48" s="4">
        <v>1991</v>
      </c>
      <c r="E48" s="4">
        <v>2357</v>
      </c>
    </row>
    <row r="49" spans="1:5" ht="15.75" x14ac:dyDescent="0.25">
      <c r="A49" s="4">
        <v>35</v>
      </c>
      <c r="B49" s="4" t="s">
        <v>302</v>
      </c>
      <c r="C49" s="4">
        <v>3640</v>
      </c>
      <c r="D49" s="4">
        <v>1705</v>
      </c>
      <c r="E49" s="4">
        <v>1935</v>
      </c>
    </row>
    <row r="50" spans="1:5" ht="15.75" x14ac:dyDescent="0.25">
      <c r="A50" s="4">
        <v>36</v>
      </c>
      <c r="B50" s="4" t="s">
        <v>180</v>
      </c>
      <c r="C50" s="4">
        <v>2142</v>
      </c>
      <c r="D50" s="4">
        <v>1041</v>
      </c>
      <c r="E50" s="4">
        <v>1101</v>
      </c>
    </row>
    <row r="51" spans="1:5" ht="15.75" x14ac:dyDescent="0.25">
      <c r="A51" s="4">
        <v>37</v>
      </c>
      <c r="B51" s="4" t="s">
        <v>303</v>
      </c>
      <c r="C51" s="4">
        <v>2893</v>
      </c>
      <c r="D51" s="4">
        <v>1342</v>
      </c>
      <c r="E51" s="4">
        <v>1551</v>
      </c>
    </row>
    <row r="52" spans="1:5" ht="15.75" x14ac:dyDescent="0.25">
      <c r="A52" s="4">
        <v>38</v>
      </c>
      <c r="B52" s="4" t="s">
        <v>304</v>
      </c>
      <c r="C52" s="4">
        <v>3736</v>
      </c>
      <c r="D52" s="4">
        <v>1730</v>
      </c>
      <c r="E52" s="4">
        <v>2006</v>
      </c>
    </row>
    <row r="53" spans="1:5" ht="15.75" x14ac:dyDescent="0.25">
      <c r="A53" s="4">
        <v>39</v>
      </c>
      <c r="B53" s="4" t="s">
        <v>305</v>
      </c>
      <c r="C53" s="4">
        <v>3752</v>
      </c>
      <c r="D53" s="4">
        <v>1785</v>
      </c>
      <c r="E53" s="4">
        <v>1967</v>
      </c>
    </row>
    <row r="54" spans="1:5" ht="15.75" x14ac:dyDescent="0.25">
      <c r="A54" s="4">
        <v>40</v>
      </c>
      <c r="B54" s="4" t="s">
        <v>306</v>
      </c>
      <c r="C54" s="4">
        <v>3980</v>
      </c>
      <c r="D54" s="4">
        <v>1807</v>
      </c>
      <c r="E54" s="4">
        <v>2173</v>
      </c>
    </row>
    <row r="55" spans="1:5" ht="15.75" x14ac:dyDescent="0.25">
      <c r="A55" s="4">
        <v>41</v>
      </c>
      <c r="B55" s="4" t="s">
        <v>307</v>
      </c>
      <c r="C55" s="4">
        <v>1894</v>
      </c>
      <c r="D55" s="4">
        <v>902</v>
      </c>
      <c r="E55" s="4">
        <v>992</v>
      </c>
    </row>
    <row r="56" spans="1:5" ht="15.75" x14ac:dyDescent="0.25">
      <c r="A56" s="4">
        <v>42</v>
      </c>
      <c r="B56" s="4" t="s">
        <v>308</v>
      </c>
      <c r="C56" s="4">
        <v>2138</v>
      </c>
      <c r="D56" s="4">
        <v>984</v>
      </c>
      <c r="E56" s="4">
        <v>1154</v>
      </c>
    </row>
    <row r="57" spans="1:5" ht="15.75" x14ac:dyDescent="0.25">
      <c r="A57" s="4">
        <v>43</v>
      </c>
      <c r="B57" s="4" t="s">
        <v>309</v>
      </c>
      <c r="C57" s="4">
        <v>1703</v>
      </c>
      <c r="D57" s="4">
        <v>816</v>
      </c>
      <c r="E57" s="4">
        <v>887</v>
      </c>
    </row>
    <row r="58" spans="1:5" ht="15.75" x14ac:dyDescent="0.25">
      <c r="A58" s="4">
        <v>44</v>
      </c>
      <c r="B58" s="4" t="s">
        <v>310</v>
      </c>
      <c r="C58" s="4">
        <v>3481</v>
      </c>
      <c r="D58" s="4">
        <v>1599</v>
      </c>
      <c r="E58" s="4">
        <v>1882</v>
      </c>
    </row>
    <row r="59" spans="1:5" ht="15.75" x14ac:dyDescent="0.25">
      <c r="A59" s="4">
        <v>45</v>
      </c>
      <c r="B59" s="4" t="s">
        <v>311</v>
      </c>
      <c r="C59" s="4">
        <v>3828</v>
      </c>
      <c r="D59" s="4">
        <v>1736</v>
      </c>
      <c r="E59" s="4">
        <v>2092</v>
      </c>
    </row>
    <row r="60" spans="1:5" ht="15.75" x14ac:dyDescent="0.25">
      <c r="A60" s="4">
        <v>46</v>
      </c>
      <c r="B60" s="4" t="s">
        <v>312</v>
      </c>
      <c r="C60" s="4">
        <v>1620</v>
      </c>
      <c r="D60" s="4">
        <v>748</v>
      </c>
      <c r="E60" s="4">
        <v>872</v>
      </c>
    </row>
    <row r="61" spans="1:5" ht="15.75" x14ac:dyDescent="0.25">
      <c r="A61" s="6">
        <v>47</v>
      </c>
      <c r="B61" s="6" t="s">
        <v>313</v>
      </c>
      <c r="C61" s="6">
        <v>692</v>
      </c>
      <c r="D61" s="6">
        <v>321</v>
      </c>
      <c r="E61" s="6">
        <v>371</v>
      </c>
    </row>
  </sheetData>
  <mergeCells count="4">
    <mergeCell ref="A4:A5"/>
    <mergeCell ref="B4:B5"/>
    <mergeCell ref="C4:E4"/>
    <mergeCell ref="A1:E1"/>
  </mergeCells>
  <hyperlinks>
    <hyperlink ref="A1:E1" location="'Lest of twonship'!A1" display="        Magway Region, Magway District, Myothit Township"/>
  </hyperlinks>
  <pageMargins left="0.75" right="0.5" top="0.5" bottom="0.2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workbookViewId="0">
      <selection sqref="A1:E1"/>
    </sheetView>
  </sheetViews>
  <sheetFormatPr defaultRowHeight="15" x14ac:dyDescent="0.25"/>
  <cols>
    <col min="1" max="1" width="6.28515625" customWidth="1"/>
    <col min="2" max="2" width="30.42578125" bestFit="1" customWidth="1"/>
    <col min="3" max="5" width="15.7109375" customWidth="1"/>
  </cols>
  <sheetData>
    <row r="1" spans="1:8" ht="18.75" x14ac:dyDescent="0.3">
      <c r="A1" s="37" t="s">
        <v>1471</v>
      </c>
      <c r="B1" s="37"/>
      <c r="C1" s="37"/>
      <c r="D1" s="37"/>
      <c r="E1" s="37"/>
    </row>
    <row r="2" spans="1:8" ht="15.75" x14ac:dyDescent="0.25">
      <c r="E2" s="8" t="s">
        <v>1463</v>
      </c>
    </row>
    <row r="4" spans="1:8" ht="15.75" x14ac:dyDescent="0.25">
      <c r="A4" s="32" t="s">
        <v>1461</v>
      </c>
      <c r="B4" s="32" t="s">
        <v>1465</v>
      </c>
      <c r="C4" s="30" t="s">
        <v>1462</v>
      </c>
      <c r="D4" s="30"/>
      <c r="E4" s="30"/>
    </row>
    <row r="5" spans="1:8" ht="15.75" x14ac:dyDescent="0.25">
      <c r="A5" s="28"/>
      <c r="B5" s="28"/>
      <c r="C5" s="13" t="s">
        <v>0</v>
      </c>
      <c r="D5" s="13" t="s">
        <v>1</v>
      </c>
      <c r="E5" s="13" t="s">
        <v>2</v>
      </c>
    </row>
    <row r="6" spans="1:8" ht="21.75" customHeight="1" x14ac:dyDescent="0.25">
      <c r="A6" s="2"/>
      <c r="B6" s="3" t="s">
        <v>0</v>
      </c>
      <c r="C6" s="3">
        <f>SUM(C8+C16)</f>
        <v>206996</v>
      </c>
      <c r="D6" s="3">
        <f t="shared" ref="D6:E6" si="0">SUM(D8+D16)</f>
        <v>92774</v>
      </c>
      <c r="E6" s="3">
        <f t="shared" si="0"/>
        <v>114222</v>
      </c>
      <c r="F6" s="14"/>
      <c r="G6" s="15"/>
      <c r="H6" s="15"/>
    </row>
    <row r="7" spans="1:8" ht="9" customHeight="1" x14ac:dyDescent="0.25">
      <c r="A7" s="4"/>
      <c r="B7" s="4"/>
      <c r="C7" s="4"/>
      <c r="D7" s="4"/>
      <c r="E7" s="4"/>
      <c r="F7" s="14"/>
      <c r="G7" s="15"/>
      <c r="H7" s="15"/>
    </row>
    <row r="8" spans="1:8" ht="15.75" customHeight="1" x14ac:dyDescent="0.25">
      <c r="A8" s="4"/>
      <c r="B8" s="20" t="s">
        <v>1460</v>
      </c>
      <c r="C8" s="5">
        <f>SUM(C9:C15)</f>
        <v>14737</v>
      </c>
      <c r="D8" s="5">
        <f t="shared" ref="D8:E8" si="1">SUM(D9:D15)</f>
        <v>6774</v>
      </c>
      <c r="E8" s="5">
        <f t="shared" si="1"/>
        <v>7963</v>
      </c>
      <c r="F8" s="14"/>
      <c r="G8" s="15"/>
      <c r="H8" s="15"/>
    </row>
    <row r="9" spans="1:8" ht="15.75" customHeight="1" x14ac:dyDescent="0.25">
      <c r="A9" s="4">
        <v>1</v>
      </c>
      <c r="B9" s="4" t="s">
        <v>314</v>
      </c>
      <c r="C9" s="4">
        <v>1899</v>
      </c>
      <c r="D9" s="4">
        <v>879</v>
      </c>
      <c r="E9" s="4">
        <v>1020</v>
      </c>
      <c r="F9" s="14"/>
      <c r="G9" s="15"/>
      <c r="H9" s="15"/>
    </row>
    <row r="10" spans="1:8" ht="15.75" customHeight="1" x14ac:dyDescent="0.25">
      <c r="A10" s="4">
        <v>2</v>
      </c>
      <c r="B10" s="4" t="s">
        <v>315</v>
      </c>
      <c r="C10" s="4">
        <v>1704</v>
      </c>
      <c r="D10" s="4">
        <v>779</v>
      </c>
      <c r="E10" s="4">
        <v>925</v>
      </c>
      <c r="F10" s="14"/>
      <c r="G10" s="15"/>
      <c r="H10" s="15"/>
    </row>
    <row r="11" spans="1:8" ht="15.75" customHeight="1" x14ac:dyDescent="0.25">
      <c r="A11" s="4">
        <v>3</v>
      </c>
      <c r="B11" s="4" t="s">
        <v>316</v>
      </c>
      <c r="C11" s="4">
        <v>2814</v>
      </c>
      <c r="D11" s="4">
        <v>1311</v>
      </c>
      <c r="E11" s="4">
        <v>1503</v>
      </c>
      <c r="F11" s="14"/>
      <c r="G11" s="15"/>
      <c r="H11" s="15"/>
    </row>
    <row r="12" spans="1:8" ht="15.75" customHeight="1" x14ac:dyDescent="0.25">
      <c r="A12" s="4">
        <v>4</v>
      </c>
      <c r="B12" s="4" t="s">
        <v>317</v>
      </c>
      <c r="C12" s="4">
        <v>2951</v>
      </c>
      <c r="D12" s="4">
        <v>1374</v>
      </c>
      <c r="E12" s="4">
        <v>1577</v>
      </c>
      <c r="F12" s="14"/>
      <c r="G12" s="15"/>
      <c r="H12" s="15"/>
    </row>
    <row r="13" spans="1:8" ht="15.75" customHeight="1" x14ac:dyDescent="0.25">
      <c r="A13" s="4">
        <v>5</v>
      </c>
      <c r="B13" s="4" t="s">
        <v>318</v>
      </c>
      <c r="C13" s="4">
        <v>1960</v>
      </c>
      <c r="D13" s="4">
        <v>901</v>
      </c>
      <c r="E13" s="4">
        <v>1059</v>
      </c>
      <c r="F13" s="14"/>
      <c r="G13" s="15"/>
      <c r="H13" s="15"/>
    </row>
    <row r="14" spans="1:8" ht="15.75" customHeight="1" x14ac:dyDescent="0.25">
      <c r="A14" s="4">
        <v>6</v>
      </c>
      <c r="B14" s="4" t="s">
        <v>319</v>
      </c>
      <c r="C14" s="4">
        <v>1836</v>
      </c>
      <c r="D14" s="4">
        <v>825</v>
      </c>
      <c r="E14" s="4">
        <v>1011</v>
      </c>
      <c r="F14" s="14"/>
      <c r="G14" s="15"/>
      <c r="H14" s="15"/>
    </row>
    <row r="15" spans="1:8" ht="15.75" customHeight="1" x14ac:dyDescent="0.25">
      <c r="A15" s="4">
        <v>7</v>
      </c>
      <c r="B15" s="4" t="s">
        <v>320</v>
      </c>
      <c r="C15" s="4">
        <v>1573</v>
      </c>
      <c r="D15" s="4">
        <v>705</v>
      </c>
      <c r="E15" s="4">
        <v>868</v>
      </c>
      <c r="F15" s="14"/>
      <c r="G15" s="15"/>
      <c r="H15" s="15"/>
    </row>
    <row r="16" spans="1:8" ht="15.75" customHeight="1" x14ac:dyDescent="0.25">
      <c r="A16" s="4"/>
      <c r="B16" s="20" t="s">
        <v>1464</v>
      </c>
      <c r="C16" s="5">
        <f>SUM(C17:C89)</f>
        <v>192259</v>
      </c>
      <c r="D16" s="5">
        <f t="shared" ref="D16:E16" si="2">SUM(D17:D89)</f>
        <v>86000</v>
      </c>
      <c r="E16" s="5">
        <f t="shared" si="2"/>
        <v>106259</v>
      </c>
      <c r="F16" s="14"/>
      <c r="G16" s="15"/>
      <c r="H16" s="15"/>
    </row>
    <row r="17" spans="1:8" ht="15.75" customHeight="1" x14ac:dyDescent="0.25">
      <c r="A17" s="4">
        <v>1</v>
      </c>
      <c r="B17" s="4" t="s">
        <v>321</v>
      </c>
      <c r="C17" s="4">
        <v>1845</v>
      </c>
      <c r="D17" s="4">
        <v>856</v>
      </c>
      <c r="E17" s="4">
        <v>989</v>
      </c>
      <c r="F17" s="14"/>
      <c r="G17" s="15"/>
      <c r="H17" s="15"/>
    </row>
    <row r="18" spans="1:8" ht="15.75" customHeight="1" x14ac:dyDescent="0.25">
      <c r="A18" s="4">
        <v>2</v>
      </c>
      <c r="B18" s="4" t="s">
        <v>322</v>
      </c>
      <c r="C18" s="4">
        <v>1995</v>
      </c>
      <c r="D18" s="4">
        <v>907</v>
      </c>
      <c r="E18" s="4">
        <v>1088</v>
      </c>
      <c r="F18" s="14"/>
      <c r="G18" s="15"/>
      <c r="H18" s="15"/>
    </row>
    <row r="19" spans="1:8" ht="15.75" customHeight="1" x14ac:dyDescent="0.25">
      <c r="A19" s="4">
        <v>3</v>
      </c>
      <c r="B19" s="4" t="s">
        <v>323</v>
      </c>
      <c r="C19" s="4">
        <v>1499</v>
      </c>
      <c r="D19" s="4">
        <v>671</v>
      </c>
      <c r="E19" s="4">
        <v>828</v>
      </c>
      <c r="F19" s="14"/>
      <c r="G19" s="15"/>
      <c r="H19" s="15"/>
    </row>
    <row r="20" spans="1:8" ht="15.75" customHeight="1" x14ac:dyDescent="0.25">
      <c r="A20" s="4">
        <v>4</v>
      </c>
      <c r="B20" s="4" t="s">
        <v>324</v>
      </c>
      <c r="C20" s="4">
        <v>3280</v>
      </c>
      <c r="D20" s="4">
        <v>1567</v>
      </c>
      <c r="E20" s="4">
        <v>1713</v>
      </c>
      <c r="F20" s="14"/>
      <c r="G20" s="15"/>
      <c r="H20" s="15"/>
    </row>
    <row r="21" spans="1:8" ht="15.75" customHeight="1" x14ac:dyDescent="0.25">
      <c r="A21" s="4">
        <v>5</v>
      </c>
      <c r="B21" s="4" t="s">
        <v>325</v>
      </c>
      <c r="C21" s="4">
        <v>3446</v>
      </c>
      <c r="D21" s="4">
        <v>1605</v>
      </c>
      <c r="E21" s="4">
        <v>1841</v>
      </c>
      <c r="F21" s="14"/>
      <c r="G21" s="15"/>
      <c r="H21" s="15"/>
    </row>
    <row r="22" spans="1:8" ht="15.75" customHeight="1" x14ac:dyDescent="0.25">
      <c r="A22" s="4">
        <v>6</v>
      </c>
      <c r="B22" s="4" t="s">
        <v>326</v>
      </c>
      <c r="C22" s="4">
        <v>3468</v>
      </c>
      <c r="D22" s="4">
        <v>1547</v>
      </c>
      <c r="E22" s="4">
        <v>1921</v>
      </c>
      <c r="F22" s="14"/>
      <c r="G22" s="15"/>
      <c r="H22" s="15"/>
    </row>
    <row r="23" spans="1:8" ht="15.75" customHeight="1" x14ac:dyDescent="0.25">
      <c r="A23" s="4">
        <v>7</v>
      </c>
      <c r="B23" s="4" t="s">
        <v>327</v>
      </c>
      <c r="C23" s="4">
        <v>1925</v>
      </c>
      <c r="D23" s="4">
        <v>906</v>
      </c>
      <c r="E23" s="4">
        <v>1019</v>
      </c>
      <c r="F23" s="14"/>
      <c r="G23" s="15"/>
      <c r="H23" s="15"/>
    </row>
    <row r="24" spans="1:8" ht="15.75" customHeight="1" x14ac:dyDescent="0.25">
      <c r="A24" s="4">
        <v>8</v>
      </c>
      <c r="B24" s="4" t="s">
        <v>328</v>
      </c>
      <c r="C24" s="4">
        <v>2736</v>
      </c>
      <c r="D24" s="4">
        <v>1244</v>
      </c>
      <c r="E24" s="4">
        <v>1492</v>
      </c>
      <c r="F24" s="14"/>
      <c r="G24" s="15"/>
      <c r="H24" s="15"/>
    </row>
    <row r="25" spans="1:8" ht="15.75" customHeight="1" x14ac:dyDescent="0.25">
      <c r="A25" s="4">
        <v>9</v>
      </c>
      <c r="B25" s="4" t="s">
        <v>329</v>
      </c>
      <c r="C25" s="4">
        <v>2593</v>
      </c>
      <c r="D25" s="4">
        <v>1115</v>
      </c>
      <c r="E25" s="4">
        <v>1478</v>
      </c>
      <c r="F25" s="14"/>
      <c r="G25" s="15"/>
      <c r="H25" s="15"/>
    </row>
    <row r="26" spans="1:8" ht="15.75" customHeight="1" x14ac:dyDescent="0.25">
      <c r="A26" s="4">
        <v>10</v>
      </c>
      <c r="B26" s="4" t="s">
        <v>330</v>
      </c>
      <c r="C26" s="4">
        <v>4137</v>
      </c>
      <c r="D26" s="4">
        <v>1952</v>
      </c>
      <c r="E26" s="4">
        <v>2185</v>
      </c>
      <c r="F26" s="14"/>
      <c r="G26" s="15"/>
      <c r="H26" s="15"/>
    </row>
    <row r="27" spans="1:8" ht="15.75" customHeight="1" x14ac:dyDescent="0.25">
      <c r="A27" s="4">
        <v>11</v>
      </c>
      <c r="B27" s="4" t="s">
        <v>331</v>
      </c>
      <c r="C27" s="4">
        <v>3155</v>
      </c>
      <c r="D27" s="4">
        <v>1375</v>
      </c>
      <c r="E27" s="4">
        <v>1780</v>
      </c>
      <c r="F27" s="14"/>
      <c r="G27" s="15"/>
      <c r="H27" s="15"/>
    </row>
    <row r="28" spans="1:8" ht="15.75" customHeight="1" x14ac:dyDescent="0.25">
      <c r="A28" s="4">
        <v>12</v>
      </c>
      <c r="B28" s="4" t="s">
        <v>332</v>
      </c>
      <c r="C28" s="4">
        <v>1317</v>
      </c>
      <c r="D28" s="4">
        <v>566</v>
      </c>
      <c r="E28" s="4">
        <v>751</v>
      </c>
      <c r="F28" s="14"/>
      <c r="G28" s="15"/>
      <c r="H28" s="15"/>
    </row>
    <row r="29" spans="1:8" ht="15.75" customHeight="1" x14ac:dyDescent="0.25">
      <c r="A29" s="4">
        <v>13</v>
      </c>
      <c r="B29" s="4" t="s">
        <v>292</v>
      </c>
      <c r="C29" s="4">
        <v>3201</v>
      </c>
      <c r="D29" s="4">
        <v>1437</v>
      </c>
      <c r="E29" s="4">
        <v>1764</v>
      </c>
      <c r="F29" s="14"/>
      <c r="G29" s="15"/>
      <c r="H29" s="15"/>
    </row>
    <row r="30" spans="1:8" ht="15.75" customHeight="1" x14ac:dyDescent="0.25">
      <c r="A30" s="4">
        <v>14</v>
      </c>
      <c r="B30" s="4" t="s">
        <v>333</v>
      </c>
      <c r="C30" s="4">
        <v>2196</v>
      </c>
      <c r="D30" s="4">
        <v>973</v>
      </c>
      <c r="E30" s="4">
        <v>1223</v>
      </c>
      <c r="F30" s="14"/>
      <c r="G30" s="15"/>
      <c r="H30" s="15"/>
    </row>
    <row r="31" spans="1:8" ht="15.75" customHeight="1" x14ac:dyDescent="0.25">
      <c r="A31" s="4">
        <v>15</v>
      </c>
      <c r="B31" s="4" t="s">
        <v>334</v>
      </c>
      <c r="C31" s="4">
        <v>2616</v>
      </c>
      <c r="D31" s="4">
        <v>1180</v>
      </c>
      <c r="E31" s="4">
        <v>1436</v>
      </c>
      <c r="F31" s="14"/>
      <c r="G31" s="15"/>
      <c r="H31" s="15"/>
    </row>
    <row r="32" spans="1:8" ht="15.75" customHeight="1" x14ac:dyDescent="0.25">
      <c r="A32" s="4">
        <v>16</v>
      </c>
      <c r="B32" s="4" t="s">
        <v>335</v>
      </c>
      <c r="C32" s="4">
        <v>1121</v>
      </c>
      <c r="D32" s="4">
        <v>517</v>
      </c>
      <c r="E32" s="4">
        <v>604</v>
      </c>
      <c r="F32" s="14"/>
      <c r="G32" s="15"/>
      <c r="H32" s="15"/>
    </row>
    <row r="33" spans="1:8" ht="15.75" customHeight="1" x14ac:dyDescent="0.25">
      <c r="A33" s="4">
        <v>17</v>
      </c>
      <c r="B33" s="4" t="s">
        <v>227</v>
      </c>
      <c r="C33" s="4">
        <v>2188</v>
      </c>
      <c r="D33" s="4">
        <v>1002</v>
      </c>
      <c r="E33" s="4">
        <v>1186</v>
      </c>
      <c r="F33" s="14"/>
      <c r="G33" s="15"/>
      <c r="H33" s="15"/>
    </row>
    <row r="34" spans="1:8" ht="15.75" customHeight="1" x14ac:dyDescent="0.25">
      <c r="A34" s="4">
        <v>18</v>
      </c>
      <c r="B34" s="4" t="s">
        <v>336</v>
      </c>
      <c r="C34" s="4">
        <v>1607</v>
      </c>
      <c r="D34" s="4">
        <v>678</v>
      </c>
      <c r="E34" s="4">
        <v>929</v>
      </c>
      <c r="F34" s="14"/>
      <c r="G34" s="15"/>
      <c r="H34" s="15"/>
    </row>
    <row r="35" spans="1:8" ht="15.75" customHeight="1" x14ac:dyDescent="0.25">
      <c r="A35" s="4">
        <v>19</v>
      </c>
      <c r="B35" s="4" t="s">
        <v>337</v>
      </c>
      <c r="C35" s="4">
        <v>1169</v>
      </c>
      <c r="D35" s="4">
        <v>538</v>
      </c>
      <c r="E35" s="4">
        <v>631</v>
      </c>
      <c r="F35" s="14"/>
      <c r="G35" s="15"/>
      <c r="H35" s="15"/>
    </row>
    <row r="36" spans="1:8" ht="15.75" customHeight="1" x14ac:dyDescent="0.25">
      <c r="A36" s="4">
        <v>20</v>
      </c>
      <c r="B36" s="4" t="s">
        <v>338</v>
      </c>
      <c r="C36" s="4">
        <v>1562</v>
      </c>
      <c r="D36" s="4">
        <v>666</v>
      </c>
      <c r="E36" s="4">
        <v>896</v>
      </c>
      <c r="F36" s="14"/>
      <c r="G36" s="15"/>
      <c r="H36" s="15"/>
    </row>
    <row r="37" spans="1:8" ht="15.75" customHeight="1" x14ac:dyDescent="0.25">
      <c r="A37" s="4">
        <v>21</v>
      </c>
      <c r="B37" s="4" t="s">
        <v>339</v>
      </c>
      <c r="C37" s="4">
        <v>2235</v>
      </c>
      <c r="D37" s="4">
        <v>960</v>
      </c>
      <c r="E37" s="4">
        <v>1275</v>
      </c>
      <c r="F37" s="14"/>
      <c r="G37" s="15"/>
      <c r="H37" s="15"/>
    </row>
    <row r="38" spans="1:8" ht="15.75" customHeight="1" x14ac:dyDescent="0.25">
      <c r="A38" s="4">
        <v>22</v>
      </c>
      <c r="B38" s="4" t="s">
        <v>340</v>
      </c>
      <c r="C38" s="4">
        <v>4021</v>
      </c>
      <c r="D38" s="4">
        <v>1814</v>
      </c>
      <c r="E38" s="4">
        <v>2207</v>
      </c>
      <c r="F38" s="14"/>
      <c r="G38" s="15"/>
      <c r="H38" s="15"/>
    </row>
    <row r="39" spans="1:8" ht="15.75" customHeight="1" x14ac:dyDescent="0.25">
      <c r="A39" s="4">
        <v>23</v>
      </c>
      <c r="B39" s="4" t="s">
        <v>341</v>
      </c>
      <c r="C39" s="4">
        <v>4010</v>
      </c>
      <c r="D39" s="4">
        <v>1917</v>
      </c>
      <c r="E39" s="4">
        <v>2093</v>
      </c>
      <c r="F39" s="14"/>
      <c r="G39" s="15"/>
      <c r="H39" s="15"/>
    </row>
    <row r="40" spans="1:8" ht="15.75" customHeight="1" x14ac:dyDescent="0.25">
      <c r="A40" s="4">
        <v>24</v>
      </c>
      <c r="B40" s="4" t="s">
        <v>342</v>
      </c>
      <c r="C40" s="4">
        <v>3459</v>
      </c>
      <c r="D40" s="4">
        <v>1508</v>
      </c>
      <c r="E40" s="4">
        <v>1951</v>
      </c>
      <c r="F40" s="14"/>
      <c r="G40" s="15"/>
      <c r="H40" s="15"/>
    </row>
    <row r="41" spans="1:8" ht="15.75" customHeight="1" x14ac:dyDescent="0.25">
      <c r="A41" s="4">
        <v>25</v>
      </c>
      <c r="B41" s="4" t="s">
        <v>343</v>
      </c>
      <c r="C41" s="4">
        <v>2769</v>
      </c>
      <c r="D41" s="4">
        <v>1263</v>
      </c>
      <c r="E41" s="4">
        <v>1506</v>
      </c>
      <c r="F41" s="14"/>
      <c r="G41" s="15"/>
      <c r="H41" s="15"/>
    </row>
    <row r="42" spans="1:8" ht="15.75" customHeight="1" x14ac:dyDescent="0.25">
      <c r="A42" s="4">
        <v>26</v>
      </c>
      <c r="B42" s="4" t="s">
        <v>344</v>
      </c>
      <c r="C42" s="4">
        <v>2553</v>
      </c>
      <c r="D42" s="4">
        <v>1152</v>
      </c>
      <c r="E42" s="4">
        <v>1401</v>
      </c>
      <c r="F42" s="14"/>
      <c r="G42" s="15"/>
      <c r="H42" s="15"/>
    </row>
    <row r="43" spans="1:8" ht="15.75" customHeight="1" x14ac:dyDescent="0.25">
      <c r="A43" s="4">
        <v>27</v>
      </c>
      <c r="B43" s="4" t="s">
        <v>345</v>
      </c>
      <c r="C43" s="4">
        <v>2193</v>
      </c>
      <c r="D43" s="4">
        <v>1002</v>
      </c>
      <c r="E43" s="4">
        <v>1191</v>
      </c>
      <c r="F43" s="14"/>
      <c r="G43" s="15"/>
      <c r="H43" s="15"/>
    </row>
    <row r="44" spans="1:8" ht="15.75" customHeight="1" x14ac:dyDescent="0.25">
      <c r="A44" s="4">
        <v>28</v>
      </c>
      <c r="B44" s="4" t="s">
        <v>346</v>
      </c>
      <c r="C44" s="4">
        <v>3288</v>
      </c>
      <c r="D44" s="4">
        <v>1535</v>
      </c>
      <c r="E44" s="4">
        <v>1753</v>
      </c>
      <c r="F44" s="14"/>
      <c r="G44" s="15"/>
      <c r="H44" s="15"/>
    </row>
    <row r="45" spans="1:8" ht="15.75" customHeight="1" x14ac:dyDescent="0.25">
      <c r="A45" s="4">
        <v>29</v>
      </c>
      <c r="B45" s="4" t="s">
        <v>347</v>
      </c>
      <c r="C45" s="4">
        <v>2533</v>
      </c>
      <c r="D45" s="4">
        <v>1070</v>
      </c>
      <c r="E45" s="4">
        <v>1463</v>
      </c>
      <c r="F45" s="14"/>
      <c r="G45" s="15"/>
      <c r="H45" s="15"/>
    </row>
    <row r="46" spans="1:8" ht="15.75" customHeight="1" x14ac:dyDescent="0.25">
      <c r="A46" s="4">
        <v>30</v>
      </c>
      <c r="B46" s="4" t="s">
        <v>348</v>
      </c>
      <c r="C46" s="4">
        <v>3562</v>
      </c>
      <c r="D46" s="4">
        <v>1651</v>
      </c>
      <c r="E46" s="4">
        <v>1911</v>
      </c>
      <c r="F46" s="14"/>
      <c r="G46" s="15"/>
      <c r="H46" s="15"/>
    </row>
    <row r="47" spans="1:8" ht="15.75" customHeight="1" x14ac:dyDescent="0.25">
      <c r="A47" s="4">
        <v>31</v>
      </c>
      <c r="B47" s="4" t="s">
        <v>349</v>
      </c>
      <c r="C47" s="4">
        <v>1426</v>
      </c>
      <c r="D47" s="4">
        <v>573</v>
      </c>
      <c r="E47" s="4">
        <v>853</v>
      </c>
      <c r="F47" s="14"/>
      <c r="G47" s="15"/>
      <c r="H47" s="15"/>
    </row>
    <row r="48" spans="1:8" ht="15.75" customHeight="1" x14ac:dyDescent="0.25">
      <c r="A48" s="4">
        <v>32</v>
      </c>
      <c r="B48" s="4" t="s">
        <v>350</v>
      </c>
      <c r="C48" s="4">
        <v>1545</v>
      </c>
      <c r="D48" s="4">
        <v>618</v>
      </c>
      <c r="E48" s="4">
        <v>927</v>
      </c>
      <c r="F48" s="14"/>
      <c r="G48" s="15"/>
      <c r="H48" s="15"/>
    </row>
    <row r="49" spans="1:8" ht="15.75" customHeight="1" x14ac:dyDescent="0.25">
      <c r="A49" s="4">
        <v>33</v>
      </c>
      <c r="B49" s="4" t="s">
        <v>351</v>
      </c>
      <c r="C49" s="4">
        <v>2161</v>
      </c>
      <c r="D49" s="4">
        <v>858</v>
      </c>
      <c r="E49" s="4">
        <v>1303</v>
      </c>
      <c r="F49" s="14"/>
      <c r="G49" s="15"/>
      <c r="H49" s="15"/>
    </row>
    <row r="50" spans="1:8" ht="15.75" customHeight="1" x14ac:dyDescent="0.25">
      <c r="A50" s="4">
        <v>34</v>
      </c>
      <c r="B50" s="4" t="s">
        <v>352</v>
      </c>
      <c r="C50" s="4">
        <v>1899</v>
      </c>
      <c r="D50" s="4">
        <v>862</v>
      </c>
      <c r="E50" s="4">
        <v>1037</v>
      </c>
      <c r="F50" s="14"/>
      <c r="G50" s="15"/>
      <c r="H50" s="15"/>
    </row>
    <row r="51" spans="1:8" ht="15.75" customHeight="1" x14ac:dyDescent="0.25">
      <c r="A51" s="4">
        <v>35</v>
      </c>
      <c r="B51" s="4" t="s">
        <v>353</v>
      </c>
      <c r="C51" s="4">
        <v>1443</v>
      </c>
      <c r="D51" s="4">
        <v>620</v>
      </c>
      <c r="E51" s="4">
        <v>823</v>
      </c>
      <c r="F51" s="14"/>
      <c r="G51" s="15"/>
      <c r="H51" s="15"/>
    </row>
    <row r="52" spans="1:8" ht="15.75" customHeight="1" x14ac:dyDescent="0.25">
      <c r="A52" s="4">
        <v>36</v>
      </c>
      <c r="B52" s="4" t="s">
        <v>291</v>
      </c>
      <c r="C52" s="4">
        <v>1923</v>
      </c>
      <c r="D52" s="4">
        <v>862</v>
      </c>
      <c r="E52" s="4">
        <v>1061</v>
      </c>
      <c r="F52" s="14"/>
      <c r="G52" s="15"/>
      <c r="H52" s="15"/>
    </row>
    <row r="53" spans="1:8" ht="15.75" customHeight="1" x14ac:dyDescent="0.25">
      <c r="A53" s="4">
        <v>37</v>
      </c>
      <c r="B53" s="4" t="s">
        <v>354</v>
      </c>
      <c r="C53" s="4">
        <v>1075</v>
      </c>
      <c r="D53" s="4">
        <v>494</v>
      </c>
      <c r="E53" s="4">
        <v>581</v>
      </c>
      <c r="F53" s="14"/>
      <c r="G53" s="15"/>
      <c r="H53" s="15"/>
    </row>
    <row r="54" spans="1:8" ht="15.75" customHeight="1" x14ac:dyDescent="0.25">
      <c r="A54" s="4">
        <v>38</v>
      </c>
      <c r="B54" s="4" t="s">
        <v>355</v>
      </c>
      <c r="C54" s="4">
        <v>2269</v>
      </c>
      <c r="D54" s="4">
        <v>964</v>
      </c>
      <c r="E54" s="4">
        <v>1305</v>
      </c>
      <c r="F54" s="14"/>
      <c r="G54" s="15"/>
      <c r="H54" s="15"/>
    </row>
    <row r="55" spans="1:8" ht="15.75" customHeight="1" x14ac:dyDescent="0.25">
      <c r="A55" s="4">
        <v>39</v>
      </c>
      <c r="B55" s="4" t="s">
        <v>356</v>
      </c>
      <c r="C55" s="4">
        <v>1182</v>
      </c>
      <c r="D55" s="4">
        <v>525</v>
      </c>
      <c r="E55" s="4">
        <v>657</v>
      </c>
      <c r="F55" s="14"/>
      <c r="G55" s="15"/>
      <c r="H55" s="15"/>
    </row>
    <row r="56" spans="1:8" ht="15.75" customHeight="1" x14ac:dyDescent="0.25">
      <c r="A56" s="4">
        <v>40</v>
      </c>
      <c r="B56" s="4" t="s">
        <v>357</v>
      </c>
      <c r="C56" s="4">
        <v>909</v>
      </c>
      <c r="D56" s="4">
        <v>394</v>
      </c>
      <c r="E56" s="4">
        <v>515</v>
      </c>
      <c r="F56" s="14"/>
      <c r="G56" s="15"/>
      <c r="H56" s="15"/>
    </row>
    <row r="57" spans="1:8" ht="15.75" customHeight="1" x14ac:dyDescent="0.25">
      <c r="A57" s="4">
        <v>41</v>
      </c>
      <c r="B57" s="4" t="s">
        <v>273</v>
      </c>
      <c r="C57" s="4">
        <v>2098</v>
      </c>
      <c r="D57" s="4">
        <v>856</v>
      </c>
      <c r="E57" s="4">
        <v>1242</v>
      </c>
      <c r="F57" s="14"/>
      <c r="G57" s="15"/>
      <c r="H57" s="15"/>
    </row>
    <row r="58" spans="1:8" ht="15.75" customHeight="1" x14ac:dyDescent="0.25">
      <c r="A58" s="4">
        <v>42</v>
      </c>
      <c r="B58" s="4" t="s">
        <v>358</v>
      </c>
      <c r="C58" s="4">
        <v>1804</v>
      </c>
      <c r="D58" s="4">
        <v>825</v>
      </c>
      <c r="E58" s="4">
        <v>979</v>
      </c>
      <c r="F58" s="14"/>
      <c r="G58" s="15"/>
      <c r="H58" s="15"/>
    </row>
    <row r="59" spans="1:8" ht="15.75" customHeight="1" x14ac:dyDescent="0.25">
      <c r="A59" s="4">
        <v>43</v>
      </c>
      <c r="B59" s="4" t="s">
        <v>359</v>
      </c>
      <c r="C59" s="4">
        <v>2530</v>
      </c>
      <c r="D59" s="4">
        <v>1091</v>
      </c>
      <c r="E59" s="4">
        <v>1439</v>
      </c>
      <c r="F59" s="14"/>
      <c r="G59" s="15"/>
      <c r="H59" s="15"/>
    </row>
    <row r="60" spans="1:8" ht="15.75" customHeight="1" x14ac:dyDescent="0.25">
      <c r="A60" s="4">
        <v>44</v>
      </c>
      <c r="B60" s="4" t="s">
        <v>274</v>
      </c>
      <c r="C60" s="4">
        <v>3173</v>
      </c>
      <c r="D60" s="4">
        <v>1440</v>
      </c>
      <c r="E60" s="4">
        <v>1733</v>
      </c>
      <c r="F60" s="14"/>
      <c r="G60" s="15"/>
      <c r="H60" s="15"/>
    </row>
    <row r="61" spans="1:8" ht="15.75" customHeight="1" x14ac:dyDescent="0.25">
      <c r="A61" s="4">
        <v>45</v>
      </c>
      <c r="B61" s="4" t="s">
        <v>360</v>
      </c>
      <c r="C61" s="4">
        <v>2120</v>
      </c>
      <c r="D61" s="4">
        <v>885</v>
      </c>
      <c r="E61" s="4">
        <v>1235</v>
      </c>
      <c r="F61" s="14"/>
      <c r="G61" s="15"/>
      <c r="H61" s="15"/>
    </row>
    <row r="62" spans="1:8" ht="15.75" customHeight="1" x14ac:dyDescent="0.25">
      <c r="A62" s="4">
        <v>46</v>
      </c>
      <c r="B62" s="4" t="s">
        <v>361</v>
      </c>
      <c r="C62" s="4">
        <v>2807</v>
      </c>
      <c r="D62" s="4">
        <v>1123</v>
      </c>
      <c r="E62" s="4">
        <v>1684</v>
      </c>
      <c r="F62" s="14"/>
      <c r="G62" s="15"/>
      <c r="H62" s="15"/>
    </row>
    <row r="63" spans="1:8" ht="15.75" customHeight="1" x14ac:dyDescent="0.25">
      <c r="A63" s="4">
        <v>47</v>
      </c>
      <c r="B63" s="4" t="s">
        <v>362</v>
      </c>
      <c r="C63" s="4">
        <v>1812</v>
      </c>
      <c r="D63" s="4">
        <v>766</v>
      </c>
      <c r="E63" s="4">
        <v>1046</v>
      </c>
      <c r="F63" s="14"/>
      <c r="G63" s="15"/>
      <c r="H63" s="15"/>
    </row>
    <row r="64" spans="1:8" ht="15.75" customHeight="1" x14ac:dyDescent="0.25">
      <c r="A64" s="4">
        <v>48</v>
      </c>
      <c r="B64" s="4" t="s">
        <v>363</v>
      </c>
      <c r="C64" s="4">
        <v>1342</v>
      </c>
      <c r="D64" s="4">
        <v>541</v>
      </c>
      <c r="E64" s="4">
        <v>801</v>
      </c>
      <c r="F64" s="14"/>
      <c r="G64" s="15"/>
      <c r="H64" s="15"/>
    </row>
    <row r="65" spans="1:8" ht="15.75" customHeight="1" x14ac:dyDescent="0.25">
      <c r="A65" s="4">
        <v>49</v>
      </c>
      <c r="B65" s="4" t="s">
        <v>364</v>
      </c>
      <c r="C65" s="4">
        <v>4273</v>
      </c>
      <c r="D65" s="4">
        <v>1785</v>
      </c>
      <c r="E65" s="4">
        <v>2488</v>
      </c>
      <c r="F65" s="14"/>
      <c r="G65" s="15"/>
      <c r="H65" s="15"/>
    </row>
    <row r="66" spans="1:8" ht="15.75" customHeight="1" x14ac:dyDescent="0.25">
      <c r="A66" s="4">
        <v>50</v>
      </c>
      <c r="B66" s="4" t="s">
        <v>365</v>
      </c>
      <c r="C66" s="4">
        <v>1818</v>
      </c>
      <c r="D66" s="4">
        <v>798</v>
      </c>
      <c r="E66" s="4">
        <v>1020</v>
      </c>
      <c r="F66" s="14"/>
      <c r="G66" s="15"/>
      <c r="H66" s="15"/>
    </row>
    <row r="67" spans="1:8" ht="15.75" customHeight="1" x14ac:dyDescent="0.25">
      <c r="A67" s="4">
        <v>51</v>
      </c>
      <c r="B67" s="4" t="s">
        <v>366</v>
      </c>
      <c r="C67" s="4">
        <v>1875</v>
      </c>
      <c r="D67" s="4">
        <v>816</v>
      </c>
      <c r="E67" s="4">
        <v>1059</v>
      </c>
      <c r="F67" s="14"/>
      <c r="G67" s="15"/>
      <c r="H67" s="15"/>
    </row>
    <row r="68" spans="1:8" ht="15.75" customHeight="1" x14ac:dyDescent="0.25">
      <c r="A68" s="4">
        <v>52</v>
      </c>
      <c r="B68" s="4" t="s">
        <v>367</v>
      </c>
      <c r="C68" s="4">
        <v>2693</v>
      </c>
      <c r="D68" s="4">
        <v>1215</v>
      </c>
      <c r="E68" s="4">
        <v>1478</v>
      </c>
      <c r="F68" s="14"/>
      <c r="G68" s="15"/>
      <c r="H68" s="15"/>
    </row>
    <row r="69" spans="1:8" ht="15.75" customHeight="1" x14ac:dyDescent="0.25">
      <c r="A69" s="4">
        <v>53</v>
      </c>
      <c r="B69" s="4" t="s">
        <v>368</v>
      </c>
      <c r="C69" s="4">
        <v>2529</v>
      </c>
      <c r="D69" s="4">
        <v>1061</v>
      </c>
      <c r="E69" s="4">
        <v>1468</v>
      </c>
      <c r="F69" s="14"/>
      <c r="G69" s="15"/>
      <c r="H69" s="15"/>
    </row>
    <row r="70" spans="1:8" ht="15.75" customHeight="1" x14ac:dyDescent="0.25">
      <c r="A70" s="4">
        <v>54</v>
      </c>
      <c r="B70" s="4" t="s">
        <v>369</v>
      </c>
      <c r="C70" s="4">
        <v>4006</v>
      </c>
      <c r="D70" s="4">
        <v>1823</v>
      </c>
      <c r="E70" s="4">
        <v>2183</v>
      </c>
      <c r="F70" s="14"/>
      <c r="G70" s="15"/>
      <c r="H70" s="15"/>
    </row>
    <row r="71" spans="1:8" ht="15.75" customHeight="1" x14ac:dyDescent="0.25">
      <c r="A71" s="4">
        <v>55</v>
      </c>
      <c r="B71" s="4" t="s">
        <v>370</v>
      </c>
      <c r="C71" s="4">
        <v>4226</v>
      </c>
      <c r="D71" s="4">
        <v>1935</v>
      </c>
      <c r="E71" s="4">
        <v>2291</v>
      </c>
      <c r="F71" s="14"/>
      <c r="G71" s="15"/>
      <c r="H71" s="15"/>
    </row>
    <row r="72" spans="1:8" ht="15.75" customHeight="1" x14ac:dyDescent="0.25">
      <c r="A72" s="4">
        <v>56</v>
      </c>
      <c r="B72" s="4" t="s">
        <v>371</v>
      </c>
      <c r="C72" s="4">
        <v>2164</v>
      </c>
      <c r="D72" s="4">
        <v>838</v>
      </c>
      <c r="E72" s="4">
        <v>1326</v>
      </c>
      <c r="F72" s="14"/>
      <c r="G72" s="15"/>
      <c r="H72" s="15"/>
    </row>
    <row r="73" spans="1:8" ht="15.75" customHeight="1" x14ac:dyDescent="0.25">
      <c r="A73" s="4">
        <v>57</v>
      </c>
      <c r="B73" s="4" t="s">
        <v>372</v>
      </c>
      <c r="C73" s="4">
        <v>2841</v>
      </c>
      <c r="D73" s="4">
        <v>1274</v>
      </c>
      <c r="E73" s="4">
        <v>1567</v>
      </c>
      <c r="F73" s="14"/>
      <c r="G73" s="15"/>
      <c r="H73" s="15"/>
    </row>
    <row r="74" spans="1:8" ht="15.75" customHeight="1" x14ac:dyDescent="0.25">
      <c r="A74" s="4">
        <v>58</v>
      </c>
      <c r="B74" s="4" t="s">
        <v>373</v>
      </c>
      <c r="C74" s="4">
        <v>3681</v>
      </c>
      <c r="D74" s="4">
        <v>1619</v>
      </c>
      <c r="E74" s="4">
        <v>2062</v>
      </c>
      <c r="F74" s="14"/>
      <c r="G74" s="15"/>
      <c r="H74" s="15"/>
    </row>
    <row r="75" spans="1:8" ht="15.75" customHeight="1" x14ac:dyDescent="0.25">
      <c r="A75" s="4">
        <v>59</v>
      </c>
      <c r="B75" s="4" t="s">
        <v>374</v>
      </c>
      <c r="C75" s="4">
        <v>1956</v>
      </c>
      <c r="D75" s="4">
        <v>931</v>
      </c>
      <c r="E75" s="4">
        <v>1025</v>
      </c>
      <c r="F75" s="14"/>
      <c r="G75" s="15"/>
      <c r="H75" s="15"/>
    </row>
    <row r="76" spans="1:8" ht="15.75" customHeight="1" x14ac:dyDescent="0.25">
      <c r="A76" s="4">
        <v>60</v>
      </c>
      <c r="B76" s="4" t="s">
        <v>375</v>
      </c>
      <c r="C76" s="4">
        <v>2939</v>
      </c>
      <c r="D76" s="4">
        <v>1298</v>
      </c>
      <c r="E76" s="4">
        <v>1641</v>
      </c>
      <c r="F76" s="14"/>
      <c r="G76" s="15"/>
      <c r="H76" s="15"/>
    </row>
    <row r="77" spans="1:8" ht="15.75" customHeight="1" x14ac:dyDescent="0.25">
      <c r="A77" s="4">
        <v>61</v>
      </c>
      <c r="B77" s="4" t="s">
        <v>283</v>
      </c>
      <c r="C77" s="4">
        <v>2601</v>
      </c>
      <c r="D77" s="4">
        <v>1145</v>
      </c>
      <c r="E77" s="4">
        <v>1456</v>
      </c>
      <c r="F77" s="14"/>
      <c r="G77" s="15"/>
      <c r="H77" s="15"/>
    </row>
    <row r="78" spans="1:8" ht="15.75" customHeight="1" x14ac:dyDescent="0.25">
      <c r="A78" s="4">
        <v>62</v>
      </c>
      <c r="B78" s="4" t="s">
        <v>140</v>
      </c>
      <c r="C78" s="4">
        <v>3883</v>
      </c>
      <c r="D78" s="4">
        <v>1831</v>
      </c>
      <c r="E78" s="4">
        <v>2052</v>
      </c>
      <c r="F78" s="14"/>
      <c r="G78" s="15"/>
      <c r="H78" s="15"/>
    </row>
    <row r="79" spans="1:8" ht="15.75" customHeight="1" x14ac:dyDescent="0.25">
      <c r="A79" s="4">
        <v>63</v>
      </c>
      <c r="B79" s="4" t="s">
        <v>301</v>
      </c>
      <c r="C79" s="4">
        <v>3396</v>
      </c>
      <c r="D79" s="4">
        <v>1536</v>
      </c>
      <c r="E79" s="4">
        <v>1860</v>
      </c>
      <c r="F79" s="14"/>
      <c r="G79" s="15"/>
      <c r="H79" s="15"/>
    </row>
    <row r="80" spans="1:8" ht="15.75" customHeight="1" x14ac:dyDescent="0.25">
      <c r="A80" s="4">
        <v>64</v>
      </c>
      <c r="B80" s="4" t="s">
        <v>376</v>
      </c>
      <c r="C80" s="4">
        <v>2477</v>
      </c>
      <c r="D80" s="4">
        <v>1195</v>
      </c>
      <c r="E80" s="4">
        <v>1282</v>
      </c>
      <c r="F80" s="14"/>
      <c r="G80" s="15"/>
      <c r="H80" s="15"/>
    </row>
    <row r="81" spans="1:8" ht="15.75" customHeight="1" x14ac:dyDescent="0.25">
      <c r="A81" s="4">
        <v>65</v>
      </c>
      <c r="B81" s="4" t="s">
        <v>255</v>
      </c>
      <c r="C81" s="4">
        <v>1581</v>
      </c>
      <c r="D81" s="4">
        <v>746</v>
      </c>
      <c r="E81" s="4">
        <v>835</v>
      </c>
      <c r="F81" s="14"/>
      <c r="G81" s="15"/>
      <c r="H81" s="15"/>
    </row>
    <row r="82" spans="1:8" ht="15.75" customHeight="1" x14ac:dyDescent="0.25">
      <c r="A82" s="4">
        <v>66</v>
      </c>
      <c r="B82" s="4" t="s">
        <v>377</v>
      </c>
      <c r="C82" s="4">
        <v>6401</v>
      </c>
      <c r="D82" s="4">
        <v>2899</v>
      </c>
      <c r="E82" s="4">
        <v>3502</v>
      </c>
      <c r="F82" s="14"/>
      <c r="G82" s="15"/>
      <c r="H82" s="15"/>
    </row>
    <row r="83" spans="1:8" ht="15.75" customHeight="1" x14ac:dyDescent="0.25">
      <c r="A83" s="4">
        <v>67</v>
      </c>
      <c r="B83" s="4" t="s">
        <v>378</v>
      </c>
      <c r="C83" s="4">
        <v>1550</v>
      </c>
      <c r="D83" s="4">
        <v>700</v>
      </c>
      <c r="E83" s="4">
        <v>850</v>
      </c>
      <c r="F83" s="14"/>
      <c r="G83" s="15"/>
      <c r="H83" s="15"/>
    </row>
    <row r="84" spans="1:8" ht="15.75" customHeight="1" x14ac:dyDescent="0.25">
      <c r="A84" s="4">
        <v>68</v>
      </c>
      <c r="B84" s="4" t="s">
        <v>379</v>
      </c>
      <c r="C84" s="4">
        <v>2082</v>
      </c>
      <c r="D84" s="4">
        <v>938</v>
      </c>
      <c r="E84" s="4">
        <v>1144</v>
      </c>
      <c r="F84" s="14"/>
      <c r="G84" s="15"/>
      <c r="H84" s="15"/>
    </row>
    <row r="85" spans="1:8" ht="15.75" customHeight="1" x14ac:dyDescent="0.25">
      <c r="A85" s="4">
        <v>69</v>
      </c>
      <c r="B85" s="4" t="s">
        <v>380</v>
      </c>
      <c r="C85" s="4">
        <v>5571</v>
      </c>
      <c r="D85" s="4">
        <v>2533</v>
      </c>
      <c r="E85" s="4">
        <v>3038</v>
      </c>
      <c r="F85" s="14"/>
      <c r="G85" s="15"/>
      <c r="H85" s="15"/>
    </row>
    <row r="86" spans="1:8" ht="15.75" customHeight="1" x14ac:dyDescent="0.25">
      <c r="A86" s="4">
        <v>70</v>
      </c>
      <c r="B86" s="4" t="s">
        <v>381</v>
      </c>
      <c r="C86" s="4">
        <v>5930</v>
      </c>
      <c r="D86" s="4">
        <v>2739</v>
      </c>
      <c r="E86" s="4">
        <v>3191</v>
      </c>
      <c r="F86" s="14"/>
      <c r="G86" s="15"/>
      <c r="H86" s="15"/>
    </row>
    <row r="87" spans="1:8" ht="15.75" customHeight="1" x14ac:dyDescent="0.25">
      <c r="A87" s="4">
        <v>71</v>
      </c>
      <c r="B87" s="4" t="s">
        <v>382</v>
      </c>
      <c r="C87" s="4">
        <v>3353</v>
      </c>
      <c r="D87" s="4">
        <v>1565</v>
      </c>
      <c r="E87" s="4">
        <v>1788</v>
      </c>
      <c r="F87" s="14"/>
      <c r="G87" s="15"/>
      <c r="H87" s="15"/>
    </row>
    <row r="88" spans="1:8" ht="15.75" customHeight="1" x14ac:dyDescent="0.25">
      <c r="A88" s="4">
        <v>72</v>
      </c>
      <c r="B88" s="4" t="s">
        <v>383</v>
      </c>
      <c r="C88" s="4">
        <v>1450</v>
      </c>
      <c r="D88" s="4">
        <v>665</v>
      </c>
      <c r="E88" s="4">
        <v>785</v>
      </c>
      <c r="F88" s="14"/>
      <c r="G88" s="15"/>
      <c r="H88" s="15"/>
    </row>
    <row r="89" spans="1:8" ht="15.75" customHeight="1" x14ac:dyDescent="0.25">
      <c r="A89" s="6">
        <v>73</v>
      </c>
      <c r="B89" s="6" t="s">
        <v>178</v>
      </c>
      <c r="C89" s="6">
        <v>5786</v>
      </c>
      <c r="D89" s="6">
        <v>2644</v>
      </c>
      <c r="E89" s="6">
        <v>3142</v>
      </c>
      <c r="F89" s="14"/>
      <c r="G89" s="15"/>
      <c r="H89" s="15"/>
    </row>
  </sheetData>
  <mergeCells count="4">
    <mergeCell ref="A4:A5"/>
    <mergeCell ref="B4:B5"/>
    <mergeCell ref="C4:E4"/>
    <mergeCell ref="A1:E1"/>
  </mergeCells>
  <hyperlinks>
    <hyperlink ref="A1:E1" location="'Lest of twonship'!A1" display="        Magway Region, Magway District, Natmauk Township"/>
  </hyperlinks>
  <pageMargins left="0.75" right="0.5" top="0.5" bottom="0.2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>
      <selection sqref="A1:E1"/>
    </sheetView>
  </sheetViews>
  <sheetFormatPr defaultRowHeight="15" x14ac:dyDescent="0.25"/>
  <cols>
    <col min="1" max="1" width="7.140625" customWidth="1"/>
    <col min="2" max="2" width="32.7109375" bestFit="1" customWidth="1"/>
    <col min="3" max="5" width="15.7109375" customWidth="1"/>
  </cols>
  <sheetData>
    <row r="1" spans="1:6" ht="18.75" x14ac:dyDescent="0.3">
      <c r="A1" s="37" t="s">
        <v>1472</v>
      </c>
      <c r="B1" s="37"/>
      <c r="C1" s="37"/>
      <c r="D1" s="37"/>
      <c r="E1" s="37"/>
    </row>
    <row r="2" spans="1:6" ht="15.75" x14ac:dyDescent="0.25">
      <c r="E2" s="8" t="s">
        <v>1463</v>
      </c>
    </row>
    <row r="4" spans="1:6" ht="15.75" x14ac:dyDescent="0.25">
      <c r="A4" s="32" t="s">
        <v>1461</v>
      </c>
      <c r="B4" s="32" t="s">
        <v>1465</v>
      </c>
      <c r="C4" s="30" t="s">
        <v>1462</v>
      </c>
      <c r="D4" s="30"/>
      <c r="E4" s="30"/>
    </row>
    <row r="5" spans="1:6" ht="17.25" customHeight="1" x14ac:dyDescent="0.25">
      <c r="A5" s="28"/>
      <c r="B5" s="28"/>
      <c r="C5" s="13" t="s">
        <v>0</v>
      </c>
      <c r="D5" s="13" t="s">
        <v>1</v>
      </c>
      <c r="E5" s="13" t="s">
        <v>2</v>
      </c>
    </row>
    <row r="6" spans="1:6" ht="21.75" customHeight="1" x14ac:dyDescent="0.25">
      <c r="A6" s="2"/>
      <c r="B6" s="3" t="s">
        <v>0</v>
      </c>
      <c r="C6" s="3">
        <f>SUM(C8+C16)</f>
        <v>188182</v>
      </c>
      <c r="D6" s="3">
        <f t="shared" ref="D6:E6" si="0">SUM(D8+D16)</f>
        <v>88262</v>
      </c>
      <c r="E6" s="3">
        <f t="shared" si="0"/>
        <v>99920</v>
      </c>
      <c r="F6" s="14"/>
    </row>
    <row r="7" spans="1:6" ht="6.75" customHeight="1" x14ac:dyDescent="0.25">
      <c r="A7" s="4"/>
      <c r="B7" s="4"/>
      <c r="C7" s="4"/>
      <c r="D7" s="4"/>
      <c r="E7" s="4"/>
      <c r="F7" s="14"/>
    </row>
    <row r="8" spans="1:6" ht="15.75" customHeight="1" x14ac:dyDescent="0.25">
      <c r="A8" s="4"/>
      <c r="B8" s="20" t="s">
        <v>1460</v>
      </c>
      <c r="C8" s="5">
        <f>SUM(C9:C15)</f>
        <v>39559</v>
      </c>
      <c r="D8" s="5">
        <f t="shared" ref="D8:E8" si="1">SUM(D9:D15)</f>
        <v>18140</v>
      </c>
      <c r="E8" s="5">
        <f t="shared" si="1"/>
        <v>21419</v>
      </c>
      <c r="F8" s="14"/>
    </row>
    <row r="9" spans="1:6" ht="15.75" customHeight="1" x14ac:dyDescent="0.25">
      <c r="A9" s="4">
        <v>1</v>
      </c>
      <c r="B9" s="4" t="s">
        <v>384</v>
      </c>
      <c r="C9" s="4">
        <v>7868</v>
      </c>
      <c r="D9" s="4">
        <v>3598</v>
      </c>
      <c r="E9" s="4">
        <v>4270</v>
      </c>
      <c r="F9" s="14"/>
    </row>
    <row r="10" spans="1:6" ht="15.75" customHeight="1" x14ac:dyDescent="0.25">
      <c r="A10" s="4">
        <v>2</v>
      </c>
      <c r="B10" s="4" t="s">
        <v>385</v>
      </c>
      <c r="C10" s="4">
        <v>2962</v>
      </c>
      <c r="D10" s="4">
        <v>1297</v>
      </c>
      <c r="E10" s="4">
        <v>1665</v>
      </c>
      <c r="F10" s="14"/>
    </row>
    <row r="11" spans="1:6" ht="15.75" customHeight="1" x14ac:dyDescent="0.25">
      <c r="A11" s="4">
        <v>3</v>
      </c>
      <c r="B11" s="4" t="s">
        <v>386</v>
      </c>
      <c r="C11" s="4">
        <v>6629</v>
      </c>
      <c r="D11" s="4">
        <v>3004</v>
      </c>
      <c r="E11" s="4">
        <v>3625</v>
      </c>
      <c r="F11" s="14"/>
    </row>
    <row r="12" spans="1:6" ht="15.75" customHeight="1" x14ac:dyDescent="0.25">
      <c r="A12" s="4">
        <v>4</v>
      </c>
      <c r="B12" s="4" t="s">
        <v>387</v>
      </c>
      <c r="C12" s="4">
        <v>10606</v>
      </c>
      <c r="D12" s="4">
        <v>4991</v>
      </c>
      <c r="E12" s="4">
        <v>5615</v>
      </c>
      <c r="F12" s="14"/>
    </row>
    <row r="13" spans="1:6" ht="15.75" customHeight="1" x14ac:dyDescent="0.25">
      <c r="A13" s="4">
        <v>5</v>
      </c>
      <c r="B13" s="4" t="s">
        <v>388</v>
      </c>
      <c r="C13" s="4">
        <v>4965</v>
      </c>
      <c r="D13" s="4">
        <v>2337</v>
      </c>
      <c r="E13" s="4">
        <v>2628</v>
      </c>
      <c r="F13" s="14"/>
    </row>
    <row r="14" spans="1:6" ht="15.75" customHeight="1" x14ac:dyDescent="0.25">
      <c r="A14" s="4">
        <v>6</v>
      </c>
      <c r="B14" s="4" t="s">
        <v>389</v>
      </c>
      <c r="C14" s="4">
        <v>2939</v>
      </c>
      <c r="D14" s="4">
        <v>1316</v>
      </c>
      <c r="E14" s="4">
        <v>1623</v>
      </c>
      <c r="F14" s="14"/>
    </row>
    <row r="15" spans="1:6" ht="15.75" customHeight="1" x14ac:dyDescent="0.25">
      <c r="A15" s="4">
        <v>7</v>
      </c>
      <c r="B15" s="4" t="s">
        <v>390</v>
      </c>
      <c r="C15" s="4">
        <v>3590</v>
      </c>
      <c r="D15" s="4">
        <v>1597</v>
      </c>
      <c r="E15" s="4">
        <v>1993</v>
      </c>
      <c r="F15" s="14"/>
    </row>
    <row r="16" spans="1:6" ht="15.75" customHeight="1" x14ac:dyDescent="0.25">
      <c r="A16" s="4"/>
      <c r="B16" s="20" t="s">
        <v>1464</v>
      </c>
      <c r="C16" s="5">
        <f>SUM(C17:C83)</f>
        <v>148623</v>
      </c>
      <c r="D16" s="5">
        <f t="shared" ref="D16:E16" si="2">SUM(D17:D83)</f>
        <v>70122</v>
      </c>
      <c r="E16" s="5">
        <f t="shared" si="2"/>
        <v>78501</v>
      </c>
      <c r="F16" s="14"/>
    </row>
    <row r="17" spans="1:6" ht="15.75" customHeight="1" x14ac:dyDescent="0.25">
      <c r="A17" s="4">
        <v>1</v>
      </c>
      <c r="B17" s="4" t="s">
        <v>391</v>
      </c>
      <c r="C17" s="4">
        <v>3114</v>
      </c>
      <c r="D17" s="4">
        <v>1449</v>
      </c>
      <c r="E17" s="4">
        <v>1665</v>
      </c>
      <c r="F17" s="14"/>
    </row>
    <row r="18" spans="1:6" ht="15.75" customHeight="1" x14ac:dyDescent="0.25">
      <c r="A18" s="4">
        <v>2</v>
      </c>
      <c r="B18" s="4" t="s">
        <v>392</v>
      </c>
      <c r="C18" s="4">
        <v>1450</v>
      </c>
      <c r="D18" s="4">
        <v>676</v>
      </c>
      <c r="E18" s="4">
        <v>774</v>
      </c>
      <c r="F18" s="14"/>
    </row>
    <row r="19" spans="1:6" ht="15.75" customHeight="1" x14ac:dyDescent="0.25">
      <c r="A19" s="4">
        <v>3</v>
      </c>
      <c r="B19" s="4" t="s">
        <v>255</v>
      </c>
      <c r="C19" s="4">
        <v>2546</v>
      </c>
      <c r="D19" s="4">
        <v>1204</v>
      </c>
      <c r="E19" s="4">
        <v>1342</v>
      </c>
      <c r="F19" s="14"/>
    </row>
    <row r="20" spans="1:6" ht="15.75" customHeight="1" x14ac:dyDescent="0.25">
      <c r="A20" s="4">
        <v>4</v>
      </c>
      <c r="B20" s="4" t="s">
        <v>393</v>
      </c>
      <c r="C20" s="4">
        <v>1640</v>
      </c>
      <c r="D20" s="4">
        <v>791</v>
      </c>
      <c r="E20" s="4">
        <v>849</v>
      </c>
      <c r="F20" s="14"/>
    </row>
    <row r="21" spans="1:6" ht="15.75" customHeight="1" x14ac:dyDescent="0.25">
      <c r="A21" s="4">
        <v>5</v>
      </c>
      <c r="B21" s="4" t="s">
        <v>394</v>
      </c>
      <c r="C21" s="4">
        <v>1553</v>
      </c>
      <c r="D21" s="4">
        <v>735</v>
      </c>
      <c r="E21" s="4">
        <v>818</v>
      </c>
      <c r="F21" s="14"/>
    </row>
    <row r="22" spans="1:6" ht="15.75" customHeight="1" x14ac:dyDescent="0.25">
      <c r="A22" s="4">
        <v>6</v>
      </c>
      <c r="B22" s="4" t="s">
        <v>395</v>
      </c>
      <c r="C22" s="4">
        <v>965</v>
      </c>
      <c r="D22" s="4">
        <v>460</v>
      </c>
      <c r="E22" s="4">
        <v>505</v>
      </c>
      <c r="F22" s="14"/>
    </row>
    <row r="23" spans="1:6" ht="15.75" customHeight="1" x14ac:dyDescent="0.25">
      <c r="A23" s="4">
        <v>7</v>
      </c>
      <c r="B23" s="4" t="s">
        <v>396</v>
      </c>
      <c r="C23" s="4">
        <v>1095</v>
      </c>
      <c r="D23" s="4">
        <v>533</v>
      </c>
      <c r="E23" s="4">
        <v>562</v>
      </c>
      <c r="F23" s="14"/>
    </row>
    <row r="24" spans="1:6" ht="15.75" customHeight="1" x14ac:dyDescent="0.25">
      <c r="A24" s="4">
        <v>8</v>
      </c>
      <c r="B24" s="4" t="s">
        <v>397</v>
      </c>
      <c r="C24" s="4">
        <v>1671</v>
      </c>
      <c r="D24" s="4">
        <v>795</v>
      </c>
      <c r="E24" s="4">
        <v>876</v>
      </c>
      <c r="F24" s="14"/>
    </row>
    <row r="25" spans="1:6" ht="15.75" customHeight="1" x14ac:dyDescent="0.25">
      <c r="A25" s="4">
        <v>9</v>
      </c>
      <c r="B25" s="4" t="s">
        <v>398</v>
      </c>
      <c r="C25" s="4">
        <v>1350</v>
      </c>
      <c r="D25" s="4">
        <v>672</v>
      </c>
      <c r="E25" s="4">
        <v>678</v>
      </c>
      <c r="F25" s="14"/>
    </row>
    <row r="26" spans="1:6" ht="15.75" customHeight="1" x14ac:dyDescent="0.25">
      <c r="A26" s="4">
        <v>10</v>
      </c>
      <c r="B26" s="4" t="s">
        <v>399</v>
      </c>
      <c r="C26" s="4">
        <v>1186</v>
      </c>
      <c r="D26" s="4">
        <v>572</v>
      </c>
      <c r="E26" s="4">
        <v>614</v>
      </c>
      <c r="F26" s="14"/>
    </row>
    <row r="27" spans="1:6" ht="15.75" customHeight="1" x14ac:dyDescent="0.25">
      <c r="A27" s="4">
        <v>11</v>
      </c>
      <c r="B27" s="4" t="s">
        <v>400</v>
      </c>
      <c r="C27" s="4">
        <v>1710</v>
      </c>
      <c r="D27" s="4">
        <v>800</v>
      </c>
      <c r="E27" s="4">
        <v>910</v>
      </c>
      <c r="F27" s="14"/>
    </row>
    <row r="28" spans="1:6" ht="15.75" customHeight="1" x14ac:dyDescent="0.25">
      <c r="A28" s="4">
        <v>12</v>
      </c>
      <c r="B28" s="4" t="s">
        <v>401</v>
      </c>
      <c r="C28" s="4">
        <v>2934</v>
      </c>
      <c r="D28" s="4">
        <v>1365</v>
      </c>
      <c r="E28" s="4">
        <v>1569</v>
      </c>
      <c r="F28" s="14"/>
    </row>
    <row r="29" spans="1:6" ht="15.75" customHeight="1" x14ac:dyDescent="0.25">
      <c r="A29" s="4">
        <v>13</v>
      </c>
      <c r="B29" s="4" t="s">
        <v>402</v>
      </c>
      <c r="C29" s="4">
        <v>2767</v>
      </c>
      <c r="D29" s="4">
        <v>1314</v>
      </c>
      <c r="E29" s="4">
        <v>1453</v>
      </c>
      <c r="F29" s="14"/>
    </row>
    <row r="30" spans="1:6" ht="15.75" customHeight="1" x14ac:dyDescent="0.25">
      <c r="A30" s="4">
        <v>14</v>
      </c>
      <c r="B30" s="4" t="s">
        <v>403</v>
      </c>
      <c r="C30" s="4">
        <v>1409</v>
      </c>
      <c r="D30" s="4">
        <v>645</v>
      </c>
      <c r="E30" s="4">
        <v>764</v>
      </c>
      <c r="F30" s="14"/>
    </row>
    <row r="31" spans="1:6" ht="15.75" customHeight="1" x14ac:dyDescent="0.25">
      <c r="A31" s="4">
        <v>15</v>
      </c>
      <c r="B31" s="4" t="s">
        <v>404</v>
      </c>
      <c r="C31" s="4">
        <v>1923</v>
      </c>
      <c r="D31" s="4">
        <v>929</v>
      </c>
      <c r="E31" s="4">
        <v>994</v>
      </c>
      <c r="F31" s="14"/>
    </row>
    <row r="32" spans="1:6" ht="15.75" customHeight="1" x14ac:dyDescent="0.25">
      <c r="A32" s="4">
        <v>16</v>
      </c>
      <c r="B32" s="4" t="s">
        <v>178</v>
      </c>
      <c r="C32" s="4">
        <v>3103</v>
      </c>
      <c r="D32" s="4">
        <v>1418</v>
      </c>
      <c r="E32" s="4">
        <v>1685</v>
      </c>
      <c r="F32" s="14"/>
    </row>
    <row r="33" spans="1:6" ht="15.75" customHeight="1" x14ac:dyDescent="0.25">
      <c r="A33" s="4">
        <v>17</v>
      </c>
      <c r="B33" s="4" t="s">
        <v>405</v>
      </c>
      <c r="C33" s="4">
        <v>2908</v>
      </c>
      <c r="D33" s="4">
        <v>1409</v>
      </c>
      <c r="E33" s="4">
        <v>1499</v>
      </c>
      <c r="F33" s="14"/>
    </row>
    <row r="34" spans="1:6" ht="15.75" customHeight="1" x14ac:dyDescent="0.25">
      <c r="A34" s="4">
        <v>18</v>
      </c>
      <c r="B34" s="4" t="s">
        <v>74</v>
      </c>
      <c r="C34" s="4">
        <v>1471</v>
      </c>
      <c r="D34" s="4">
        <v>711</v>
      </c>
      <c r="E34" s="4">
        <v>760</v>
      </c>
      <c r="F34" s="14"/>
    </row>
    <row r="35" spans="1:6" ht="15.75" customHeight="1" x14ac:dyDescent="0.25">
      <c r="A35" s="4">
        <v>19</v>
      </c>
      <c r="B35" s="4" t="s">
        <v>77</v>
      </c>
      <c r="C35" s="4">
        <v>1719</v>
      </c>
      <c r="D35" s="4">
        <v>818</v>
      </c>
      <c r="E35" s="4">
        <v>901</v>
      </c>
      <c r="F35" s="14"/>
    </row>
    <row r="36" spans="1:6" ht="15.75" customHeight="1" x14ac:dyDescent="0.25">
      <c r="A36" s="4">
        <v>20</v>
      </c>
      <c r="B36" s="4" t="s">
        <v>406</v>
      </c>
      <c r="C36" s="4">
        <v>3971</v>
      </c>
      <c r="D36" s="4">
        <v>1942</v>
      </c>
      <c r="E36" s="4">
        <v>2029</v>
      </c>
      <c r="F36" s="14"/>
    </row>
    <row r="37" spans="1:6" ht="15.75" customHeight="1" x14ac:dyDescent="0.25">
      <c r="A37" s="4">
        <v>21</v>
      </c>
      <c r="B37" s="4" t="s">
        <v>407</v>
      </c>
      <c r="C37" s="4">
        <v>3134</v>
      </c>
      <c r="D37" s="4">
        <v>1512</v>
      </c>
      <c r="E37" s="4">
        <v>1622</v>
      </c>
      <c r="F37" s="14"/>
    </row>
    <row r="38" spans="1:6" ht="15.75" customHeight="1" x14ac:dyDescent="0.25">
      <c r="A38" s="4">
        <v>22</v>
      </c>
      <c r="B38" s="4" t="s">
        <v>408</v>
      </c>
      <c r="C38" s="4">
        <v>2292</v>
      </c>
      <c r="D38" s="4">
        <v>1065</v>
      </c>
      <c r="E38" s="4">
        <v>1227</v>
      </c>
      <c r="F38" s="14"/>
    </row>
    <row r="39" spans="1:6" ht="15.75" customHeight="1" x14ac:dyDescent="0.25">
      <c r="A39" s="4">
        <v>23</v>
      </c>
      <c r="B39" s="4" t="s">
        <v>409</v>
      </c>
      <c r="C39" s="4">
        <v>1052</v>
      </c>
      <c r="D39" s="4">
        <v>476</v>
      </c>
      <c r="E39" s="4">
        <v>576</v>
      </c>
      <c r="F39" s="14"/>
    </row>
    <row r="40" spans="1:6" ht="15.75" customHeight="1" x14ac:dyDescent="0.25">
      <c r="A40" s="4">
        <v>24</v>
      </c>
      <c r="B40" s="4" t="s">
        <v>410</v>
      </c>
      <c r="C40" s="4">
        <v>4943</v>
      </c>
      <c r="D40" s="4">
        <v>2356</v>
      </c>
      <c r="E40" s="4">
        <v>2587</v>
      </c>
      <c r="F40" s="14"/>
    </row>
    <row r="41" spans="1:6" ht="15.75" customHeight="1" x14ac:dyDescent="0.25">
      <c r="A41" s="4">
        <v>25</v>
      </c>
      <c r="B41" s="4" t="s">
        <v>282</v>
      </c>
      <c r="C41" s="4">
        <v>1999</v>
      </c>
      <c r="D41" s="4">
        <v>935</v>
      </c>
      <c r="E41" s="4">
        <v>1064</v>
      </c>
      <c r="F41" s="14"/>
    </row>
    <row r="42" spans="1:6" ht="15.75" customHeight="1" x14ac:dyDescent="0.25">
      <c r="A42" s="4">
        <v>26</v>
      </c>
      <c r="B42" s="4" t="s">
        <v>411</v>
      </c>
      <c r="C42" s="4">
        <v>725</v>
      </c>
      <c r="D42" s="4">
        <v>357</v>
      </c>
      <c r="E42" s="4">
        <v>368</v>
      </c>
      <c r="F42" s="14"/>
    </row>
    <row r="43" spans="1:6" ht="15.75" customHeight="1" x14ac:dyDescent="0.25">
      <c r="A43" s="4">
        <v>27</v>
      </c>
      <c r="B43" s="4" t="s">
        <v>412</v>
      </c>
      <c r="C43" s="4">
        <v>972</v>
      </c>
      <c r="D43" s="4">
        <v>439</v>
      </c>
      <c r="E43" s="4">
        <v>533</v>
      </c>
      <c r="F43" s="14"/>
    </row>
    <row r="44" spans="1:6" ht="15.75" customHeight="1" x14ac:dyDescent="0.25">
      <c r="A44" s="4">
        <v>28</v>
      </c>
      <c r="B44" s="4" t="s">
        <v>413</v>
      </c>
      <c r="C44" s="4">
        <v>1091</v>
      </c>
      <c r="D44" s="4">
        <v>510</v>
      </c>
      <c r="E44" s="4">
        <v>581</v>
      </c>
      <c r="F44" s="14"/>
    </row>
    <row r="45" spans="1:6" ht="15.75" customHeight="1" x14ac:dyDescent="0.25">
      <c r="A45" s="4">
        <v>29</v>
      </c>
      <c r="B45" s="4" t="s">
        <v>140</v>
      </c>
      <c r="C45" s="4">
        <v>826</v>
      </c>
      <c r="D45" s="4">
        <v>404</v>
      </c>
      <c r="E45" s="4">
        <v>422</v>
      </c>
      <c r="F45" s="14"/>
    </row>
    <row r="46" spans="1:6" ht="15.75" customHeight="1" x14ac:dyDescent="0.25">
      <c r="A46" s="4">
        <v>30</v>
      </c>
      <c r="B46" s="4" t="s">
        <v>414</v>
      </c>
      <c r="C46" s="4">
        <v>15857</v>
      </c>
      <c r="D46" s="4">
        <v>7029</v>
      </c>
      <c r="E46" s="4">
        <v>8828</v>
      </c>
      <c r="F46" s="14"/>
    </row>
    <row r="47" spans="1:6" ht="15.75" customHeight="1" x14ac:dyDescent="0.25">
      <c r="A47" s="4">
        <v>31</v>
      </c>
      <c r="B47" s="4" t="s">
        <v>415</v>
      </c>
      <c r="C47" s="4">
        <v>1011</v>
      </c>
      <c r="D47" s="4">
        <v>496</v>
      </c>
      <c r="E47" s="4">
        <v>515</v>
      </c>
      <c r="F47" s="14"/>
    </row>
    <row r="48" spans="1:6" ht="15.75" customHeight="1" x14ac:dyDescent="0.25">
      <c r="A48" s="4">
        <v>32</v>
      </c>
      <c r="B48" s="4" t="s">
        <v>416</v>
      </c>
      <c r="C48" s="4">
        <v>1010</v>
      </c>
      <c r="D48" s="4">
        <v>493</v>
      </c>
      <c r="E48" s="4">
        <v>517</v>
      </c>
      <c r="F48" s="14"/>
    </row>
    <row r="49" spans="1:6" ht="15.75" customHeight="1" x14ac:dyDescent="0.25">
      <c r="A49" s="4">
        <v>33</v>
      </c>
      <c r="B49" s="4" t="s">
        <v>417</v>
      </c>
      <c r="C49" s="4">
        <v>625</v>
      </c>
      <c r="D49" s="4">
        <v>292</v>
      </c>
      <c r="E49" s="4">
        <v>333</v>
      </c>
      <c r="F49" s="14"/>
    </row>
    <row r="50" spans="1:6" ht="15.75" customHeight="1" x14ac:dyDescent="0.25">
      <c r="A50" s="4">
        <v>34</v>
      </c>
      <c r="B50" s="4" t="s">
        <v>418</v>
      </c>
      <c r="C50" s="4">
        <v>1224</v>
      </c>
      <c r="D50" s="4">
        <v>594</v>
      </c>
      <c r="E50" s="4">
        <v>630</v>
      </c>
      <c r="F50" s="14"/>
    </row>
    <row r="51" spans="1:6" ht="15.75" customHeight="1" x14ac:dyDescent="0.25">
      <c r="A51" s="4">
        <v>35</v>
      </c>
      <c r="B51" s="4" t="s">
        <v>419</v>
      </c>
      <c r="C51" s="4">
        <v>778</v>
      </c>
      <c r="D51" s="4">
        <v>367</v>
      </c>
      <c r="E51" s="4">
        <v>411</v>
      </c>
      <c r="F51" s="14"/>
    </row>
    <row r="52" spans="1:6" ht="15.75" customHeight="1" x14ac:dyDescent="0.25">
      <c r="A52" s="4">
        <v>36</v>
      </c>
      <c r="B52" s="4" t="s">
        <v>66</v>
      </c>
      <c r="C52" s="4">
        <v>1305</v>
      </c>
      <c r="D52" s="4">
        <v>629</v>
      </c>
      <c r="E52" s="4">
        <v>676</v>
      </c>
      <c r="F52" s="14"/>
    </row>
    <row r="53" spans="1:6" ht="15.75" customHeight="1" x14ac:dyDescent="0.25">
      <c r="A53" s="4">
        <v>37</v>
      </c>
      <c r="B53" s="4" t="s">
        <v>420</v>
      </c>
      <c r="C53" s="4">
        <v>1502</v>
      </c>
      <c r="D53" s="4">
        <v>735</v>
      </c>
      <c r="E53" s="4">
        <v>767</v>
      </c>
      <c r="F53" s="14"/>
    </row>
    <row r="54" spans="1:6" ht="15.75" customHeight="1" x14ac:dyDescent="0.25">
      <c r="A54" s="4">
        <v>38</v>
      </c>
      <c r="B54" s="4" t="s">
        <v>421</v>
      </c>
      <c r="C54" s="4">
        <v>931</v>
      </c>
      <c r="D54" s="4">
        <v>453</v>
      </c>
      <c r="E54" s="4">
        <v>478</v>
      </c>
      <c r="F54" s="14"/>
    </row>
    <row r="55" spans="1:6" ht="15.75" customHeight="1" x14ac:dyDescent="0.25">
      <c r="A55" s="4">
        <v>39</v>
      </c>
      <c r="B55" s="4" t="s">
        <v>308</v>
      </c>
      <c r="C55" s="4">
        <v>1620</v>
      </c>
      <c r="D55" s="4">
        <v>793</v>
      </c>
      <c r="E55" s="4">
        <v>827</v>
      </c>
      <c r="F55" s="14"/>
    </row>
    <row r="56" spans="1:6" ht="15.75" customHeight="1" x14ac:dyDescent="0.25">
      <c r="A56" s="4">
        <v>40</v>
      </c>
      <c r="B56" s="4" t="s">
        <v>422</v>
      </c>
      <c r="C56" s="4">
        <v>2413</v>
      </c>
      <c r="D56" s="4">
        <v>1100</v>
      </c>
      <c r="E56" s="4">
        <v>1313</v>
      </c>
      <c r="F56" s="14"/>
    </row>
    <row r="57" spans="1:6" ht="15.75" customHeight="1" x14ac:dyDescent="0.25">
      <c r="A57" s="4">
        <v>41</v>
      </c>
      <c r="B57" s="4" t="s">
        <v>423</v>
      </c>
      <c r="C57" s="4">
        <v>1471</v>
      </c>
      <c r="D57" s="4">
        <v>690</v>
      </c>
      <c r="E57" s="4">
        <v>781</v>
      </c>
      <c r="F57" s="14"/>
    </row>
    <row r="58" spans="1:6" ht="15.75" customHeight="1" x14ac:dyDescent="0.25">
      <c r="A58" s="4">
        <v>42</v>
      </c>
      <c r="B58" s="4" t="s">
        <v>424</v>
      </c>
      <c r="C58" s="4">
        <v>1777</v>
      </c>
      <c r="D58" s="4">
        <v>847</v>
      </c>
      <c r="E58" s="4">
        <v>930</v>
      </c>
      <c r="F58" s="14"/>
    </row>
    <row r="59" spans="1:6" ht="15.75" customHeight="1" x14ac:dyDescent="0.25">
      <c r="A59" s="4">
        <v>43</v>
      </c>
      <c r="B59" s="4" t="s">
        <v>425</v>
      </c>
      <c r="C59" s="4">
        <v>1712</v>
      </c>
      <c r="D59" s="4">
        <v>826</v>
      </c>
      <c r="E59" s="4">
        <v>886</v>
      </c>
      <c r="F59" s="14"/>
    </row>
    <row r="60" spans="1:6" ht="15.75" customHeight="1" x14ac:dyDescent="0.25">
      <c r="A60" s="4">
        <v>44</v>
      </c>
      <c r="B60" s="4" t="s">
        <v>426</v>
      </c>
      <c r="C60" s="4">
        <v>1652</v>
      </c>
      <c r="D60" s="4">
        <v>788</v>
      </c>
      <c r="E60" s="4">
        <v>864</v>
      </c>
      <c r="F60" s="14"/>
    </row>
    <row r="61" spans="1:6" ht="15.75" customHeight="1" x14ac:dyDescent="0.25">
      <c r="A61" s="4">
        <v>45</v>
      </c>
      <c r="B61" s="4" t="s">
        <v>427</v>
      </c>
      <c r="C61" s="4">
        <v>3088</v>
      </c>
      <c r="D61" s="4">
        <v>1458</v>
      </c>
      <c r="E61" s="4">
        <v>1630</v>
      </c>
      <c r="F61" s="14"/>
    </row>
    <row r="62" spans="1:6" ht="15.75" customHeight="1" x14ac:dyDescent="0.25">
      <c r="A62" s="4">
        <v>46</v>
      </c>
      <c r="B62" s="4" t="s">
        <v>428</v>
      </c>
      <c r="C62" s="4">
        <v>2348</v>
      </c>
      <c r="D62" s="4">
        <v>1105</v>
      </c>
      <c r="E62" s="4">
        <v>1243</v>
      </c>
      <c r="F62" s="14"/>
    </row>
    <row r="63" spans="1:6" ht="15.75" customHeight="1" x14ac:dyDescent="0.25">
      <c r="A63" s="4">
        <v>47</v>
      </c>
      <c r="B63" s="4" t="s">
        <v>429</v>
      </c>
      <c r="C63" s="4">
        <v>3359</v>
      </c>
      <c r="D63" s="4">
        <v>1625</v>
      </c>
      <c r="E63" s="4">
        <v>1734</v>
      </c>
      <c r="F63" s="14"/>
    </row>
    <row r="64" spans="1:6" ht="15.75" customHeight="1" x14ac:dyDescent="0.25">
      <c r="A64" s="4">
        <v>48</v>
      </c>
      <c r="B64" s="4" t="s">
        <v>430</v>
      </c>
      <c r="C64" s="4">
        <v>3659</v>
      </c>
      <c r="D64" s="4">
        <v>1783</v>
      </c>
      <c r="E64" s="4">
        <v>1876</v>
      </c>
      <c r="F64" s="14"/>
    </row>
    <row r="65" spans="1:6" ht="15.75" customHeight="1" x14ac:dyDescent="0.25">
      <c r="A65" s="4">
        <v>49</v>
      </c>
      <c r="B65" s="4" t="s">
        <v>431</v>
      </c>
      <c r="C65" s="4">
        <v>4072</v>
      </c>
      <c r="D65" s="4">
        <v>2030</v>
      </c>
      <c r="E65" s="4">
        <v>2042</v>
      </c>
      <c r="F65" s="14"/>
    </row>
    <row r="66" spans="1:6" ht="15.75" customHeight="1" x14ac:dyDescent="0.25">
      <c r="A66" s="4">
        <v>50</v>
      </c>
      <c r="B66" s="4" t="s">
        <v>432</v>
      </c>
      <c r="C66" s="4">
        <v>2327</v>
      </c>
      <c r="D66" s="4">
        <v>1080</v>
      </c>
      <c r="E66" s="4">
        <v>1247</v>
      </c>
      <c r="F66" s="14"/>
    </row>
    <row r="67" spans="1:6" ht="15.75" customHeight="1" x14ac:dyDescent="0.25">
      <c r="A67" s="4">
        <v>51</v>
      </c>
      <c r="B67" s="4" t="s">
        <v>433</v>
      </c>
      <c r="C67" s="4">
        <v>503</v>
      </c>
      <c r="D67" s="4">
        <v>234</v>
      </c>
      <c r="E67" s="4">
        <v>269</v>
      </c>
      <c r="F67" s="14"/>
    </row>
    <row r="68" spans="1:6" ht="15.75" customHeight="1" x14ac:dyDescent="0.25">
      <c r="A68" s="4">
        <v>52</v>
      </c>
      <c r="B68" s="4" t="s">
        <v>434</v>
      </c>
      <c r="C68" s="4">
        <v>2671</v>
      </c>
      <c r="D68" s="4">
        <v>1275</v>
      </c>
      <c r="E68" s="4">
        <v>1396</v>
      </c>
      <c r="F68" s="14"/>
    </row>
    <row r="69" spans="1:6" ht="15.75" customHeight="1" x14ac:dyDescent="0.25">
      <c r="A69" s="4">
        <v>53</v>
      </c>
      <c r="B69" s="4" t="s">
        <v>435</v>
      </c>
      <c r="C69" s="4">
        <v>2004</v>
      </c>
      <c r="D69" s="4">
        <v>976</v>
      </c>
      <c r="E69" s="4">
        <v>1028</v>
      </c>
      <c r="F69" s="14"/>
    </row>
    <row r="70" spans="1:6" ht="15.75" customHeight="1" x14ac:dyDescent="0.25">
      <c r="A70" s="4">
        <v>54</v>
      </c>
      <c r="B70" s="4" t="s">
        <v>436</v>
      </c>
      <c r="C70" s="4">
        <v>3858</v>
      </c>
      <c r="D70" s="4">
        <v>1788</v>
      </c>
      <c r="E70" s="4">
        <v>2070</v>
      </c>
      <c r="F70" s="14"/>
    </row>
    <row r="71" spans="1:6" ht="15.75" customHeight="1" x14ac:dyDescent="0.25">
      <c r="A71" s="4">
        <v>55</v>
      </c>
      <c r="B71" s="4" t="s">
        <v>437</v>
      </c>
      <c r="C71" s="4">
        <v>2341</v>
      </c>
      <c r="D71" s="4">
        <v>1061</v>
      </c>
      <c r="E71" s="4">
        <v>1280</v>
      </c>
      <c r="F71" s="14"/>
    </row>
    <row r="72" spans="1:6" ht="15.75" customHeight="1" x14ac:dyDescent="0.25">
      <c r="A72" s="4">
        <v>56</v>
      </c>
      <c r="B72" s="4" t="s">
        <v>438</v>
      </c>
      <c r="C72" s="4">
        <v>1627</v>
      </c>
      <c r="D72" s="4">
        <v>833</v>
      </c>
      <c r="E72" s="4">
        <v>794</v>
      </c>
      <c r="F72" s="14"/>
    </row>
    <row r="73" spans="1:6" ht="15.75" customHeight="1" x14ac:dyDescent="0.25">
      <c r="A73" s="4">
        <v>57</v>
      </c>
      <c r="B73" s="4" t="s">
        <v>439</v>
      </c>
      <c r="C73" s="4">
        <v>2087</v>
      </c>
      <c r="D73" s="4">
        <v>964</v>
      </c>
      <c r="E73" s="4">
        <v>1123</v>
      </c>
      <c r="F73" s="14"/>
    </row>
    <row r="74" spans="1:6" ht="15.75" customHeight="1" x14ac:dyDescent="0.25">
      <c r="A74" s="4">
        <v>58</v>
      </c>
      <c r="B74" s="4" t="s">
        <v>440</v>
      </c>
      <c r="C74" s="4">
        <v>2101</v>
      </c>
      <c r="D74" s="4">
        <v>980</v>
      </c>
      <c r="E74" s="4">
        <v>1121</v>
      </c>
      <c r="F74" s="14"/>
    </row>
    <row r="75" spans="1:6" ht="15.75" customHeight="1" x14ac:dyDescent="0.25">
      <c r="A75" s="4">
        <v>59</v>
      </c>
      <c r="B75" s="4" t="s">
        <v>441</v>
      </c>
      <c r="C75" s="4">
        <v>1269</v>
      </c>
      <c r="D75" s="4">
        <v>588</v>
      </c>
      <c r="E75" s="4">
        <v>681</v>
      </c>
      <c r="F75" s="14"/>
    </row>
    <row r="76" spans="1:6" ht="15.75" customHeight="1" x14ac:dyDescent="0.25">
      <c r="A76" s="4">
        <v>60</v>
      </c>
      <c r="B76" s="4" t="s">
        <v>442</v>
      </c>
      <c r="C76" s="4">
        <v>468</v>
      </c>
      <c r="D76" s="4">
        <v>209</v>
      </c>
      <c r="E76" s="4">
        <v>259</v>
      </c>
      <c r="F76" s="14"/>
    </row>
    <row r="77" spans="1:6" ht="15.75" customHeight="1" x14ac:dyDescent="0.25">
      <c r="A77" s="4">
        <v>61</v>
      </c>
      <c r="B77" s="4" t="s">
        <v>342</v>
      </c>
      <c r="C77" s="4">
        <v>1764</v>
      </c>
      <c r="D77" s="4">
        <v>868</v>
      </c>
      <c r="E77" s="4">
        <v>896</v>
      </c>
      <c r="F77" s="14"/>
    </row>
    <row r="78" spans="1:6" ht="15.75" customHeight="1" x14ac:dyDescent="0.25">
      <c r="A78" s="4">
        <v>62</v>
      </c>
      <c r="B78" s="4" t="s">
        <v>443</v>
      </c>
      <c r="C78" s="4">
        <v>1953</v>
      </c>
      <c r="D78" s="4">
        <v>896</v>
      </c>
      <c r="E78" s="4">
        <v>1057</v>
      </c>
      <c r="F78" s="14"/>
    </row>
    <row r="79" spans="1:6" ht="15.75" customHeight="1" x14ac:dyDescent="0.25">
      <c r="A79" s="4">
        <v>63</v>
      </c>
      <c r="B79" s="4" t="s">
        <v>444</v>
      </c>
      <c r="C79" s="4">
        <v>4701</v>
      </c>
      <c r="D79" s="4">
        <v>2170</v>
      </c>
      <c r="E79" s="4">
        <v>2531</v>
      </c>
      <c r="F79" s="14"/>
    </row>
    <row r="80" spans="1:6" ht="15.75" customHeight="1" x14ac:dyDescent="0.25">
      <c r="A80" s="4">
        <v>64</v>
      </c>
      <c r="B80" s="4" t="s">
        <v>445</v>
      </c>
      <c r="C80" s="4">
        <v>2813</v>
      </c>
      <c r="D80" s="4">
        <v>1338</v>
      </c>
      <c r="E80" s="4">
        <v>1475</v>
      </c>
      <c r="F80" s="14"/>
    </row>
    <row r="81" spans="1:6" ht="15.75" customHeight="1" x14ac:dyDescent="0.25">
      <c r="A81" s="4">
        <v>65</v>
      </c>
      <c r="B81" s="4" t="s">
        <v>446</v>
      </c>
      <c r="C81" s="4">
        <v>2351</v>
      </c>
      <c r="D81" s="4">
        <v>1199</v>
      </c>
      <c r="E81" s="4">
        <v>1152</v>
      </c>
      <c r="F81" s="14"/>
    </row>
    <row r="82" spans="1:6" ht="15.75" customHeight="1" x14ac:dyDescent="0.25">
      <c r="A82" s="4">
        <v>66</v>
      </c>
      <c r="B82" s="4" t="s">
        <v>447</v>
      </c>
      <c r="C82" s="4">
        <v>4372</v>
      </c>
      <c r="D82" s="4">
        <v>2025</v>
      </c>
      <c r="E82" s="4">
        <v>2347</v>
      </c>
      <c r="F82" s="14"/>
    </row>
    <row r="83" spans="1:6" ht="15.75" customHeight="1" x14ac:dyDescent="0.25">
      <c r="A83" s="6">
        <v>67</v>
      </c>
      <c r="B83" s="6" t="s">
        <v>448</v>
      </c>
      <c r="C83" s="6">
        <v>480</v>
      </c>
      <c r="D83" s="6">
        <v>213</v>
      </c>
      <c r="E83" s="6">
        <v>267</v>
      </c>
      <c r="F83" s="14"/>
    </row>
  </sheetData>
  <mergeCells count="4">
    <mergeCell ref="A4:A5"/>
    <mergeCell ref="B4:B5"/>
    <mergeCell ref="C4:E4"/>
    <mergeCell ref="A1:E1"/>
  </mergeCells>
  <hyperlinks>
    <hyperlink ref="A1:E1" location="'Lest of twonship'!A1" display="        Magway Region, Minbu District,  Minbu Township"/>
  </hyperlinks>
  <pageMargins left="0.75" right="0.5" top="0.5" bottom="0.2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Views>
    <sheetView workbookViewId="0">
      <selection sqref="A1:E1"/>
    </sheetView>
  </sheetViews>
  <sheetFormatPr defaultRowHeight="15" x14ac:dyDescent="0.25"/>
  <cols>
    <col min="1" max="1" width="7.140625" customWidth="1"/>
    <col min="2" max="2" width="30.85546875" bestFit="1" customWidth="1"/>
    <col min="3" max="5" width="15.7109375" customWidth="1"/>
  </cols>
  <sheetData>
    <row r="1" spans="1:5" s="38" customFormat="1" ht="18.75" x14ac:dyDescent="0.3">
      <c r="A1" s="37" t="s">
        <v>1473</v>
      </c>
      <c r="B1" s="37"/>
      <c r="C1" s="37"/>
      <c r="D1" s="37"/>
      <c r="E1" s="37"/>
    </row>
    <row r="2" spans="1:5" ht="15.75" x14ac:dyDescent="0.25">
      <c r="E2" s="8" t="s">
        <v>1463</v>
      </c>
    </row>
    <row r="4" spans="1:5" ht="15.75" x14ac:dyDescent="0.25">
      <c r="A4" s="32" t="s">
        <v>1461</v>
      </c>
      <c r="B4" s="32" t="s">
        <v>1465</v>
      </c>
      <c r="C4" s="30" t="s">
        <v>1462</v>
      </c>
      <c r="D4" s="30"/>
      <c r="E4" s="30"/>
    </row>
    <row r="5" spans="1:5" ht="16.5" customHeight="1" x14ac:dyDescent="0.25">
      <c r="A5" s="32"/>
      <c r="B5" s="32"/>
      <c r="C5" s="11" t="s">
        <v>0</v>
      </c>
      <c r="D5" s="11" t="s">
        <v>1</v>
      </c>
      <c r="E5" s="11" t="s">
        <v>2</v>
      </c>
    </row>
    <row r="6" spans="1:5" ht="21.75" customHeight="1" x14ac:dyDescent="0.25">
      <c r="A6" s="9"/>
      <c r="B6" s="3" t="s">
        <v>0</v>
      </c>
      <c r="C6" s="10">
        <f>C8+C13</f>
        <v>163692</v>
      </c>
      <c r="D6" s="10">
        <f t="shared" ref="D6:E6" si="0">D8+D13</f>
        <v>76740</v>
      </c>
      <c r="E6" s="10">
        <f t="shared" si="0"/>
        <v>86952</v>
      </c>
    </row>
    <row r="7" spans="1:5" ht="9" customHeight="1" x14ac:dyDescent="0.25">
      <c r="A7" s="4"/>
      <c r="B7" s="4"/>
      <c r="C7" s="4"/>
      <c r="D7" s="4"/>
      <c r="E7" s="4"/>
    </row>
    <row r="8" spans="1:5" ht="15.75" customHeight="1" x14ac:dyDescent="0.25">
      <c r="A8" s="4"/>
      <c r="B8" s="20" t="s">
        <v>1460</v>
      </c>
      <c r="C8" s="5">
        <f>SUM(C9:C12)</f>
        <v>6350</v>
      </c>
      <c r="D8" s="5">
        <f t="shared" ref="D8:E8" si="1">SUM(D9:D12)</f>
        <v>2910</v>
      </c>
      <c r="E8" s="5">
        <f t="shared" si="1"/>
        <v>3440</v>
      </c>
    </row>
    <row r="9" spans="1:5" ht="15.75" customHeight="1" x14ac:dyDescent="0.25">
      <c r="A9" s="4">
        <v>1</v>
      </c>
      <c r="B9" s="4" t="s">
        <v>449</v>
      </c>
      <c r="C9" s="4">
        <v>1795</v>
      </c>
      <c r="D9" s="4">
        <v>838</v>
      </c>
      <c r="E9" s="4">
        <v>957</v>
      </c>
    </row>
    <row r="10" spans="1:5" ht="15.75" customHeight="1" x14ac:dyDescent="0.25">
      <c r="A10" s="4">
        <v>2</v>
      </c>
      <c r="B10" s="4" t="s">
        <v>450</v>
      </c>
      <c r="C10" s="4">
        <v>1043</v>
      </c>
      <c r="D10" s="4">
        <v>451</v>
      </c>
      <c r="E10" s="4">
        <v>592</v>
      </c>
    </row>
    <row r="11" spans="1:5" ht="15.75" customHeight="1" x14ac:dyDescent="0.25">
      <c r="A11" s="4">
        <v>3</v>
      </c>
      <c r="B11" s="4" t="s">
        <v>451</v>
      </c>
      <c r="C11" s="4">
        <v>1119</v>
      </c>
      <c r="D11" s="4">
        <v>505</v>
      </c>
      <c r="E11" s="4">
        <v>614</v>
      </c>
    </row>
    <row r="12" spans="1:5" ht="15.75" customHeight="1" x14ac:dyDescent="0.25">
      <c r="A12" s="4">
        <v>4</v>
      </c>
      <c r="B12" s="4" t="s">
        <v>452</v>
      </c>
      <c r="C12" s="4">
        <v>2393</v>
      </c>
      <c r="D12" s="4">
        <v>1116</v>
      </c>
      <c r="E12" s="4">
        <v>1277</v>
      </c>
    </row>
    <row r="13" spans="1:5" ht="15.75" customHeight="1" x14ac:dyDescent="0.25">
      <c r="A13" s="4"/>
      <c r="B13" s="20" t="s">
        <v>1464</v>
      </c>
      <c r="C13" s="5">
        <f>SUM(C14:C65)</f>
        <v>157342</v>
      </c>
      <c r="D13" s="5">
        <f t="shared" ref="D13:E13" si="2">SUM(D14:D65)</f>
        <v>73830</v>
      </c>
      <c r="E13" s="5">
        <f t="shared" si="2"/>
        <v>83512</v>
      </c>
    </row>
    <row r="14" spans="1:5" ht="15.75" customHeight="1" x14ac:dyDescent="0.25">
      <c r="A14" s="4">
        <v>1</v>
      </c>
      <c r="B14" s="4" t="s">
        <v>453</v>
      </c>
      <c r="C14" s="4">
        <v>7182</v>
      </c>
      <c r="D14" s="4">
        <v>3298</v>
      </c>
      <c r="E14" s="4">
        <v>3884</v>
      </c>
    </row>
    <row r="15" spans="1:5" ht="15.75" customHeight="1" x14ac:dyDescent="0.25">
      <c r="A15" s="4">
        <v>2</v>
      </c>
      <c r="B15" s="4" t="s">
        <v>454</v>
      </c>
      <c r="C15" s="4">
        <v>8016</v>
      </c>
      <c r="D15" s="4">
        <v>3853</v>
      </c>
      <c r="E15" s="4">
        <v>4163</v>
      </c>
    </row>
    <row r="16" spans="1:5" ht="15.75" customHeight="1" x14ac:dyDescent="0.25">
      <c r="A16" s="4">
        <v>3</v>
      </c>
      <c r="B16" s="4" t="s">
        <v>455</v>
      </c>
      <c r="C16" s="4">
        <v>2654</v>
      </c>
      <c r="D16" s="4">
        <v>1322</v>
      </c>
      <c r="E16" s="4">
        <v>1332</v>
      </c>
    </row>
    <row r="17" spans="1:5" ht="15.75" customHeight="1" x14ac:dyDescent="0.25">
      <c r="A17" s="4">
        <v>4</v>
      </c>
      <c r="B17" s="4" t="s">
        <v>456</v>
      </c>
      <c r="C17" s="4">
        <v>4882</v>
      </c>
      <c r="D17" s="4">
        <v>2345</v>
      </c>
      <c r="E17" s="4">
        <v>2537</v>
      </c>
    </row>
    <row r="18" spans="1:5" ht="15.75" customHeight="1" x14ac:dyDescent="0.25">
      <c r="A18" s="4">
        <v>5</v>
      </c>
      <c r="B18" s="4" t="s">
        <v>457</v>
      </c>
      <c r="C18" s="4">
        <v>2476</v>
      </c>
      <c r="D18" s="4">
        <v>1117</v>
      </c>
      <c r="E18" s="4">
        <v>1359</v>
      </c>
    </row>
    <row r="19" spans="1:5" ht="15.75" customHeight="1" x14ac:dyDescent="0.25">
      <c r="A19" s="4">
        <v>6</v>
      </c>
      <c r="B19" s="4" t="s">
        <v>359</v>
      </c>
      <c r="C19" s="4">
        <v>4380</v>
      </c>
      <c r="D19" s="4">
        <v>2084</v>
      </c>
      <c r="E19" s="4">
        <v>2296</v>
      </c>
    </row>
    <row r="20" spans="1:5" ht="15.75" customHeight="1" x14ac:dyDescent="0.25">
      <c r="A20" s="4">
        <v>7</v>
      </c>
      <c r="B20" s="4" t="s">
        <v>114</v>
      </c>
      <c r="C20" s="4">
        <v>949</v>
      </c>
      <c r="D20" s="4">
        <v>454</v>
      </c>
      <c r="E20" s="4">
        <v>495</v>
      </c>
    </row>
    <row r="21" spans="1:5" ht="15.75" customHeight="1" x14ac:dyDescent="0.25">
      <c r="A21" s="4">
        <v>8</v>
      </c>
      <c r="B21" s="4" t="s">
        <v>458</v>
      </c>
      <c r="C21" s="4">
        <v>2990</v>
      </c>
      <c r="D21" s="4">
        <v>1495</v>
      </c>
      <c r="E21" s="4">
        <v>1495</v>
      </c>
    </row>
    <row r="22" spans="1:5" ht="15.75" customHeight="1" x14ac:dyDescent="0.25">
      <c r="A22" s="4">
        <v>9</v>
      </c>
      <c r="B22" s="4" t="s">
        <v>459</v>
      </c>
      <c r="C22" s="4">
        <v>1259</v>
      </c>
      <c r="D22" s="4">
        <v>630</v>
      </c>
      <c r="E22" s="4">
        <v>629</v>
      </c>
    </row>
    <row r="23" spans="1:5" ht="15.75" customHeight="1" x14ac:dyDescent="0.25">
      <c r="A23" s="4">
        <v>10</v>
      </c>
      <c r="B23" s="4" t="s">
        <v>460</v>
      </c>
      <c r="C23" s="4">
        <v>8272</v>
      </c>
      <c r="D23" s="4">
        <v>3849</v>
      </c>
      <c r="E23" s="4">
        <v>4423</v>
      </c>
    </row>
    <row r="24" spans="1:5" ht="15.75" customHeight="1" x14ac:dyDescent="0.25">
      <c r="A24" s="4">
        <v>11</v>
      </c>
      <c r="B24" s="4" t="s">
        <v>461</v>
      </c>
      <c r="C24" s="4">
        <v>2128</v>
      </c>
      <c r="D24" s="4">
        <v>987</v>
      </c>
      <c r="E24" s="4">
        <v>1141</v>
      </c>
    </row>
    <row r="25" spans="1:5" ht="15.75" customHeight="1" x14ac:dyDescent="0.25">
      <c r="A25" s="4">
        <v>12</v>
      </c>
      <c r="B25" s="4" t="s">
        <v>462</v>
      </c>
      <c r="C25" s="4">
        <v>774</v>
      </c>
      <c r="D25" s="4">
        <v>381</v>
      </c>
      <c r="E25" s="4">
        <v>393</v>
      </c>
    </row>
    <row r="26" spans="1:5" ht="15.75" customHeight="1" x14ac:dyDescent="0.25">
      <c r="A26" s="4">
        <v>13</v>
      </c>
      <c r="B26" s="4" t="s">
        <v>463</v>
      </c>
      <c r="C26" s="4">
        <v>2159</v>
      </c>
      <c r="D26" s="4">
        <v>965</v>
      </c>
      <c r="E26" s="4">
        <v>1194</v>
      </c>
    </row>
    <row r="27" spans="1:5" ht="15.75" customHeight="1" x14ac:dyDescent="0.25">
      <c r="A27" s="4">
        <v>14</v>
      </c>
      <c r="B27" s="4" t="s">
        <v>46</v>
      </c>
      <c r="C27" s="4">
        <v>1089</v>
      </c>
      <c r="D27" s="4">
        <v>487</v>
      </c>
      <c r="E27" s="4">
        <v>602</v>
      </c>
    </row>
    <row r="28" spans="1:5" ht="15.75" customHeight="1" x14ac:dyDescent="0.25">
      <c r="A28" s="4">
        <v>15</v>
      </c>
      <c r="B28" s="4" t="s">
        <v>464</v>
      </c>
      <c r="C28" s="4">
        <v>2588</v>
      </c>
      <c r="D28" s="4">
        <v>1201</v>
      </c>
      <c r="E28" s="4">
        <v>1387</v>
      </c>
    </row>
    <row r="29" spans="1:5" ht="15.75" customHeight="1" x14ac:dyDescent="0.25">
      <c r="A29" s="4">
        <v>16</v>
      </c>
      <c r="B29" s="4" t="s">
        <v>465</v>
      </c>
      <c r="C29" s="4">
        <v>2405</v>
      </c>
      <c r="D29" s="4">
        <v>1118</v>
      </c>
      <c r="E29" s="4">
        <v>1287</v>
      </c>
    </row>
    <row r="30" spans="1:5" ht="15.75" customHeight="1" x14ac:dyDescent="0.25">
      <c r="A30" s="4">
        <v>17</v>
      </c>
      <c r="B30" s="4" t="s">
        <v>466</v>
      </c>
      <c r="C30" s="4">
        <v>4308</v>
      </c>
      <c r="D30" s="4">
        <v>1954</v>
      </c>
      <c r="E30" s="4">
        <v>2354</v>
      </c>
    </row>
    <row r="31" spans="1:5" ht="15.75" customHeight="1" x14ac:dyDescent="0.25">
      <c r="A31" s="4">
        <v>18</v>
      </c>
      <c r="B31" s="4" t="s">
        <v>272</v>
      </c>
      <c r="C31" s="4">
        <v>3959</v>
      </c>
      <c r="D31" s="4">
        <v>1806</v>
      </c>
      <c r="E31" s="4">
        <v>2153</v>
      </c>
    </row>
    <row r="32" spans="1:5" ht="15.75" customHeight="1" x14ac:dyDescent="0.25">
      <c r="A32" s="4">
        <v>19</v>
      </c>
      <c r="B32" s="4" t="s">
        <v>467</v>
      </c>
      <c r="C32" s="4">
        <v>445</v>
      </c>
      <c r="D32" s="4">
        <v>218</v>
      </c>
      <c r="E32" s="4">
        <v>227</v>
      </c>
    </row>
    <row r="33" spans="1:5" ht="15.75" customHeight="1" x14ac:dyDescent="0.25">
      <c r="A33" s="4">
        <v>20</v>
      </c>
      <c r="B33" s="4" t="s">
        <v>26</v>
      </c>
      <c r="C33" s="4">
        <v>5514</v>
      </c>
      <c r="D33" s="4">
        <v>2524</v>
      </c>
      <c r="E33" s="4">
        <v>2990</v>
      </c>
    </row>
    <row r="34" spans="1:5" ht="15.75" customHeight="1" x14ac:dyDescent="0.25">
      <c r="A34" s="4">
        <v>21</v>
      </c>
      <c r="B34" s="4" t="s">
        <v>468</v>
      </c>
      <c r="C34" s="4">
        <v>1193</v>
      </c>
      <c r="D34" s="4">
        <v>571</v>
      </c>
      <c r="E34" s="4">
        <v>622</v>
      </c>
    </row>
    <row r="35" spans="1:5" ht="15.75" customHeight="1" x14ac:dyDescent="0.25">
      <c r="A35" s="4">
        <v>22</v>
      </c>
      <c r="B35" s="4" t="s">
        <v>469</v>
      </c>
      <c r="C35" s="4">
        <v>1877</v>
      </c>
      <c r="D35" s="4">
        <v>895</v>
      </c>
      <c r="E35" s="4">
        <v>982</v>
      </c>
    </row>
    <row r="36" spans="1:5" ht="15.75" customHeight="1" x14ac:dyDescent="0.25">
      <c r="A36" s="4">
        <v>23</v>
      </c>
      <c r="B36" s="4" t="s">
        <v>309</v>
      </c>
      <c r="C36" s="4">
        <v>1450</v>
      </c>
      <c r="D36" s="4">
        <v>686</v>
      </c>
      <c r="E36" s="4">
        <v>764</v>
      </c>
    </row>
    <row r="37" spans="1:5" ht="15.75" customHeight="1" x14ac:dyDescent="0.25">
      <c r="A37" s="4">
        <v>24</v>
      </c>
      <c r="B37" s="4" t="s">
        <v>470</v>
      </c>
      <c r="C37" s="4">
        <v>3783</v>
      </c>
      <c r="D37" s="4">
        <v>1855</v>
      </c>
      <c r="E37" s="4">
        <v>1928</v>
      </c>
    </row>
    <row r="38" spans="1:5" ht="15.75" customHeight="1" x14ac:dyDescent="0.25">
      <c r="A38" s="4">
        <v>25</v>
      </c>
      <c r="B38" s="4" t="s">
        <v>471</v>
      </c>
      <c r="C38" s="4">
        <v>3591</v>
      </c>
      <c r="D38" s="4">
        <v>1707</v>
      </c>
      <c r="E38" s="4">
        <v>1884</v>
      </c>
    </row>
    <row r="39" spans="1:5" ht="15.75" customHeight="1" x14ac:dyDescent="0.25">
      <c r="A39" s="4">
        <v>26</v>
      </c>
      <c r="B39" s="4" t="s">
        <v>472</v>
      </c>
      <c r="C39" s="4">
        <v>759</v>
      </c>
      <c r="D39" s="4">
        <v>360</v>
      </c>
      <c r="E39" s="4">
        <v>399</v>
      </c>
    </row>
    <row r="40" spans="1:5" ht="15.75" customHeight="1" x14ac:dyDescent="0.25">
      <c r="A40" s="4">
        <v>27</v>
      </c>
      <c r="B40" s="4" t="s">
        <v>473</v>
      </c>
      <c r="C40" s="4">
        <v>1551</v>
      </c>
      <c r="D40" s="4">
        <v>735</v>
      </c>
      <c r="E40" s="4">
        <v>816</v>
      </c>
    </row>
    <row r="41" spans="1:5" ht="15.75" customHeight="1" x14ac:dyDescent="0.25">
      <c r="A41" s="4">
        <v>28</v>
      </c>
      <c r="B41" s="4" t="s">
        <v>474</v>
      </c>
      <c r="C41" s="4">
        <v>842</v>
      </c>
      <c r="D41" s="4">
        <v>384</v>
      </c>
      <c r="E41" s="4">
        <v>458</v>
      </c>
    </row>
    <row r="42" spans="1:5" ht="15.75" customHeight="1" x14ac:dyDescent="0.25">
      <c r="A42" s="4">
        <v>29</v>
      </c>
      <c r="B42" s="4" t="s">
        <v>475</v>
      </c>
      <c r="C42" s="4">
        <v>1133</v>
      </c>
      <c r="D42" s="4">
        <v>556</v>
      </c>
      <c r="E42" s="4">
        <v>577</v>
      </c>
    </row>
    <row r="43" spans="1:5" ht="15.75" customHeight="1" x14ac:dyDescent="0.25">
      <c r="A43" s="4">
        <v>30</v>
      </c>
      <c r="B43" s="4" t="s">
        <v>476</v>
      </c>
      <c r="C43" s="4">
        <v>2642</v>
      </c>
      <c r="D43" s="4">
        <v>1293</v>
      </c>
      <c r="E43" s="4">
        <v>1349</v>
      </c>
    </row>
    <row r="44" spans="1:5" ht="15.75" customHeight="1" x14ac:dyDescent="0.25">
      <c r="A44" s="4">
        <v>31</v>
      </c>
      <c r="B44" s="4" t="s">
        <v>477</v>
      </c>
      <c r="C44" s="4">
        <v>3297</v>
      </c>
      <c r="D44" s="4">
        <v>1527</v>
      </c>
      <c r="E44" s="4">
        <v>1770</v>
      </c>
    </row>
    <row r="45" spans="1:5" ht="15.75" customHeight="1" x14ac:dyDescent="0.25">
      <c r="A45" s="4">
        <v>32</v>
      </c>
      <c r="B45" s="4" t="s">
        <v>218</v>
      </c>
      <c r="C45" s="4">
        <v>1687</v>
      </c>
      <c r="D45" s="4">
        <v>770</v>
      </c>
      <c r="E45" s="4">
        <v>917</v>
      </c>
    </row>
    <row r="46" spans="1:5" ht="15.75" customHeight="1" x14ac:dyDescent="0.25">
      <c r="A46" s="4">
        <v>33</v>
      </c>
      <c r="B46" s="4" t="s">
        <v>478</v>
      </c>
      <c r="C46" s="4">
        <v>2927</v>
      </c>
      <c r="D46" s="4">
        <v>1393</v>
      </c>
      <c r="E46" s="4">
        <v>1534</v>
      </c>
    </row>
    <row r="47" spans="1:5" ht="15.75" customHeight="1" x14ac:dyDescent="0.25">
      <c r="A47" s="4">
        <v>34</v>
      </c>
      <c r="B47" s="4" t="s">
        <v>479</v>
      </c>
      <c r="C47" s="4">
        <v>2042</v>
      </c>
      <c r="D47" s="4">
        <v>967</v>
      </c>
      <c r="E47" s="4">
        <v>1075</v>
      </c>
    </row>
    <row r="48" spans="1:5" ht="15.75" customHeight="1" x14ac:dyDescent="0.25">
      <c r="A48" s="4">
        <v>35</v>
      </c>
      <c r="B48" s="4" t="s">
        <v>480</v>
      </c>
      <c r="C48" s="4">
        <v>5580</v>
      </c>
      <c r="D48" s="4">
        <v>2594</v>
      </c>
      <c r="E48" s="4">
        <v>2986</v>
      </c>
    </row>
    <row r="49" spans="1:5" ht="15.75" customHeight="1" x14ac:dyDescent="0.25">
      <c r="A49" s="4">
        <v>36</v>
      </c>
      <c r="B49" s="4" t="s">
        <v>481</v>
      </c>
      <c r="C49" s="4">
        <v>2648</v>
      </c>
      <c r="D49" s="4">
        <v>1254</v>
      </c>
      <c r="E49" s="4">
        <v>1394</v>
      </c>
    </row>
    <row r="50" spans="1:5" ht="15.75" customHeight="1" x14ac:dyDescent="0.25">
      <c r="A50" s="4">
        <v>37</v>
      </c>
      <c r="B50" s="4" t="s">
        <v>482</v>
      </c>
      <c r="C50" s="4">
        <v>927</v>
      </c>
      <c r="D50" s="4">
        <v>432</v>
      </c>
      <c r="E50" s="4">
        <v>495</v>
      </c>
    </row>
    <row r="51" spans="1:5" ht="15.75" customHeight="1" x14ac:dyDescent="0.25">
      <c r="A51" s="4">
        <v>38</v>
      </c>
      <c r="B51" s="4" t="s">
        <v>483</v>
      </c>
      <c r="C51" s="4">
        <v>6703</v>
      </c>
      <c r="D51" s="4">
        <v>3116</v>
      </c>
      <c r="E51" s="4">
        <v>3587</v>
      </c>
    </row>
    <row r="52" spans="1:5" ht="15.75" customHeight="1" x14ac:dyDescent="0.25">
      <c r="A52" s="4">
        <v>39</v>
      </c>
      <c r="B52" s="4" t="s">
        <v>484</v>
      </c>
      <c r="C52" s="4">
        <v>4449</v>
      </c>
      <c r="D52" s="4">
        <v>2086</v>
      </c>
      <c r="E52" s="4">
        <v>2363</v>
      </c>
    </row>
    <row r="53" spans="1:5" ht="15.75" customHeight="1" x14ac:dyDescent="0.25">
      <c r="A53" s="4">
        <v>40</v>
      </c>
      <c r="B53" s="4" t="s">
        <v>485</v>
      </c>
      <c r="C53" s="4">
        <v>2501</v>
      </c>
      <c r="D53" s="4">
        <v>1187</v>
      </c>
      <c r="E53" s="4">
        <v>1314</v>
      </c>
    </row>
    <row r="54" spans="1:5" ht="15.75" customHeight="1" x14ac:dyDescent="0.25">
      <c r="A54" s="4">
        <v>41</v>
      </c>
      <c r="B54" s="4" t="s">
        <v>486</v>
      </c>
      <c r="C54" s="4">
        <v>4495</v>
      </c>
      <c r="D54" s="4">
        <v>2079</v>
      </c>
      <c r="E54" s="4">
        <v>2416</v>
      </c>
    </row>
    <row r="55" spans="1:5" ht="15.75" customHeight="1" x14ac:dyDescent="0.25">
      <c r="A55" s="4">
        <v>42</v>
      </c>
      <c r="B55" s="4" t="s">
        <v>487</v>
      </c>
      <c r="C55" s="4">
        <v>1896</v>
      </c>
      <c r="D55" s="4">
        <v>907</v>
      </c>
      <c r="E55" s="4">
        <v>989</v>
      </c>
    </row>
    <row r="56" spans="1:5" ht="15.75" customHeight="1" x14ac:dyDescent="0.25">
      <c r="A56" s="4">
        <v>43</v>
      </c>
      <c r="B56" s="4" t="s">
        <v>488</v>
      </c>
      <c r="C56" s="4">
        <v>1454</v>
      </c>
      <c r="D56" s="4">
        <v>682</v>
      </c>
      <c r="E56" s="4">
        <v>772</v>
      </c>
    </row>
    <row r="57" spans="1:5" ht="15.75" customHeight="1" x14ac:dyDescent="0.25">
      <c r="A57" s="4">
        <v>44</v>
      </c>
      <c r="B57" s="4" t="s">
        <v>489</v>
      </c>
      <c r="C57" s="4">
        <v>2703</v>
      </c>
      <c r="D57" s="4">
        <v>1206</v>
      </c>
      <c r="E57" s="4">
        <v>1497</v>
      </c>
    </row>
    <row r="58" spans="1:5" ht="15.75" customHeight="1" x14ac:dyDescent="0.25">
      <c r="A58" s="4">
        <v>45</v>
      </c>
      <c r="B58" s="4" t="s">
        <v>490</v>
      </c>
      <c r="C58" s="4">
        <v>1696</v>
      </c>
      <c r="D58" s="4">
        <v>772</v>
      </c>
      <c r="E58" s="4">
        <v>924</v>
      </c>
    </row>
    <row r="59" spans="1:5" ht="15.75" customHeight="1" x14ac:dyDescent="0.25">
      <c r="A59" s="4">
        <v>46</v>
      </c>
      <c r="B59" s="4" t="s">
        <v>491</v>
      </c>
      <c r="C59" s="4">
        <v>3315</v>
      </c>
      <c r="D59" s="4">
        <v>1556</v>
      </c>
      <c r="E59" s="4">
        <v>1759</v>
      </c>
    </row>
    <row r="60" spans="1:5" ht="15.75" customHeight="1" x14ac:dyDescent="0.25">
      <c r="A60" s="4">
        <v>47</v>
      </c>
      <c r="B60" s="4" t="s">
        <v>492</v>
      </c>
      <c r="C60" s="4">
        <v>1672</v>
      </c>
      <c r="D60" s="4">
        <v>763</v>
      </c>
      <c r="E60" s="4">
        <v>909</v>
      </c>
    </row>
    <row r="61" spans="1:5" ht="15.75" customHeight="1" x14ac:dyDescent="0.25">
      <c r="A61" s="4">
        <v>48</v>
      </c>
      <c r="B61" s="4" t="s">
        <v>493</v>
      </c>
      <c r="C61" s="4">
        <v>5034</v>
      </c>
      <c r="D61" s="4">
        <v>2367</v>
      </c>
      <c r="E61" s="4">
        <v>2667</v>
      </c>
    </row>
    <row r="62" spans="1:5" ht="15.75" customHeight="1" x14ac:dyDescent="0.25">
      <c r="A62" s="4">
        <v>49</v>
      </c>
      <c r="B62" s="4" t="s">
        <v>494</v>
      </c>
      <c r="C62" s="4">
        <v>5515</v>
      </c>
      <c r="D62" s="4">
        <v>2600</v>
      </c>
      <c r="E62" s="4">
        <v>2915</v>
      </c>
    </row>
    <row r="63" spans="1:5" ht="15.75" customHeight="1" x14ac:dyDescent="0.25">
      <c r="A63" s="4">
        <v>50</v>
      </c>
      <c r="B63" s="4" t="s">
        <v>495</v>
      </c>
      <c r="C63" s="4">
        <v>2409</v>
      </c>
      <c r="D63" s="4">
        <v>1100</v>
      </c>
      <c r="E63" s="4">
        <v>1309</v>
      </c>
    </row>
    <row r="64" spans="1:5" ht="15.75" customHeight="1" x14ac:dyDescent="0.25">
      <c r="A64" s="4">
        <v>51</v>
      </c>
      <c r="B64" s="4" t="s">
        <v>426</v>
      </c>
      <c r="C64" s="4">
        <v>3887</v>
      </c>
      <c r="D64" s="4">
        <v>1864</v>
      </c>
      <c r="E64" s="4">
        <v>2023</v>
      </c>
    </row>
    <row r="65" spans="1:5" ht="15.75" customHeight="1" x14ac:dyDescent="0.25">
      <c r="A65" s="6">
        <v>52</v>
      </c>
      <c r="B65" s="6" t="s">
        <v>496</v>
      </c>
      <c r="C65" s="6">
        <v>3255</v>
      </c>
      <c r="D65" s="6">
        <v>1478</v>
      </c>
      <c r="E65" s="6">
        <v>1777</v>
      </c>
    </row>
  </sheetData>
  <mergeCells count="4">
    <mergeCell ref="A4:A5"/>
    <mergeCell ref="B4:B5"/>
    <mergeCell ref="C4:E4"/>
    <mergeCell ref="A1:E1"/>
  </mergeCells>
  <hyperlinks>
    <hyperlink ref="A1:E1" location="'Lest of twonship'!A1" display="        Magway Region, Minbu District, Pwint Phyu Township"/>
  </hyperlinks>
  <pageMargins left="0.75" right="0.5" top="0.5" bottom="0.2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workbookViewId="0">
      <selection sqref="A1:E1"/>
    </sheetView>
  </sheetViews>
  <sheetFormatPr defaultRowHeight="15" x14ac:dyDescent="0.25"/>
  <cols>
    <col min="1" max="1" width="9.42578125" style="17" customWidth="1"/>
    <col min="2" max="2" width="26.5703125" bestFit="1" customWidth="1"/>
    <col min="3" max="5" width="15.7109375" customWidth="1"/>
  </cols>
  <sheetData>
    <row r="1" spans="1:5" s="38" customFormat="1" ht="18.75" x14ac:dyDescent="0.3">
      <c r="A1" s="37" t="s">
        <v>1474</v>
      </c>
      <c r="B1" s="37"/>
      <c r="C1" s="37"/>
      <c r="D1" s="37"/>
      <c r="E1" s="37"/>
    </row>
    <row r="2" spans="1:5" ht="15.75" x14ac:dyDescent="0.25">
      <c r="E2" s="8" t="s">
        <v>1463</v>
      </c>
    </row>
    <row r="4" spans="1:5" ht="15.75" x14ac:dyDescent="0.25">
      <c r="A4" s="32" t="s">
        <v>1461</v>
      </c>
      <c r="B4" s="32" t="s">
        <v>1465</v>
      </c>
      <c r="C4" s="30" t="s">
        <v>1462</v>
      </c>
      <c r="D4" s="30"/>
      <c r="E4" s="30"/>
    </row>
    <row r="5" spans="1:5" ht="15.75" x14ac:dyDescent="0.25">
      <c r="A5" s="32"/>
      <c r="B5" s="32"/>
      <c r="C5" s="12" t="s">
        <v>0</v>
      </c>
      <c r="D5" s="12" t="s">
        <v>1</v>
      </c>
      <c r="E5" s="12" t="s">
        <v>2</v>
      </c>
    </row>
    <row r="6" spans="1:5" ht="21.75" customHeight="1" x14ac:dyDescent="0.25">
      <c r="A6" s="2"/>
      <c r="B6" s="3" t="s">
        <v>0</v>
      </c>
      <c r="C6" s="3">
        <f>SUM(C8+C11)</f>
        <v>52142</v>
      </c>
      <c r="D6" s="3">
        <f t="shared" ref="D6:E6" si="0">SUM(D8+D11)</f>
        <v>25075</v>
      </c>
      <c r="E6" s="3">
        <f t="shared" si="0"/>
        <v>27067</v>
      </c>
    </row>
    <row r="7" spans="1:5" ht="6.75" customHeight="1" x14ac:dyDescent="0.25">
      <c r="A7" s="4"/>
      <c r="B7" s="4"/>
      <c r="C7" s="4"/>
      <c r="D7" s="4"/>
      <c r="E7" s="4"/>
    </row>
    <row r="8" spans="1:5" ht="15.75" x14ac:dyDescent="0.25">
      <c r="A8" s="4"/>
      <c r="B8" s="20" t="s">
        <v>1460</v>
      </c>
      <c r="C8" s="5">
        <f>SUM(C9:C10)</f>
        <v>4065</v>
      </c>
      <c r="D8" s="5">
        <f t="shared" ref="D8:E8" si="1">SUM(D9:D10)</f>
        <v>1884</v>
      </c>
      <c r="E8" s="5">
        <f t="shared" si="1"/>
        <v>2181</v>
      </c>
    </row>
    <row r="9" spans="1:5" ht="15.75" x14ac:dyDescent="0.25">
      <c r="A9" s="18">
        <v>1</v>
      </c>
      <c r="B9" s="4" t="s">
        <v>314</v>
      </c>
      <c r="C9" s="4">
        <v>1644</v>
      </c>
      <c r="D9" s="4">
        <v>729</v>
      </c>
      <c r="E9" s="4">
        <v>915</v>
      </c>
    </row>
    <row r="10" spans="1:5" ht="15.75" x14ac:dyDescent="0.25">
      <c r="A10" s="18">
        <v>2</v>
      </c>
      <c r="B10" s="4" t="s">
        <v>497</v>
      </c>
      <c r="C10" s="4">
        <v>2421</v>
      </c>
      <c r="D10" s="4">
        <v>1155</v>
      </c>
      <c r="E10" s="4">
        <v>1266</v>
      </c>
    </row>
    <row r="11" spans="1:5" ht="15.75" x14ac:dyDescent="0.25">
      <c r="A11" s="4"/>
      <c r="B11" s="20" t="s">
        <v>1464</v>
      </c>
      <c r="C11" s="5">
        <f>SUM(C12:C42)</f>
        <v>48077</v>
      </c>
      <c r="D11" s="5">
        <f t="shared" ref="D11:E11" si="2">SUM(D12:D42)</f>
        <v>23191</v>
      </c>
      <c r="E11" s="5">
        <f t="shared" si="2"/>
        <v>24886</v>
      </c>
    </row>
    <row r="12" spans="1:5" ht="15.75" x14ac:dyDescent="0.25">
      <c r="A12" s="18">
        <v>1</v>
      </c>
      <c r="B12" s="4" t="s">
        <v>498</v>
      </c>
      <c r="C12" s="4">
        <v>517</v>
      </c>
      <c r="D12" s="4">
        <v>250</v>
      </c>
      <c r="E12" s="4">
        <v>267</v>
      </c>
    </row>
    <row r="13" spans="1:5" ht="15.75" x14ac:dyDescent="0.25">
      <c r="A13" s="18">
        <v>2</v>
      </c>
      <c r="B13" s="4" t="s">
        <v>499</v>
      </c>
      <c r="C13" s="4">
        <v>4082</v>
      </c>
      <c r="D13" s="4">
        <v>2008</v>
      </c>
      <c r="E13" s="4">
        <v>2074</v>
      </c>
    </row>
    <row r="14" spans="1:5" ht="15.75" x14ac:dyDescent="0.25">
      <c r="A14" s="18">
        <v>3</v>
      </c>
      <c r="B14" s="4" t="s">
        <v>500</v>
      </c>
      <c r="C14" s="4">
        <v>454</v>
      </c>
      <c r="D14" s="4">
        <v>199</v>
      </c>
      <c r="E14" s="4">
        <v>255</v>
      </c>
    </row>
    <row r="15" spans="1:5" ht="15.75" x14ac:dyDescent="0.25">
      <c r="A15" s="18">
        <v>4</v>
      </c>
      <c r="B15" s="4" t="s">
        <v>292</v>
      </c>
      <c r="C15" s="4">
        <v>785</v>
      </c>
      <c r="D15" s="4">
        <v>370</v>
      </c>
      <c r="E15" s="4">
        <v>415</v>
      </c>
    </row>
    <row r="16" spans="1:5" ht="15.75" x14ac:dyDescent="0.25">
      <c r="A16" s="18">
        <v>5</v>
      </c>
      <c r="B16" s="4" t="s">
        <v>501</v>
      </c>
      <c r="C16" s="4">
        <v>4997</v>
      </c>
      <c r="D16" s="4">
        <v>2453</v>
      </c>
      <c r="E16" s="4">
        <v>2544</v>
      </c>
    </row>
    <row r="17" spans="1:5" ht="15.75" x14ac:dyDescent="0.25">
      <c r="A17" s="18">
        <v>6</v>
      </c>
      <c r="B17" s="4" t="s">
        <v>428</v>
      </c>
      <c r="C17" s="4">
        <v>1698</v>
      </c>
      <c r="D17" s="4">
        <v>787</v>
      </c>
      <c r="E17" s="4">
        <v>911</v>
      </c>
    </row>
    <row r="18" spans="1:5" ht="15.75" x14ac:dyDescent="0.25">
      <c r="A18" s="18">
        <v>7</v>
      </c>
      <c r="B18" s="4" t="s">
        <v>502</v>
      </c>
      <c r="C18" s="4">
        <v>1693</v>
      </c>
      <c r="D18" s="4">
        <v>817</v>
      </c>
      <c r="E18" s="4">
        <v>876</v>
      </c>
    </row>
    <row r="19" spans="1:5" ht="15.75" x14ac:dyDescent="0.25">
      <c r="A19" s="18">
        <v>8</v>
      </c>
      <c r="B19" s="4" t="s">
        <v>359</v>
      </c>
      <c r="C19" s="4">
        <v>1188</v>
      </c>
      <c r="D19" s="4">
        <v>568</v>
      </c>
      <c r="E19" s="4">
        <v>620</v>
      </c>
    </row>
    <row r="20" spans="1:5" ht="15.75" x14ac:dyDescent="0.25">
      <c r="A20" s="18">
        <v>9</v>
      </c>
      <c r="B20" s="4" t="s">
        <v>503</v>
      </c>
      <c r="C20" s="4">
        <v>2808</v>
      </c>
      <c r="D20" s="4">
        <v>1416</v>
      </c>
      <c r="E20" s="4">
        <v>1392</v>
      </c>
    </row>
    <row r="21" spans="1:5" ht="15.75" x14ac:dyDescent="0.25">
      <c r="A21" s="18">
        <v>10</v>
      </c>
      <c r="B21" s="4" t="s">
        <v>308</v>
      </c>
      <c r="C21" s="4">
        <v>931</v>
      </c>
      <c r="D21" s="4">
        <v>445</v>
      </c>
      <c r="E21" s="4">
        <v>486</v>
      </c>
    </row>
    <row r="22" spans="1:5" ht="15.75" x14ac:dyDescent="0.25">
      <c r="A22" s="18">
        <v>11</v>
      </c>
      <c r="B22" s="4" t="s">
        <v>504</v>
      </c>
      <c r="C22" s="4">
        <v>1203</v>
      </c>
      <c r="D22" s="4">
        <v>590</v>
      </c>
      <c r="E22" s="4">
        <v>613</v>
      </c>
    </row>
    <row r="23" spans="1:5" ht="15.75" x14ac:dyDescent="0.25">
      <c r="A23" s="18">
        <v>12</v>
      </c>
      <c r="B23" s="4" t="s">
        <v>505</v>
      </c>
      <c r="C23" s="4">
        <v>2457</v>
      </c>
      <c r="D23" s="4">
        <v>1213</v>
      </c>
      <c r="E23" s="4">
        <v>1244</v>
      </c>
    </row>
    <row r="24" spans="1:5" ht="15.75" x14ac:dyDescent="0.25">
      <c r="A24" s="18">
        <v>13</v>
      </c>
      <c r="B24" s="4" t="s">
        <v>506</v>
      </c>
      <c r="C24" s="4">
        <v>3122</v>
      </c>
      <c r="D24" s="4">
        <v>1458</v>
      </c>
      <c r="E24" s="4">
        <v>1664</v>
      </c>
    </row>
    <row r="25" spans="1:5" ht="15.75" x14ac:dyDescent="0.25">
      <c r="A25" s="18">
        <v>14</v>
      </c>
      <c r="B25" s="4" t="s">
        <v>507</v>
      </c>
      <c r="C25" s="4">
        <v>5509</v>
      </c>
      <c r="D25" s="4">
        <v>2610</v>
      </c>
      <c r="E25" s="4">
        <v>2899</v>
      </c>
    </row>
    <row r="26" spans="1:5" ht="15.75" x14ac:dyDescent="0.25">
      <c r="A26" s="18">
        <v>15</v>
      </c>
      <c r="B26" s="4" t="s">
        <v>508</v>
      </c>
      <c r="C26" s="4">
        <v>1914</v>
      </c>
      <c r="D26" s="4">
        <v>911</v>
      </c>
      <c r="E26" s="4">
        <v>1003</v>
      </c>
    </row>
    <row r="27" spans="1:5" ht="15.75" x14ac:dyDescent="0.25">
      <c r="A27" s="18">
        <v>16</v>
      </c>
      <c r="B27" s="4" t="s">
        <v>509</v>
      </c>
      <c r="C27" s="4">
        <v>1132</v>
      </c>
      <c r="D27" s="4">
        <v>598</v>
      </c>
      <c r="E27" s="4">
        <v>534</v>
      </c>
    </row>
    <row r="28" spans="1:5" ht="15.75" x14ac:dyDescent="0.25">
      <c r="A28" s="18">
        <v>17</v>
      </c>
      <c r="B28" s="4" t="s">
        <v>510</v>
      </c>
      <c r="C28" s="4">
        <v>1386</v>
      </c>
      <c r="D28" s="4">
        <v>623</v>
      </c>
      <c r="E28" s="4">
        <v>763</v>
      </c>
    </row>
    <row r="29" spans="1:5" ht="15.75" x14ac:dyDescent="0.25">
      <c r="A29" s="18">
        <v>18</v>
      </c>
      <c r="B29" s="4" t="s">
        <v>511</v>
      </c>
      <c r="C29" s="4">
        <v>1264</v>
      </c>
      <c r="D29" s="4">
        <v>607</v>
      </c>
      <c r="E29" s="4">
        <v>657</v>
      </c>
    </row>
    <row r="30" spans="1:5" ht="15.75" x14ac:dyDescent="0.25">
      <c r="A30" s="18">
        <v>19</v>
      </c>
      <c r="B30" s="4" t="s">
        <v>512</v>
      </c>
      <c r="C30" s="4">
        <v>584</v>
      </c>
      <c r="D30" s="4">
        <v>289</v>
      </c>
      <c r="E30" s="4">
        <v>295</v>
      </c>
    </row>
    <row r="31" spans="1:5" ht="15.75" x14ac:dyDescent="0.25">
      <c r="A31" s="18">
        <v>20</v>
      </c>
      <c r="B31" s="4" t="s">
        <v>513</v>
      </c>
      <c r="C31" s="4">
        <v>908</v>
      </c>
      <c r="D31" s="4">
        <v>457</v>
      </c>
      <c r="E31" s="4">
        <v>451</v>
      </c>
    </row>
    <row r="32" spans="1:5" ht="15.75" x14ac:dyDescent="0.25">
      <c r="A32" s="18">
        <v>21</v>
      </c>
      <c r="B32" s="4" t="s">
        <v>514</v>
      </c>
      <c r="C32" s="4">
        <v>2612</v>
      </c>
      <c r="D32" s="4">
        <v>1259</v>
      </c>
      <c r="E32" s="4">
        <v>1353</v>
      </c>
    </row>
    <row r="33" spans="1:5" ht="15.75" x14ac:dyDescent="0.25">
      <c r="A33" s="18">
        <v>22</v>
      </c>
      <c r="B33" s="4" t="s">
        <v>515</v>
      </c>
      <c r="C33" s="4">
        <v>1145</v>
      </c>
      <c r="D33" s="4">
        <v>529</v>
      </c>
      <c r="E33" s="4">
        <v>616</v>
      </c>
    </row>
    <row r="34" spans="1:5" ht="15.75" x14ac:dyDescent="0.25">
      <c r="A34" s="18">
        <v>23</v>
      </c>
      <c r="B34" s="4" t="s">
        <v>516</v>
      </c>
      <c r="C34" s="4">
        <v>457</v>
      </c>
      <c r="D34" s="4">
        <v>230</v>
      </c>
      <c r="E34" s="4">
        <v>227</v>
      </c>
    </row>
    <row r="35" spans="1:5" ht="15.75" x14ac:dyDescent="0.25">
      <c r="A35" s="18">
        <v>24</v>
      </c>
      <c r="B35" s="4" t="s">
        <v>517</v>
      </c>
      <c r="C35" s="4">
        <v>728</v>
      </c>
      <c r="D35" s="4">
        <v>348</v>
      </c>
      <c r="E35" s="4">
        <v>380</v>
      </c>
    </row>
    <row r="36" spans="1:5" ht="15.75" x14ac:dyDescent="0.25">
      <c r="A36" s="18">
        <v>25</v>
      </c>
      <c r="B36" s="4" t="s">
        <v>518</v>
      </c>
      <c r="C36" s="4">
        <v>699</v>
      </c>
      <c r="D36" s="4">
        <v>327</v>
      </c>
      <c r="E36" s="4">
        <v>372</v>
      </c>
    </row>
    <row r="37" spans="1:5" ht="15.75" x14ac:dyDescent="0.25">
      <c r="A37" s="18">
        <v>26</v>
      </c>
      <c r="B37" s="4" t="s">
        <v>519</v>
      </c>
      <c r="C37" s="4">
        <v>367</v>
      </c>
      <c r="D37" s="4">
        <v>186</v>
      </c>
      <c r="E37" s="4">
        <v>181</v>
      </c>
    </row>
    <row r="38" spans="1:5" ht="15.75" x14ac:dyDescent="0.25">
      <c r="A38" s="18">
        <v>27</v>
      </c>
      <c r="B38" s="4" t="s">
        <v>520</v>
      </c>
      <c r="C38" s="4">
        <v>249</v>
      </c>
      <c r="D38" s="4">
        <v>120</v>
      </c>
      <c r="E38" s="4">
        <v>129</v>
      </c>
    </row>
    <row r="39" spans="1:5" ht="15.75" x14ac:dyDescent="0.25">
      <c r="A39" s="18">
        <v>28</v>
      </c>
      <c r="B39" s="4" t="s">
        <v>521</v>
      </c>
      <c r="C39" s="4">
        <v>1527</v>
      </c>
      <c r="D39" s="4">
        <v>717</v>
      </c>
      <c r="E39" s="4">
        <v>810</v>
      </c>
    </row>
    <row r="40" spans="1:5" ht="15.75" x14ac:dyDescent="0.25">
      <c r="A40" s="18">
        <v>29</v>
      </c>
      <c r="B40" s="4" t="s">
        <v>522</v>
      </c>
      <c r="C40" s="4">
        <v>377</v>
      </c>
      <c r="D40" s="4">
        <v>173</v>
      </c>
      <c r="E40" s="4">
        <v>204</v>
      </c>
    </row>
    <row r="41" spans="1:5" ht="15.75" x14ac:dyDescent="0.25">
      <c r="A41" s="18">
        <v>30</v>
      </c>
      <c r="B41" s="4" t="s">
        <v>523</v>
      </c>
      <c r="C41" s="4">
        <v>454</v>
      </c>
      <c r="D41" s="4">
        <v>222</v>
      </c>
      <c r="E41" s="4">
        <v>232</v>
      </c>
    </row>
    <row r="42" spans="1:5" ht="15.75" x14ac:dyDescent="0.25">
      <c r="A42" s="19">
        <v>31</v>
      </c>
      <c r="B42" s="6" t="s">
        <v>524</v>
      </c>
      <c r="C42" s="6">
        <v>830</v>
      </c>
      <c r="D42" s="6">
        <v>411</v>
      </c>
      <c r="E42" s="6">
        <v>419</v>
      </c>
    </row>
  </sheetData>
  <mergeCells count="4">
    <mergeCell ref="A4:A5"/>
    <mergeCell ref="B4:B5"/>
    <mergeCell ref="C4:E4"/>
    <mergeCell ref="A1:E1"/>
  </mergeCells>
  <hyperlinks>
    <hyperlink ref="A1:E1" location="'Lest of twonship'!A1" display="        Magway Region, Minbu District,  Ngape Township"/>
  </hyperlinks>
  <pageMargins left="0.75" right="0.5" top="0.5" bottom="0.2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7"/>
  <sheetViews>
    <sheetView workbookViewId="0">
      <selection sqref="A1:E1"/>
    </sheetView>
  </sheetViews>
  <sheetFormatPr defaultRowHeight="15" x14ac:dyDescent="0.25"/>
  <cols>
    <col min="1" max="1" width="6.85546875" customWidth="1"/>
    <col min="2" max="2" width="41.85546875" bestFit="1" customWidth="1"/>
    <col min="3" max="5" width="15.7109375" customWidth="1"/>
  </cols>
  <sheetData>
    <row r="1" spans="1:5" ht="18.75" x14ac:dyDescent="0.3">
      <c r="A1" s="37" t="s">
        <v>1475</v>
      </c>
      <c r="B1" s="31"/>
      <c r="C1" s="31"/>
      <c r="D1" s="31"/>
      <c r="E1" s="31"/>
    </row>
    <row r="2" spans="1:5" ht="15.75" x14ac:dyDescent="0.25">
      <c r="E2" s="8" t="s">
        <v>1463</v>
      </c>
    </row>
    <row r="4" spans="1:5" ht="15.75" x14ac:dyDescent="0.25">
      <c r="A4" s="32" t="s">
        <v>1461</v>
      </c>
      <c r="B4" s="32" t="s">
        <v>1465</v>
      </c>
      <c r="C4" s="30" t="s">
        <v>1462</v>
      </c>
      <c r="D4" s="30"/>
      <c r="E4" s="30"/>
    </row>
    <row r="5" spans="1:5" ht="15.75" x14ac:dyDescent="0.25">
      <c r="A5" s="32"/>
      <c r="B5" s="32"/>
      <c r="C5" s="23" t="s">
        <v>0</v>
      </c>
      <c r="D5" s="23" t="s">
        <v>1</v>
      </c>
      <c r="E5" s="23" t="s">
        <v>2</v>
      </c>
    </row>
    <row r="6" spans="1:5" ht="20.25" customHeight="1" x14ac:dyDescent="0.25">
      <c r="A6" s="2"/>
      <c r="B6" s="3" t="s">
        <v>0</v>
      </c>
      <c r="C6" s="3">
        <f>C8+C15</f>
        <v>236033</v>
      </c>
      <c r="D6" s="3">
        <f t="shared" ref="D6:E6" si="0">D8+D15</f>
        <v>108725</v>
      </c>
      <c r="E6" s="3">
        <f t="shared" si="0"/>
        <v>127308</v>
      </c>
    </row>
    <row r="7" spans="1:5" ht="6.75" customHeight="1" x14ac:dyDescent="0.25">
      <c r="A7" s="4"/>
      <c r="B7" s="4"/>
      <c r="C7" s="4"/>
      <c r="D7" s="4"/>
      <c r="E7" s="4"/>
    </row>
    <row r="8" spans="1:5" ht="15.75" x14ac:dyDescent="0.25">
      <c r="A8" s="4"/>
      <c r="B8" s="20" t="s">
        <v>1460</v>
      </c>
      <c r="C8" s="5">
        <f>SUM(C9:C14)</f>
        <v>12158</v>
      </c>
      <c r="D8" s="5">
        <f t="shared" ref="D8:E8" si="1">SUM(D9:D14)</f>
        <v>5571</v>
      </c>
      <c r="E8" s="5">
        <f t="shared" si="1"/>
        <v>6587</v>
      </c>
    </row>
    <row r="9" spans="1:5" ht="15.75" x14ac:dyDescent="0.25">
      <c r="A9" s="4">
        <v>1</v>
      </c>
      <c r="B9" s="4" t="s">
        <v>525</v>
      </c>
      <c r="C9" s="4">
        <v>1722</v>
      </c>
      <c r="D9" s="4">
        <v>776</v>
      </c>
      <c r="E9" s="4">
        <v>946</v>
      </c>
    </row>
    <row r="10" spans="1:5" ht="15.75" x14ac:dyDescent="0.25">
      <c r="A10" s="4">
        <v>2</v>
      </c>
      <c r="B10" s="4" t="s">
        <v>526</v>
      </c>
      <c r="C10" s="4">
        <v>1685</v>
      </c>
      <c r="D10" s="4">
        <v>771</v>
      </c>
      <c r="E10" s="4">
        <v>914</v>
      </c>
    </row>
    <row r="11" spans="1:5" ht="15.75" x14ac:dyDescent="0.25">
      <c r="A11" s="4">
        <v>3</v>
      </c>
      <c r="B11" s="4" t="s">
        <v>527</v>
      </c>
      <c r="C11" s="4">
        <v>2987</v>
      </c>
      <c r="D11" s="4">
        <v>1424</v>
      </c>
      <c r="E11" s="4">
        <v>1563</v>
      </c>
    </row>
    <row r="12" spans="1:5" ht="15.75" x14ac:dyDescent="0.25">
      <c r="A12" s="4">
        <v>4</v>
      </c>
      <c r="B12" s="4" t="s">
        <v>528</v>
      </c>
      <c r="C12" s="4">
        <v>1237</v>
      </c>
      <c r="D12" s="4">
        <v>558</v>
      </c>
      <c r="E12" s="4">
        <v>679</v>
      </c>
    </row>
    <row r="13" spans="1:5" ht="15.75" x14ac:dyDescent="0.25">
      <c r="A13" s="4">
        <v>5</v>
      </c>
      <c r="B13" s="4" t="s">
        <v>529</v>
      </c>
      <c r="C13" s="4">
        <v>1295</v>
      </c>
      <c r="D13" s="4">
        <v>571</v>
      </c>
      <c r="E13" s="4">
        <v>724</v>
      </c>
    </row>
    <row r="14" spans="1:5" ht="15.75" x14ac:dyDescent="0.25">
      <c r="A14" s="4">
        <v>6</v>
      </c>
      <c r="B14" s="4" t="s">
        <v>530</v>
      </c>
      <c r="C14" s="4">
        <v>3232</v>
      </c>
      <c r="D14" s="4">
        <v>1471</v>
      </c>
      <c r="E14" s="4">
        <v>1761</v>
      </c>
    </row>
    <row r="15" spans="1:5" ht="15.75" x14ac:dyDescent="0.25">
      <c r="A15" s="4"/>
      <c r="B15" s="20" t="s">
        <v>1464</v>
      </c>
      <c r="C15" s="5">
        <f>SUM(C16:C117)</f>
        <v>223875</v>
      </c>
      <c r="D15" s="5">
        <f t="shared" ref="D15:E15" si="2">SUM(D16:D117)</f>
        <v>103154</v>
      </c>
      <c r="E15" s="5">
        <f t="shared" si="2"/>
        <v>120721</v>
      </c>
    </row>
    <row r="16" spans="1:5" ht="15.75" x14ac:dyDescent="0.25">
      <c r="A16" s="4">
        <v>1</v>
      </c>
      <c r="B16" s="4" t="s">
        <v>531</v>
      </c>
      <c r="C16" s="4">
        <v>2609</v>
      </c>
      <c r="D16" s="4">
        <v>1217</v>
      </c>
      <c r="E16" s="4">
        <v>1392</v>
      </c>
    </row>
    <row r="17" spans="1:5" ht="15.75" x14ac:dyDescent="0.25">
      <c r="A17" s="4">
        <v>2</v>
      </c>
      <c r="B17" s="4" t="s">
        <v>532</v>
      </c>
      <c r="C17" s="4">
        <v>3168</v>
      </c>
      <c r="D17" s="4">
        <v>1500</v>
      </c>
      <c r="E17" s="4">
        <v>1668</v>
      </c>
    </row>
    <row r="18" spans="1:5" ht="15.75" x14ac:dyDescent="0.25">
      <c r="A18" s="4">
        <v>3</v>
      </c>
      <c r="B18" s="4" t="s">
        <v>533</v>
      </c>
      <c r="C18" s="4">
        <v>1583</v>
      </c>
      <c r="D18" s="4">
        <v>752</v>
      </c>
      <c r="E18" s="4">
        <v>831</v>
      </c>
    </row>
    <row r="19" spans="1:5" ht="15.75" x14ac:dyDescent="0.25">
      <c r="A19" s="4">
        <v>4</v>
      </c>
      <c r="B19" s="4" t="s">
        <v>534</v>
      </c>
      <c r="C19" s="4">
        <v>1248</v>
      </c>
      <c r="D19" s="4">
        <v>597</v>
      </c>
      <c r="E19" s="4">
        <v>651</v>
      </c>
    </row>
    <row r="20" spans="1:5" ht="15.75" x14ac:dyDescent="0.25">
      <c r="A20" s="4">
        <v>5</v>
      </c>
      <c r="B20" s="4" t="s">
        <v>535</v>
      </c>
      <c r="C20" s="4">
        <v>1624</v>
      </c>
      <c r="D20" s="4">
        <v>770</v>
      </c>
      <c r="E20" s="4">
        <v>854</v>
      </c>
    </row>
    <row r="21" spans="1:5" ht="15.75" x14ac:dyDescent="0.25">
      <c r="A21" s="4">
        <v>6</v>
      </c>
      <c r="B21" s="4" t="s">
        <v>536</v>
      </c>
      <c r="C21" s="4">
        <v>4881</v>
      </c>
      <c r="D21" s="4">
        <v>2306</v>
      </c>
      <c r="E21" s="4">
        <v>2575</v>
      </c>
    </row>
    <row r="22" spans="1:5" ht="15.75" x14ac:dyDescent="0.25">
      <c r="A22" s="4">
        <v>7</v>
      </c>
      <c r="B22" s="4" t="s">
        <v>537</v>
      </c>
      <c r="C22" s="4">
        <v>1804</v>
      </c>
      <c r="D22" s="4">
        <v>839</v>
      </c>
      <c r="E22" s="4">
        <v>965</v>
      </c>
    </row>
    <row r="23" spans="1:5" ht="15.75" x14ac:dyDescent="0.25">
      <c r="A23" s="4">
        <v>8</v>
      </c>
      <c r="B23" s="4" t="s">
        <v>538</v>
      </c>
      <c r="C23" s="4">
        <v>2582</v>
      </c>
      <c r="D23" s="4">
        <v>1182</v>
      </c>
      <c r="E23" s="4">
        <v>1400</v>
      </c>
    </row>
    <row r="24" spans="1:5" ht="15.75" x14ac:dyDescent="0.25">
      <c r="A24" s="4">
        <v>9</v>
      </c>
      <c r="B24" s="4" t="s">
        <v>539</v>
      </c>
      <c r="C24" s="4">
        <v>983</v>
      </c>
      <c r="D24" s="4">
        <v>466</v>
      </c>
      <c r="E24" s="4">
        <v>517</v>
      </c>
    </row>
    <row r="25" spans="1:5" ht="15.75" x14ac:dyDescent="0.25">
      <c r="A25" s="4">
        <v>10</v>
      </c>
      <c r="B25" s="4" t="s">
        <v>540</v>
      </c>
      <c r="C25" s="4">
        <v>2851</v>
      </c>
      <c r="D25" s="4">
        <v>1284</v>
      </c>
      <c r="E25" s="4">
        <v>1567</v>
      </c>
    </row>
    <row r="26" spans="1:5" ht="15.75" x14ac:dyDescent="0.25">
      <c r="A26" s="4">
        <v>11</v>
      </c>
      <c r="B26" s="4" t="s">
        <v>541</v>
      </c>
      <c r="C26" s="4">
        <v>1226</v>
      </c>
      <c r="D26" s="4">
        <v>554</v>
      </c>
      <c r="E26" s="4">
        <v>672</v>
      </c>
    </row>
    <row r="27" spans="1:5" ht="15.75" x14ac:dyDescent="0.25">
      <c r="A27" s="4">
        <v>12</v>
      </c>
      <c r="B27" s="4" t="s">
        <v>542</v>
      </c>
      <c r="C27" s="4">
        <v>4685</v>
      </c>
      <c r="D27" s="4">
        <v>2208</v>
      </c>
      <c r="E27" s="4">
        <v>2477</v>
      </c>
    </row>
    <row r="28" spans="1:5" ht="15.75" x14ac:dyDescent="0.25">
      <c r="A28" s="4">
        <v>13</v>
      </c>
      <c r="B28" s="4" t="s">
        <v>543</v>
      </c>
      <c r="C28" s="4">
        <v>6018</v>
      </c>
      <c r="D28" s="4">
        <v>3021</v>
      </c>
      <c r="E28" s="4">
        <v>2997</v>
      </c>
    </row>
    <row r="29" spans="1:5" ht="15.75" x14ac:dyDescent="0.25">
      <c r="A29" s="4">
        <v>14</v>
      </c>
      <c r="B29" s="4" t="s">
        <v>544</v>
      </c>
      <c r="C29" s="4">
        <v>3888</v>
      </c>
      <c r="D29" s="4">
        <v>1805</v>
      </c>
      <c r="E29" s="4">
        <v>2083</v>
      </c>
    </row>
    <row r="30" spans="1:5" ht="15.75" x14ac:dyDescent="0.25">
      <c r="A30" s="4">
        <v>15</v>
      </c>
      <c r="B30" s="4" t="s">
        <v>545</v>
      </c>
      <c r="C30" s="4">
        <v>587</v>
      </c>
      <c r="D30" s="4">
        <v>265</v>
      </c>
      <c r="E30" s="4">
        <v>322</v>
      </c>
    </row>
    <row r="31" spans="1:5" ht="15.75" x14ac:dyDescent="0.25">
      <c r="A31" s="4">
        <v>16</v>
      </c>
      <c r="B31" s="4" t="s">
        <v>546</v>
      </c>
      <c r="C31" s="4">
        <v>1435</v>
      </c>
      <c r="D31" s="4">
        <v>649</v>
      </c>
      <c r="E31" s="4">
        <v>786</v>
      </c>
    </row>
    <row r="32" spans="1:5" ht="15.75" x14ac:dyDescent="0.25">
      <c r="A32" s="4">
        <v>17</v>
      </c>
      <c r="B32" s="4" t="s">
        <v>547</v>
      </c>
      <c r="C32" s="4">
        <v>557</v>
      </c>
      <c r="D32" s="4">
        <v>241</v>
      </c>
      <c r="E32" s="4">
        <v>316</v>
      </c>
    </row>
    <row r="33" spans="1:5" ht="15.75" x14ac:dyDescent="0.25">
      <c r="A33" s="4">
        <v>18</v>
      </c>
      <c r="B33" s="4" t="s">
        <v>548</v>
      </c>
      <c r="C33" s="4">
        <v>389</v>
      </c>
      <c r="D33" s="4">
        <v>186</v>
      </c>
      <c r="E33" s="4">
        <v>203</v>
      </c>
    </row>
    <row r="34" spans="1:5" ht="15.75" x14ac:dyDescent="0.25">
      <c r="A34" s="4">
        <v>19</v>
      </c>
      <c r="B34" s="4" t="s">
        <v>549</v>
      </c>
      <c r="C34" s="4">
        <v>975</v>
      </c>
      <c r="D34" s="4">
        <v>438</v>
      </c>
      <c r="E34" s="4">
        <v>537</v>
      </c>
    </row>
    <row r="35" spans="1:5" ht="15.75" x14ac:dyDescent="0.25">
      <c r="A35" s="4">
        <v>20</v>
      </c>
      <c r="B35" s="4" t="s">
        <v>550</v>
      </c>
      <c r="C35" s="4">
        <v>2405</v>
      </c>
      <c r="D35" s="4">
        <v>1108</v>
      </c>
      <c r="E35" s="4">
        <v>1297</v>
      </c>
    </row>
    <row r="36" spans="1:5" ht="15.75" x14ac:dyDescent="0.25">
      <c r="A36" s="4">
        <v>21</v>
      </c>
      <c r="B36" s="4" t="s">
        <v>551</v>
      </c>
      <c r="C36" s="4">
        <v>9</v>
      </c>
      <c r="D36" s="4">
        <v>3</v>
      </c>
      <c r="E36" s="4">
        <v>6</v>
      </c>
    </row>
    <row r="37" spans="1:5" ht="15.75" x14ac:dyDescent="0.25">
      <c r="A37" s="4">
        <v>22</v>
      </c>
      <c r="B37" s="4" t="s">
        <v>552</v>
      </c>
      <c r="C37" s="4">
        <v>2799</v>
      </c>
      <c r="D37" s="4">
        <v>1213</v>
      </c>
      <c r="E37" s="4">
        <v>1586</v>
      </c>
    </row>
    <row r="38" spans="1:5" ht="15.75" x14ac:dyDescent="0.25">
      <c r="A38" s="4">
        <v>23</v>
      </c>
      <c r="B38" s="4" t="s">
        <v>553</v>
      </c>
      <c r="C38" s="4">
        <v>1339</v>
      </c>
      <c r="D38" s="4">
        <v>610</v>
      </c>
      <c r="E38" s="4">
        <v>729</v>
      </c>
    </row>
    <row r="39" spans="1:5" ht="15.75" x14ac:dyDescent="0.25">
      <c r="A39" s="4">
        <v>24</v>
      </c>
      <c r="B39" s="4" t="s">
        <v>554</v>
      </c>
      <c r="C39" s="4">
        <v>2628</v>
      </c>
      <c r="D39" s="4">
        <v>1220</v>
      </c>
      <c r="E39" s="4">
        <v>1408</v>
      </c>
    </row>
    <row r="40" spans="1:5" ht="15.75" x14ac:dyDescent="0.25">
      <c r="A40" s="4">
        <v>25</v>
      </c>
      <c r="B40" s="4" t="s">
        <v>555</v>
      </c>
      <c r="C40" s="4">
        <v>4803</v>
      </c>
      <c r="D40" s="4">
        <v>2270</v>
      </c>
      <c r="E40" s="4">
        <v>2533</v>
      </c>
    </row>
    <row r="41" spans="1:5" ht="15.75" x14ac:dyDescent="0.25">
      <c r="A41" s="4">
        <v>26</v>
      </c>
      <c r="B41" s="4" t="s">
        <v>556</v>
      </c>
      <c r="C41" s="4">
        <v>1928</v>
      </c>
      <c r="D41" s="4">
        <v>903</v>
      </c>
      <c r="E41" s="4">
        <v>1025</v>
      </c>
    </row>
    <row r="42" spans="1:5" ht="15.75" x14ac:dyDescent="0.25">
      <c r="A42" s="4">
        <v>27</v>
      </c>
      <c r="B42" s="4" t="s">
        <v>557</v>
      </c>
      <c r="C42" s="4">
        <v>859</v>
      </c>
      <c r="D42" s="4">
        <v>401</v>
      </c>
      <c r="E42" s="4">
        <v>458</v>
      </c>
    </row>
    <row r="43" spans="1:5" ht="15.75" x14ac:dyDescent="0.25">
      <c r="A43" s="4">
        <v>28</v>
      </c>
      <c r="B43" s="4" t="s">
        <v>558</v>
      </c>
      <c r="C43" s="4">
        <v>976</v>
      </c>
      <c r="D43" s="4">
        <v>429</v>
      </c>
      <c r="E43" s="4">
        <v>547</v>
      </c>
    </row>
    <row r="44" spans="1:5" ht="15.75" x14ac:dyDescent="0.25">
      <c r="A44" s="4">
        <v>29</v>
      </c>
      <c r="B44" s="4" t="s">
        <v>559</v>
      </c>
      <c r="C44" s="4">
        <v>426</v>
      </c>
      <c r="D44" s="4">
        <v>197</v>
      </c>
      <c r="E44" s="4">
        <v>229</v>
      </c>
    </row>
    <row r="45" spans="1:5" ht="15.75" x14ac:dyDescent="0.25">
      <c r="A45" s="4">
        <v>30</v>
      </c>
      <c r="B45" s="4" t="s">
        <v>560</v>
      </c>
      <c r="C45" s="4">
        <v>3134</v>
      </c>
      <c r="D45" s="4">
        <v>1445</v>
      </c>
      <c r="E45" s="4">
        <v>1689</v>
      </c>
    </row>
    <row r="46" spans="1:5" ht="15.75" x14ac:dyDescent="0.25">
      <c r="A46" s="4">
        <v>31</v>
      </c>
      <c r="B46" s="4" t="s">
        <v>561</v>
      </c>
      <c r="C46" s="4">
        <v>3091</v>
      </c>
      <c r="D46" s="4">
        <v>1354</v>
      </c>
      <c r="E46" s="4">
        <v>1737</v>
      </c>
    </row>
    <row r="47" spans="1:5" ht="15.75" x14ac:dyDescent="0.25">
      <c r="A47" s="4">
        <v>32</v>
      </c>
      <c r="B47" s="4" t="s">
        <v>562</v>
      </c>
      <c r="C47" s="4">
        <v>2808</v>
      </c>
      <c r="D47" s="4">
        <v>1325</v>
      </c>
      <c r="E47" s="4">
        <v>1483</v>
      </c>
    </row>
    <row r="48" spans="1:5" ht="15.75" x14ac:dyDescent="0.25">
      <c r="A48" s="4">
        <v>33</v>
      </c>
      <c r="B48" s="4" t="s">
        <v>563</v>
      </c>
      <c r="C48" s="4">
        <v>905</v>
      </c>
      <c r="D48" s="4">
        <v>421</v>
      </c>
      <c r="E48" s="4">
        <v>484</v>
      </c>
    </row>
    <row r="49" spans="1:5" ht="15.75" x14ac:dyDescent="0.25">
      <c r="A49" s="4">
        <v>34</v>
      </c>
      <c r="B49" s="4" t="s">
        <v>564</v>
      </c>
      <c r="C49" s="4">
        <v>2513</v>
      </c>
      <c r="D49" s="4">
        <v>1098</v>
      </c>
      <c r="E49" s="4">
        <v>1415</v>
      </c>
    </row>
    <row r="50" spans="1:5" ht="15.75" x14ac:dyDescent="0.25">
      <c r="A50" s="4">
        <v>35</v>
      </c>
      <c r="B50" s="4" t="s">
        <v>565</v>
      </c>
      <c r="C50" s="4">
        <v>1762</v>
      </c>
      <c r="D50" s="4">
        <v>855</v>
      </c>
      <c r="E50" s="4">
        <v>907</v>
      </c>
    </row>
    <row r="51" spans="1:5" ht="15.75" x14ac:dyDescent="0.25">
      <c r="A51" s="4">
        <v>36</v>
      </c>
      <c r="B51" s="4" t="s">
        <v>566</v>
      </c>
      <c r="C51" s="4">
        <v>2867</v>
      </c>
      <c r="D51" s="4">
        <v>1335</v>
      </c>
      <c r="E51" s="4">
        <v>1532</v>
      </c>
    </row>
    <row r="52" spans="1:5" ht="15.75" x14ac:dyDescent="0.25">
      <c r="A52" s="4">
        <v>37</v>
      </c>
      <c r="B52" s="4" t="s">
        <v>567</v>
      </c>
      <c r="C52" s="4">
        <v>1971</v>
      </c>
      <c r="D52" s="4">
        <v>856</v>
      </c>
      <c r="E52" s="4">
        <v>1115</v>
      </c>
    </row>
    <row r="53" spans="1:5" ht="15.75" x14ac:dyDescent="0.25">
      <c r="A53" s="4">
        <v>38</v>
      </c>
      <c r="B53" s="4" t="s">
        <v>568</v>
      </c>
      <c r="C53" s="4">
        <v>570</v>
      </c>
      <c r="D53" s="4">
        <v>259</v>
      </c>
      <c r="E53" s="4">
        <v>311</v>
      </c>
    </row>
    <row r="54" spans="1:5" ht="15.75" x14ac:dyDescent="0.25">
      <c r="A54" s="4">
        <v>39</v>
      </c>
      <c r="B54" s="4" t="s">
        <v>569</v>
      </c>
      <c r="C54" s="4">
        <v>2025</v>
      </c>
      <c r="D54" s="4">
        <v>890</v>
      </c>
      <c r="E54" s="4">
        <v>1135</v>
      </c>
    </row>
    <row r="55" spans="1:5" ht="15.75" x14ac:dyDescent="0.25">
      <c r="A55" s="4">
        <v>40</v>
      </c>
      <c r="B55" s="4" t="s">
        <v>359</v>
      </c>
      <c r="C55" s="4">
        <v>1087</v>
      </c>
      <c r="D55" s="4">
        <v>456</v>
      </c>
      <c r="E55" s="4">
        <v>631</v>
      </c>
    </row>
    <row r="56" spans="1:5" ht="15.75" x14ac:dyDescent="0.25">
      <c r="A56" s="4">
        <v>41</v>
      </c>
      <c r="B56" s="4" t="s">
        <v>75</v>
      </c>
      <c r="C56" s="4">
        <v>1946</v>
      </c>
      <c r="D56" s="4">
        <v>915</v>
      </c>
      <c r="E56" s="4">
        <v>1031</v>
      </c>
    </row>
    <row r="57" spans="1:5" ht="15.75" x14ac:dyDescent="0.25">
      <c r="A57" s="4">
        <v>42</v>
      </c>
      <c r="B57" s="4" t="s">
        <v>570</v>
      </c>
      <c r="C57" s="4">
        <v>2400</v>
      </c>
      <c r="D57" s="4">
        <v>1073</v>
      </c>
      <c r="E57" s="4">
        <v>1327</v>
      </c>
    </row>
    <row r="58" spans="1:5" ht="15.75" x14ac:dyDescent="0.25">
      <c r="A58" s="4">
        <v>43</v>
      </c>
      <c r="B58" s="4" t="s">
        <v>571</v>
      </c>
      <c r="C58" s="4">
        <v>1619</v>
      </c>
      <c r="D58" s="4">
        <v>666</v>
      </c>
      <c r="E58" s="4">
        <v>953</v>
      </c>
    </row>
    <row r="59" spans="1:5" ht="15.75" x14ac:dyDescent="0.25">
      <c r="A59" s="4">
        <v>44</v>
      </c>
      <c r="B59" s="4" t="s">
        <v>370</v>
      </c>
      <c r="C59" s="4">
        <v>3077</v>
      </c>
      <c r="D59" s="4">
        <v>1363</v>
      </c>
      <c r="E59" s="4">
        <v>1714</v>
      </c>
    </row>
    <row r="60" spans="1:5" ht="15.75" x14ac:dyDescent="0.25">
      <c r="A60" s="4">
        <v>45</v>
      </c>
      <c r="B60" s="4" t="s">
        <v>572</v>
      </c>
      <c r="C60" s="4">
        <v>5673</v>
      </c>
      <c r="D60" s="4">
        <v>2472</v>
      </c>
      <c r="E60" s="4">
        <v>3201</v>
      </c>
    </row>
    <row r="61" spans="1:5" ht="15.75" x14ac:dyDescent="0.25">
      <c r="A61" s="4">
        <v>46</v>
      </c>
      <c r="B61" s="4" t="s">
        <v>277</v>
      </c>
      <c r="C61" s="4">
        <v>2037</v>
      </c>
      <c r="D61" s="4">
        <v>920</v>
      </c>
      <c r="E61" s="4">
        <v>1117</v>
      </c>
    </row>
    <row r="62" spans="1:5" ht="15.75" x14ac:dyDescent="0.25">
      <c r="A62" s="4">
        <v>47</v>
      </c>
      <c r="B62" s="4" t="s">
        <v>573</v>
      </c>
      <c r="C62" s="4">
        <v>4035</v>
      </c>
      <c r="D62" s="4">
        <v>1894</v>
      </c>
      <c r="E62" s="4">
        <v>2141</v>
      </c>
    </row>
    <row r="63" spans="1:5" ht="15.75" x14ac:dyDescent="0.25">
      <c r="A63" s="4">
        <v>48</v>
      </c>
      <c r="B63" s="4" t="s">
        <v>574</v>
      </c>
      <c r="C63" s="4">
        <v>2234</v>
      </c>
      <c r="D63" s="4">
        <v>997</v>
      </c>
      <c r="E63" s="4">
        <v>1237</v>
      </c>
    </row>
    <row r="64" spans="1:5" ht="15.75" x14ac:dyDescent="0.25">
      <c r="A64" s="4">
        <v>49</v>
      </c>
      <c r="B64" s="4" t="s">
        <v>575</v>
      </c>
      <c r="C64" s="4">
        <v>1256</v>
      </c>
      <c r="D64" s="4">
        <v>593</v>
      </c>
      <c r="E64" s="4">
        <v>663</v>
      </c>
    </row>
    <row r="65" spans="1:5" ht="15.75" x14ac:dyDescent="0.25">
      <c r="A65" s="4">
        <v>50</v>
      </c>
      <c r="B65" s="4" t="s">
        <v>576</v>
      </c>
      <c r="C65" s="4">
        <v>662</v>
      </c>
      <c r="D65" s="4">
        <v>302</v>
      </c>
      <c r="E65" s="4">
        <v>360</v>
      </c>
    </row>
    <row r="66" spans="1:5" ht="15.75" x14ac:dyDescent="0.25">
      <c r="A66" s="4">
        <v>51</v>
      </c>
      <c r="B66" s="4" t="s">
        <v>577</v>
      </c>
      <c r="C66" s="4">
        <v>968</v>
      </c>
      <c r="D66" s="4">
        <v>451</v>
      </c>
      <c r="E66" s="4">
        <v>517</v>
      </c>
    </row>
    <row r="67" spans="1:5" ht="15.75" x14ac:dyDescent="0.25">
      <c r="A67" s="4">
        <v>52</v>
      </c>
      <c r="B67" s="4" t="s">
        <v>578</v>
      </c>
      <c r="C67" s="4">
        <v>4016</v>
      </c>
      <c r="D67" s="4">
        <v>1903</v>
      </c>
      <c r="E67" s="4">
        <v>2113</v>
      </c>
    </row>
    <row r="68" spans="1:5" ht="15.75" x14ac:dyDescent="0.25">
      <c r="A68" s="4">
        <v>53</v>
      </c>
      <c r="B68" s="4" t="s">
        <v>579</v>
      </c>
      <c r="C68" s="4">
        <v>1292</v>
      </c>
      <c r="D68" s="4">
        <v>597</v>
      </c>
      <c r="E68" s="4">
        <v>695</v>
      </c>
    </row>
    <row r="69" spans="1:5" ht="15.75" x14ac:dyDescent="0.25">
      <c r="A69" s="4">
        <v>54</v>
      </c>
      <c r="B69" s="4" t="s">
        <v>580</v>
      </c>
      <c r="C69" s="4">
        <v>1842</v>
      </c>
      <c r="D69" s="4">
        <v>827</v>
      </c>
      <c r="E69" s="4">
        <v>1015</v>
      </c>
    </row>
    <row r="70" spans="1:5" ht="15.75" x14ac:dyDescent="0.25">
      <c r="A70" s="4">
        <v>55</v>
      </c>
      <c r="B70" s="4" t="s">
        <v>581</v>
      </c>
      <c r="C70" s="4">
        <v>1267</v>
      </c>
      <c r="D70" s="4">
        <v>586</v>
      </c>
      <c r="E70" s="4">
        <v>681</v>
      </c>
    </row>
    <row r="71" spans="1:5" ht="15.75" x14ac:dyDescent="0.25">
      <c r="A71" s="4">
        <v>56</v>
      </c>
      <c r="B71" s="4" t="s">
        <v>582</v>
      </c>
      <c r="C71" s="4">
        <v>1224</v>
      </c>
      <c r="D71" s="4">
        <v>548</v>
      </c>
      <c r="E71" s="4">
        <v>676</v>
      </c>
    </row>
    <row r="72" spans="1:5" ht="15.75" x14ac:dyDescent="0.25">
      <c r="A72" s="4">
        <v>57</v>
      </c>
      <c r="B72" s="4" t="s">
        <v>583</v>
      </c>
      <c r="C72" s="4">
        <v>729</v>
      </c>
      <c r="D72" s="4">
        <v>308</v>
      </c>
      <c r="E72" s="4">
        <v>421</v>
      </c>
    </row>
    <row r="73" spans="1:5" ht="15.75" x14ac:dyDescent="0.25">
      <c r="A73" s="4">
        <v>58</v>
      </c>
      <c r="B73" s="4" t="s">
        <v>584</v>
      </c>
      <c r="C73" s="4">
        <v>1081</v>
      </c>
      <c r="D73" s="4">
        <v>502</v>
      </c>
      <c r="E73" s="4">
        <v>579</v>
      </c>
    </row>
    <row r="74" spans="1:5" ht="15.75" x14ac:dyDescent="0.25">
      <c r="A74" s="4">
        <v>59</v>
      </c>
      <c r="B74" s="4" t="s">
        <v>585</v>
      </c>
      <c r="C74" s="4">
        <v>1662</v>
      </c>
      <c r="D74" s="4">
        <v>773</v>
      </c>
      <c r="E74" s="4">
        <v>889</v>
      </c>
    </row>
    <row r="75" spans="1:5" ht="15.75" x14ac:dyDescent="0.25">
      <c r="A75" s="4">
        <v>60</v>
      </c>
      <c r="B75" s="4" t="s">
        <v>586</v>
      </c>
      <c r="C75" s="4">
        <v>1452</v>
      </c>
      <c r="D75" s="4">
        <v>645</v>
      </c>
      <c r="E75" s="4">
        <v>807</v>
      </c>
    </row>
    <row r="76" spans="1:5" ht="15.75" x14ac:dyDescent="0.25">
      <c r="A76" s="4">
        <v>61</v>
      </c>
      <c r="B76" s="4" t="s">
        <v>587</v>
      </c>
      <c r="C76" s="4">
        <v>3363</v>
      </c>
      <c r="D76" s="4">
        <v>1491</v>
      </c>
      <c r="E76" s="4">
        <v>1872</v>
      </c>
    </row>
    <row r="77" spans="1:5" ht="15.75" x14ac:dyDescent="0.25">
      <c r="A77" s="4">
        <v>62</v>
      </c>
      <c r="B77" s="4" t="s">
        <v>588</v>
      </c>
      <c r="C77" s="4">
        <v>2366</v>
      </c>
      <c r="D77" s="4">
        <v>1133</v>
      </c>
      <c r="E77" s="4">
        <v>1233</v>
      </c>
    </row>
    <row r="78" spans="1:5" ht="15.75" x14ac:dyDescent="0.25">
      <c r="A78" s="4">
        <v>63</v>
      </c>
      <c r="B78" s="4" t="s">
        <v>589</v>
      </c>
      <c r="C78" s="4">
        <v>3854</v>
      </c>
      <c r="D78" s="4">
        <v>1859</v>
      </c>
      <c r="E78" s="4">
        <v>1995</v>
      </c>
    </row>
    <row r="79" spans="1:5" ht="15.75" x14ac:dyDescent="0.25">
      <c r="A79" s="4">
        <v>64</v>
      </c>
      <c r="B79" s="4" t="s">
        <v>24</v>
      </c>
      <c r="C79" s="4">
        <v>3849</v>
      </c>
      <c r="D79" s="4">
        <v>1862</v>
      </c>
      <c r="E79" s="4">
        <v>1987</v>
      </c>
    </row>
    <row r="80" spans="1:5" ht="15.75" x14ac:dyDescent="0.25">
      <c r="A80" s="4">
        <v>65</v>
      </c>
      <c r="B80" s="4" t="s">
        <v>590</v>
      </c>
      <c r="C80" s="4">
        <v>523</v>
      </c>
      <c r="D80" s="4">
        <v>261</v>
      </c>
      <c r="E80" s="4">
        <v>262</v>
      </c>
    </row>
    <row r="81" spans="1:5" ht="15.75" x14ac:dyDescent="0.25">
      <c r="A81" s="4">
        <v>66</v>
      </c>
      <c r="B81" s="4" t="s">
        <v>591</v>
      </c>
      <c r="C81" s="4">
        <v>2234</v>
      </c>
      <c r="D81" s="4">
        <v>1105</v>
      </c>
      <c r="E81" s="4">
        <v>1129</v>
      </c>
    </row>
    <row r="82" spans="1:5" ht="15.75" x14ac:dyDescent="0.25">
      <c r="A82" s="4">
        <v>67</v>
      </c>
      <c r="B82" s="4" t="s">
        <v>592</v>
      </c>
      <c r="C82" s="4">
        <v>1723</v>
      </c>
      <c r="D82" s="4">
        <v>798</v>
      </c>
      <c r="E82" s="4">
        <v>925</v>
      </c>
    </row>
    <row r="83" spans="1:5" ht="15.75" x14ac:dyDescent="0.25">
      <c r="A83" s="4">
        <v>68</v>
      </c>
      <c r="B83" s="4" t="s">
        <v>593</v>
      </c>
      <c r="C83" s="4">
        <v>3709</v>
      </c>
      <c r="D83" s="4">
        <v>1786</v>
      </c>
      <c r="E83" s="4">
        <v>1923</v>
      </c>
    </row>
    <row r="84" spans="1:5" ht="15.75" x14ac:dyDescent="0.25">
      <c r="A84" s="4">
        <v>69</v>
      </c>
      <c r="B84" s="4" t="s">
        <v>594</v>
      </c>
      <c r="C84" s="4">
        <v>691</v>
      </c>
      <c r="D84" s="4">
        <v>359</v>
      </c>
      <c r="E84" s="4">
        <v>332</v>
      </c>
    </row>
    <row r="85" spans="1:5" ht="15.75" x14ac:dyDescent="0.25">
      <c r="A85" s="4">
        <v>70</v>
      </c>
      <c r="B85" s="4" t="s">
        <v>595</v>
      </c>
      <c r="C85" s="4">
        <v>887</v>
      </c>
      <c r="D85" s="4">
        <v>421</v>
      </c>
      <c r="E85" s="4">
        <v>466</v>
      </c>
    </row>
    <row r="86" spans="1:5" ht="15.75" x14ac:dyDescent="0.25">
      <c r="A86" s="4">
        <v>71</v>
      </c>
      <c r="B86" s="4" t="s">
        <v>596</v>
      </c>
      <c r="C86" s="4">
        <v>462</v>
      </c>
      <c r="D86" s="4">
        <v>220</v>
      </c>
      <c r="E86" s="4">
        <v>242</v>
      </c>
    </row>
    <row r="87" spans="1:5" ht="15.75" x14ac:dyDescent="0.25">
      <c r="A87" s="4">
        <v>72</v>
      </c>
      <c r="B87" s="4" t="s">
        <v>167</v>
      </c>
      <c r="C87" s="4">
        <v>1355</v>
      </c>
      <c r="D87" s="4">
        <v>632</v>
      </c>
      <c r="E87" s="4">
        <v>723</v>
      </c>
    </row>
    <row r="88" spans="1:5" ht="15.75" x14ac:dyDescent="0.25">
      <c r="A88" s="4">
        <v>73</v>
      </c>
      <c r="B88" s="4" t="s">
        <v>597</v>
      </c>
      <c r="C88" s="4">
        <v>2263</v>
      </c>
      <c r="D88" s="4">
        <v>1066</v>
      </c>
      <c r="E88" s="4">
        <v>1197</v>
      </c>
    </row>
    <row r="89" spans="1:5" ht="15.75" x14ac:dyDescent="0.25">
      <c r="A89" s="4">
        <v>74</v>
      </c>
      <c r="B89" s="4" t="s">
        <v>598</v>
      </c>
      <c r="C89" s="4">
        <v>1827</v>
      </c>
      <c r="D89" s="4">
        <v>897</v>
      </c>
      <c r="E89" s="4">
        <v>930</v>
      </c>
    </row>
    <row r="90" spans="1:5" ht="15.75" x14ac:dyDescent="0.25">
      <c r="A90" s="4">
        <v>75</v>
      </c>
      <c r="B90" s="4" t="s">
        <v>599</v>
      </c>
      <c r="C90" s="4">
        <v>1198</v>
      </c>
      <c r="D90" s="4">
        <v>574</v>
      </c>
      <c r="E90" s="4">
        <v>624</v>
      </c>
    </row>
    <row r="91" spans="1:5" ht="15.75" x14ac:dyDescent="0.25">
      <c r="A91" s="4">
        <v>76</v>
      </c>
      <c r="B91" s="4" t="s">
        <v>600</v>
      </c>
      <c r="C91" s="4">
        <v>1767</v>
      </c>
      <c r="D91" s="4">
        <v>807</v>
      </c>
      <c r="E91" s="4">
        <v>960</v>
      </c>
    </row>
    <row r="92" spans="1:5" ht="15.75" x14ac:dyDescent="0.25">
      <c r="A92" s="4">
        <v>77</v>
      </c>
      <c r="B92" s="4" t="s">
        <v>601</v>
      </c>
      <c r="C92" s="4">
        <v>2287</v>
      </c>
      <c r="D92" s="4">
        <v>1096</v>
      </c>
      <c r="E92" s="4">
        <v>1191</v>
      </c>
    </row>
    <row r="93" spans="1:5" ht="15.75" x14ac:dyDescent="0.25">
      <c r="A93" s="4">
        <v>78</v>
      </c>
      <c r="B93" s="4" t="s">
        <v>602</v>
      </c>
      <c r="C93" s="4">
        <v>2465</v>
      </c>
      <c r="D93" s="4">
        <v>1178</v>
      </c>
      <c r="E93" s="4">
        <v>1287</v>
      </c>
    </row>
    <row r="94" spans="1:5" ht="15.75" x14ac:dyDescent="0.25">
      <c r="A94" s="4">
        <v>79</v>
      </c>
      <c r="B94" s="4" t="s">
        <v>603</v>
      </c>
      <c r="C94" s="4">
        <v>1944</v>
      </c>
      <c r="D94" s="4">
        <v>949</v>
      </c>
      <c r="E94" s="4">
        <v>995</v>
      </c>
    </row>
    <row r="95" spans="1:5" ht="15.75" x14ac:dyDescent="0.25">
      <c r="A95" s="4">
        <v>80</v>
      </c>
      <c r="B95" s="4" t="s">
        <v>486</v>
      </c>
      <c r="C95" s="4">
        <v>4445</v>
      </c>
      <c r="D95" s="4">
        <v>2072</v>
      </c>
      <c r="E95" s="4">
        <v>2373</v>
      </c>
    </row>
    <row r="96" spans="1:5" ht="15.75" x14ac:dyDescent="0.25">
      <c r="A96" s="4">
        <v>81</v>
      </c>
      <c r="B96" s="4" t="s">
        <v>604</v>
      </c>
      <c r="C96" s="4">
        <v>924</v>
      </c>
      <c r="D96" s="4">
        <v>466</v>
      </c>
      <c r="E96" s="4">
        <v>458</v>
      </c>
    </row>
    <row r="97" spans="1:5" ht="15.75" x14ac:dyDescent="0.25">
      <c r="A97" s="4">
        <v>82</v>
      </c>
      <c r="B97" s="4" t="s">
        <v>605</v>
      </c>
      <c r="C97" s="4">
        <v>3009</v>
      </c>
      <c r="D97" s="4">
        <v>1425</v>
      </c>
      <c r="E97" s="4">
        <v>1584</v>
      </c>
    </row>
    <row r="98" spans="1:5" ht="15.75" x14ac:dyDescent="0.25">
      <c r="A98" s="4">
        <v>83</v>
      </c>
      <c r="B98" s="4" t="s">
        <v>606</v>
      </c>
      <c r="C98" s="4">
        <v>1775</v>
      </c>
      <c r="D98" s="4">
        <v>874</v>
      </c>
      <c r="E98" s="4">
        <v>901</v>
      </c>
    </row>
    <row r="99" spans="1:5" ht="15.75" x14ac:dyDescent="0.25">
      <c r="A99" s="4">
        <v>84</v>
      </c>
      <c r="B99" s="4" t="s">
        <v>607</v>
      </c>
      <c r="C99" s="4">
        <v>1698</v>
      </c>
      <c r="D99" s="4">
        <v>829</v>
      </c>
      <c r="E99" s="4">
        <v>869</v>
      </c>
    </row>
    <row r="100" spans="1:5" ht="15.75" x14ac:dyDescent="0.25">
      <c r="A100" s="4">
        <v>85</v>
      </c>
      <c r="B100" s="4" t="s">
        <v>608</v>
      </c>
      <c r="C100" s="4">
        <v>585</v>
      </c>
      <c r="D100" s="4">
        <v>293</v>
      </c>
      <c r="E100" s="4">
        <v>292</v>
      </c>
    </row>
    <row r="101" spans="1:5" ht="15.75" x14ac:dyDescent="0.25">
      <c r="A101" s="4">
        <v>86</v>
      </c>
      <c r="B101" s="4" t="s">
        <v>609</v>
      </c>
      <c r="C101" s="4">
        <v>840</v>
      </c>
      <c r="D101" s="4">
        <v>418</v>
      </c>
      <c r="E101" s="4">
        <v>422</v>
      </c>
    </row>
    <row r="102" spans="1:5" ht="15.75" x14ac:dyDescent="0.25">
      <c r="A102" s="4">
        <v>87</v>
      </c>
      <c r="B102" s="4" t="s">
        <v>610</v>
      </c>
      <c r="C102" s="4">
        <v>1546</v>
      </c>
      <c r="D102" s="4">
        <v>747</v>
      </c>
      <c r="E102" s="4">
        <v>799</v>
      </c>
    </row>
    <row r="103" spans="1:5" ht="15.75" x14ac:dyDescent="0.25">
      <c r="A103" s="4">
        <v>88</v>
      </c>
      <c r="B103" s="4" t="s">
        <v>611</v>
      </c>
      <c r="C103" s="4">
        <v>7088</v>
      </c>
      <c r="D103" s="4">
        <v>3124</v>
      </c>
      <c r="E103" s="4">
        <v>3964</v>
      </c>
    </row>
    <row r="104" spans="1:5" ht="15.75" x14ac:dyDescent="0.25">
      <c r="A104" s="4">
        <v>89</v>
      </c>
      <c r="B104" s="4" t="s">
        <v>612</v>
      </c>
      <c r="C104" s="4">
        <v>3251</v>
      </c>
      <c r="D104" s="4">
        <v>1441</v>
      </c>
      <c r="E104" s="4">
        <v>1810</v>
      </c>
    </row>
    <row r="105" spans="1:5" ht="15.75" x14ac:dyDescent="0.25">
      <c r="A105" s="4">
        <v>90</v>
      </c>
      <c r="B105" s="4" t="s">
        <v>40</v>
      </c>
      <c r="C105" s="4">
        <v>2935</v>
      </c>
      <c r="D105" s="4">
        <v>1366</v>
      </c>
      <c r="E105" s="4">
        <v>1569</v>
      </c>
    </row>
    <row r="106" spans="1:5" ht="15.75" x14ac:dyDescent="0.25">
      <c r="A106" s="4">
        <v>91</v>
      </c>
      <c r="B106" s="4" t="s">
        <v>613</v>
      </c>
      <c r="C106" s="4">
        <v>2112</v>
      </c>
      <c r="D106" s="4">
        <v>954</v>
      </c>
      <c r="E106" s="4">
        <v>1158</v>
      </c>
    </row>
    <row r="107" spans="1:5" ht="15.75" x14ac:dyDescent="0.25">
      <c r="A107" s="4">
        <v>92</v>
      </c>
      <c r="B107" s="4" t="s">
        <v>614</v>
      </c>
      <c r="C107" s="4">
        <v>3160</v>
      </c>
      <c r="D107" s="4">
        <v>1349</v>
      </c>
      <c r="E107" s="4">
        <v>1811</v>
      </c>
    </row>
    <row r="108" spans="1:5" ht="15.75" x14ac:dyDescent="0.25">
      <c r="A108" s="4">
        <v>93</v>
      </c>
      <c r="B108" s="4" t="s">
        <v>615</v>
      </c>
      <c r="C108" s="4">
        <v>4437</v>
      </c>
      <c r="D108" s="4">
        <v>2036</v>
      </c>
      <c r="E108" s="4">
        <v>2401</v>
      </c>
    </row>
    <row r="109" spans="1:5" ht="15.75" x14ac:dyDescent="0.25">
      <c r="A109" s="4">
        <v>94</v>
      </c>
      <c r="B109" s="4" t="s">
        <v>616</v>
      </c>
      <c r="C109" s="4">
        <v>8403</v>
      </c>
      <c r="D109" s="4">
        <v>3715</v>
      </c>
      <c r="E109" s="4">
        <v>4688</v>
      </c>
    </row>
    <row r="110" spans="1:5" ht="15.75" x14ac:dyDescent="0.25">
      <c r="A110" s="4">
        <v>95</v>
      </c>
      <c r="B110" s="4" t="s">
        <v>617</v>
      </c>
      <c r="C110" s="4">
        <v>819</v>
      </c>
      <c r="D110" s="4">
        <v>375</v>
      </c>
      <c r="E110" s="4">
        <v>444</v>
      </c>
    </row>
    <row r="111" spans="1:5" ht="15.75" x14ac:dyDescent="0.25">
      <c r="A111" s="4">
        <v>96</v>
      </c>
      <c r="B111" s="4" t="s">
        <v>618</v>
      </c>
      <c r="C111" s="4">
        <v>1691</v>
      </c>
      <c r="D111" s="4">
        <v>720</v>
      </c>
      <c r="E111" s="4">
        <v>971</v>
      </c>
    </row>
    <row r="112" spans="1:5" ht="15.75" x14ac:dyDescent="0.25">
      <c r="A112" s="4">
        <v>97</v>
      </c>
      <c r="B112" s="4" t="s">
        <v>46</v>
      </c>
      <c r="C112" s="4">
        <v>707</v>
      </c>
      <c r="D112" s="4">
        <v>311</v>
      </c>
      <c r="E112" s="4">
        <v>396</v>
      </c>
    </row>
    <row r="113" spans="1:5" ht="15.75" x14ac:dyDescent="0.25">
      <c r="A113" s="4">
        <v>98</v>
      </c>
      <c r="B113" s="4" t="s">
        <v>25</v>
      </c>
      <c r="C113" s="4">
        <v>1253</v>
      </c>
      <c r="D113" s="4">
        <v>551</v>
      </c>
      <c r="E113" s="4">
        <v>702</v>
      </c>
    </row>
    <row r="114" spans="1:5" ht="15.75" x14ac:dyDescent="0.25">
      <c r="A114" s="4">
        <v>99</v>
      </c>
      <c r="B114" s="4" t="s">
        <v>619</v>
      </c>
      <c r="C114" s="4">
        <v>2333</v>
      </c>
      <c r="D114" s="4">
        <v>1018</v>
      </c>
      <c r="E114" s="4">
        <v>1315</v>
      </c>
    </row>
    <row r="115" spans="1:5" ht="15.75" x14ac:dyDescent="0.25">
      <c r="A115" s="4">
        <v>100</v>
      </c>
      <c r="B115" s="4" t="s">
        <v>620</v>
      </c>
      <c r="C115" s="4">
        <v>2172</v>
      </c>
      <c r="D115" s="4">
        <v>954</v>
      </c>
      <c r="E115" s="4">
        <v>1218</v>
      </c>
    </row>
    <row r="116" spans="1:5" ht="15.75" x14ac:dyDescent="0.25">
      <c r="A116" s="4">
        <v>101</v>
      </c>
      <c r="B116" s="4" t="s">
        <v>621</v>
      </c>
      <c r="C116" s="4">
        <v>2638</v>
      </c>
      <c r="D116" s="4">
        <v>1159</v>
      </c>
      <c r="E116" s="4">
        <v>1479</v>
      </c>
    </row>
    <row r="117" spans="1:5" ht="15.75" x14ac:dyDescent="0.25">
      <c r="A117" s="6">
        <v>102</v>
      </c>
      <c r="B117" s="6" t="s">
        <v>622</v>
      </c>
      <c r="C117" s="6">
        <v>2817</v>
      </c>
      <c r="D117" s="6">
        <v>1200</v>
      </c>
      <c r="E117" s="6">
        <v>1617</v>
      </c>
    </row>
  </sheetData>
  <mergeCells count="4">
    <mergeCell ref="A4:A5"/>
    <mergeCell ref="B4:B5"/>
    <mergeCell ref="C4:E4"/>
    <mergeCell ref="A1:E1"/>
  </mergeCells>
  <hyperlinks>
    <hyperlink ref="A1:E1" location="'Lest of twonship'!A1" display="        Magway Region, Minbu District,  Salin  Township"/>
  </hyperlinks>
  <pageMargins left="0.75" right="0.5" top="0.5" bottom="0.2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workbookViewId="0">
      <selection sqref="A1:E1"/>
    </sheetView>
  </sheetViews>
  <sheetFormatPr defaultRowHeight="15" x14ac:dyDescent="0.25"/>
  <cols>
    <col min="1" max="1" width="7.28515625" customWidth="1"/>
    <col min="2" max="2" width="28" bestFit="1" customWidth="1"/>
    <col min="3" max="5" width="15.7109375" customWidth="1"/>
  </cols>
  <sheetData>
    <row r="1" spans="1:5" ht="18.75" x14ac:dyDescent="0.3">
      <c r="A1" s="37" t="s">
        <v>1476</v>
      </c>
      <c r="B1" s="37"/>
      <c r="C1" s="37"/>
      <c r="D1" s="37"/>
      <c r="E1" s="37"/>
    </row>
    <row r="2" spans="1:5" ht="15.75" x14ac:dyDescent="0.25">
      <c r="E2" s="8" t="s">
        <v>1463</v>
      </c>
    </row>
    <row r="4" spans="1:5" ht="15.75" customHeight="1" x14ac:dyDescent="0.25">
      <c r="A4" s="32" t="s">
        <v>1461</v>
      </c>
      <c r="B4" s="32" t="s">
        <v>1465</v>
      </c>
      <c r="C4" s="30" t="s">
        <v>1462</v>
      </c>
      <c r="D4" s="30"/>
      <c r="E4" s="30"/>
    </row>
    <row r="5" spans="1:5" ht="15.75" customHeight="1" x14ac:dyDescent="0.25">
      <c r="A5" s="32"/>
      <c r="B5" s="32"/>
      <c r="C5" s="23" t="s">
        <v>0</v>
      </c>
      <c r="D5" s="23" t="s">
        <v>1</v>
      </c>
      <c r="E5" s="23" t="s">
        <v>2</v>
      </c>
    </row>
    <row r="6" spans="1:5" ht="23.25" customHeight="1" x14ac:dyDescent="0.25">
      <c r="A6" s="2"/>
      <c r="B6" s="3" t="s">
        <v>0</v>
      </c>
      <c r="C6" s="3">
        <v>47526</v>
      </c>
      <c r="D6" s="3">
        <v>23338</v>
      </c>
      <c r="E6" s="3">
        <v>24188</v>
      </c>
    </row>
    <row r="7" spans="1:5" ht="7.5" customHeight="1" x14ac:dyDescent="0.25">
      <c r="A7" s="4"/>
      <c r="B7" s="4"/>
      <c r="C7" s="4"/>
      <c r="D7" s="4"/>
      <c r="E7" s="4"/>
    </row>
    <row r="8" spans="1:5" ht="15.75" x14ac:dyDescent="0.25">
      <c r="A8" s="4"/>
      <c r="B8" s="20" t="s">
        <v>1460</v>
      </c>
      <c r="C8" s="5">
        <f>SUM(C9:C10)</f>
        <v>6514</v>
      </c>
      <c r="D8" s="5">
        <f t="shared" ref="D8" si="0">SUM(D9:D10)</f>
        <v>3222</v>
      </c>
      <c r="E8" s="5">
        <f>SUM(E9:E10)</f>
        <v>3292</v>
      </c>
    </row>
    <row r="9" spans="1:5" ht="15.75" x14ac:dyDescent="0.25">
      <c r="A9" s="4">
        <v>1</v>
      </c>
      <c r="B9" s="4" t="s">
        <v>121</v>
      </c>
      <c r="C9" s="4">
        <v>1965</v>
      </c>
      <c r="D9" s="4">
        <v>874</v>
      </c>
      <c r="E9" s="4">
        <v>1091</v>
      </c>
    </row>
    <row r="10" spans="1:5" ht="15.75" x14ac:dyDescent="0.25">
      <c r="A10" s="4">
        <v>2</v>
      </c>
      <c r="B10" s="4" t="s">
        <v>122</v>
      </c>
      <c r="C10" s="4">
        <v>4549</v>
      </c>
      <c r="D10" s="4">
        <v>2348</v>
      </c>
      <c r="E10" s="4">
        <v>2201</v>
      </c>
    </row>
    <row r="11" spans="1:5" ht="15.75" x14ac:dyDescent="0.25">
      <c r="A11" s="4"/>
      <c r="B11" s="20" t="s">
        <v>1464</v>
      </c>
      <c r="C11" s="5">
        <f>SUM(C12:C57)</f>
        <v>41012</v>
      </c>
      <c r="D11" s="5">
        <f t="shared" ref="D11:E11" si="1">SUM(D12:D57)</f>
        <v>20116</v>
      </c>
      <c r="E11" s="5">
        <f t="shared" si="1"/>
        <v>20896</v>
      </c>
    </row>
    <row r="12" spans="1:5" ht="15.75" x14ac:dyDescent="0.25">
      <c r="A12" s="4">
        <v>1</v>
      </c>
      <c r="B12" s="4" t="s">
        <v>623</v>
      </c>
      <c r="C12" s="4">
        <v>390</v>
      </c>
      <c r="D12" s="4">
        <v>186</v>
      </c>
      <c r="E12" s="4">
        <v>204</v>
      </c>
    </row>
    <row r="13" spans="1:5" ht="15.75" x14ac:dyDescent="0.25">
      <c r="A13" s="4">
        <v>2</v>
      </c>
      <c r="B13" s="4" t="s">
        <v>624</v>
      </c>
      <c r="C13" s="4">
        <v>488</v>
      </c>
      <c r="D13" s="4">
        <v>248</v>
      </c>
      <c r="E13" s="4">
        <v>240</v>
      </c>
    </row>
    <row r="14" spans="1:5" ht="15.75" x14ac:dyDescent="0.25">
      <c r="A14" s="4">
        <v>3</v>
      </c>
      <c r="B14" s="4" t="s">
        <v>625</v>
      </c>
      <c r="C14" s="4">
        <v>519</v>
      </c>
      <c r="D14" s="4">
        <v>259</v>
      </c>
      <c r="E14" s="4">
        <v>260</v>
      </c>
    </row>
    <row r="15" spans="1:5" ht="15.75" x14ac:dyDescent="0.25">
      <c r="A15" s="4">
        <v>4</v>
      </c>
      <c r="B15" s="4" t="s">
        <v>626</v>
      </c>
      <c r="C15" s="4">
        <v>603</v>
      </c>
      <c r="D15" s="4">
        <v>286</v>
      </c>
      <c r="E15" s="4">
        <v>317</v>
      </c>
    </row>
    <row r="16" spans="1:5" ht="15.75" x14ac:dyDescent="0.25">
      <c r="A16" s="4">
        <v>5</v>
      </c>
      <c r="B16" s="4" t="s">
        <v>627</v>
      </c>
      <c r="C16" s="4">
        <v>872</v>
      </c>
      <c r="D16" s="4">
        <v>397</v>
      </c>
      <c r="E16" s="4">
        <v>475</v>
      </c>
    </row>
    <row r="17" spans="1:5" ht="15.75" x14ac:dyDescent="0.25">
      <c r="A17" s="4">
        <v>6</v>
      </c>
      <c r="B17" s="4" t="s">
        <v>628</v>
      </c>
      <c r="C17" s="4">
        <v>554</v>
      </c>
      <c r="D17" s="4">
        <v>249</v>
      </c>
      <c r="E17" s="4">
        <v>305</v>
      </c>
    </row>
    <row r="18" spans="1:5" ht="15.75" x14ac:dyDescent="0.25">
      <c r="A18" s="4">
        <v>7</v>
      </c>
      <c r="B18" s="4" t="s">
        <v>629</v>
      </c>
      <c r="C18" s="4">
        <v>765</v>
      </c>
      <c r="D18" s="4">
        <v>345</v>
      </c>
      <c r="E18" s="4">
        <v>420</v>
      </c>
    </row>
    <row r="19" spans="1:5" ht="15.75" x14ac:dyDescent="0.25">
      <c r="A19" s="4">
        <v>8</v>
      </c>
      <c r="B19" s="4" t="s">
        <v>630</v>
      </c>
      <c r="C19" s="4">
        <v>878</v>
      </c>
      <c r="D19" s="4">
        <v>415</v>
      </c>
      <c r="E19" s="4">
        <v>463</v>
      </c>
    </row>
    <row r="20" spans="1:5" ht="15.75" x14ac:dyDescent="0.25">
      <c r="A20" s="4">
        <v>9</v>
      </c>
      <c r="B20" s="4" t="s">
        <v>631</v>
      </c>
      <c r="C20" s="4">
        <v>1726</v>
      </c>
      <c r="D20" s="4">
        <v>853</v>
      </c>
      <c r="E20" s="4">
        <v>873</v>
      </c>
    </row>
    <row r="21" spans="1:5" ht="15.75" x14ac:dyDescent="0.25">
      <c r="A21" s="4">
        <v>10</v>
      </c>
      <c r="B21" s="4" t="s">
        <v>632</v>
      </c>
      <c r="C21" s="4">
        <v>320</v>
      </c>
      <c r="D21" s="4">
        <v>152</v>
      </c>
      <c r="E21" s="4">
        <v>168</v>
      </c>
    </row>
    <row r="22" spans="1:5" ht="15.75" x14ac:dyDescent="0.25">
      <c r="A22" s="4">
        <v>11</v>
      </c>
      <c r="B22" s="4" t="s">
        <v>633</v>
      </c>
      <c r="C22" s="4">
        <v>1238</v>
      </c>
      <c r="D22" s="4">
        <v>603</v>
      </c>
      <c r="E22" s="4">
        <v>635</v>
      </c>
    </row>
    <row r="23" spans="1:5" ht="15.75" x14ac:dyDescent="0.25">
      <c r="A23" s="4">
        <v>12</v>
      </c>
      <c r="B23" s="4" t="s">
        <v>634</v>
      </c>
      <c r="C23" s="4">
        <v>1515</v>
      </c>
      <c r="D23" s="4">
        <v>708</v>
      </c>
      <c r="E23" s="4">
        <v>807</v>
      </c>
    </row>
    <row r="24" spans="1:5" ht="15.75" x14ac:dyDescent="0.25">
      <c r="A24" s="4">
        <v>13</v>
      </c>
      <c r="B24" s="4" t="s">
        <v>635</v>
      </c>
      <c r="C24" s="4">
        <v>1250</v>
      </c>
      <c r="D24" s="4">
        <v>614</v>
      </c>
      <c r="E24" s="4">
        <v>636</v>
      </c>
    </row>
    <row r="25" spans="1:5" ht="15.75" x14ac:dyDescent="0.25">
      <c r="A25" s="4">
        <v>14</v>
      </c>
      <c r="B25" s="4" t="s">
        <v>636</v>
      </c>
      <c r="C25" s="4">
        <v>738</v>
      </c>
      <c r="D25" s="4">
        <v>351</v>
      </c>
      <c r="E25" s="4">
        <v>387</v>
      </c>
    </row>
    <row r="26" spans="1:5" ht="15.75" x14ac:dyDescent="0.25">
      <c r="A26" s="4">
        <v>15</v>
      </c>
      <c r="B26" s="4" t="s">
        <v>637</v>
      </c>
      <c r="C26" s="4">
        <v>692</v>
      </c>
      <c r="D26" s="4">
        <v>333</v>
      </c>
      <c r="E26" s="4">
        <v>359</v>
      </c>
    </row>
    <row r="27" spans="1:5" ht="15.75" x14ac:dyDescent="0.25">
      <c r="A27" s="4">
        <v>16</v>
      </c>
      <c r="B27" s="4" t="s">
        <v>638</v>
      </c>
      <c r="C27" s="4">
        <v>874</v>
      </c>
      <c r="D27" s="4">
        <v>432</v>
      </c>
      <c r="E27" s="4">
        <v>442</v>
      </c>
    </row>
    <row r="28" spans="1:5" ht="15.75" x14ac:dyDescent="0.25">
      <c r="A28" s="4">
        <v>17</v>
      </c>
      <c r="B28" s="4" t="s">
        <v>639</v>
      </c>
      <c r="C28" s="4">
        <v>895</v>
      </c>
      <c r="D28" s="4">
        <v>444</v>
      </c>
      <c r="E28" s="4">
        <v>451</v>
      </c>
    </row>
    <row r="29" spans="1:5" ht="15.75" x14ac:dyDescent="0.25">
      <c r="A29" s="4">
        <v>18</v>
      </c>
      <c r="B29" s="4" t="s">
        <v>640</v>
      </c>
      <c r="C29" s="4">
        <v>519</v>
      </c>
      <c r="D29" s="4">
        <v>289</v>
      </c>
      <c r="E29" s="4">
        <v>230</v>
      </c>
    </row>
    <row r="30" spans="1:5" ht="15.75" x14ac:dyDescent="0.25">
      <c r="A30" s="4">
        <v>19</v>
      </c>
      <c r="B30" s="4" t="s">
        <v>641</v>
      </c>
      <c r="C30" s="4">
        <v>667</v>
      </c>
      <c r="D30" s="4">
        <v>341</v>
      </c>
      <c r="E30" s="4">
        <v>326</v>
      </c>
    </row>
    <row r="31" spans="1:5" ht="15.75" x14ac:dyDescent="0.25">
      <c r="A31" s="4">
        <v>20</v>
      </c>
      <c r="B31" s="4" t="s">
        <v>642</v>
      </c>
      <c r="C31" s="4">
        <v>839</v>
      </c>
      <c r="D31" s="4">
        <v>419</v>
      </c>
      <c r="E31" s="4">
        <v>420</v>
      </c>
    </row>
    <row r="32" spans="1:5" ht="15.75" x14ac:dyDescent="0.25">
      <c r="A32" s="4">
        <v>21</v>
      </c>
      <c r="B32" s="4" t="s">
        <v>643</v>
      </c>
      <c r="C32" s="4">
        <v>810</v>
      </c>
      <c r="D32" s="4">
        <v>389</v>
      </c>
      <c r="E32" s="4">
        <v>421</v>
      </c>
    </row>
    <row r="33" spans="1:5" ht="15.75" x14ac:dyDescent="0.25">
      <c r="A33" s="4">
        <v>22</v>
      </c>
      <c r="B33" s="4" t="s">
        <v>644</v>
      </c>
      <c r="C33" s="4">
        <v>664</v>
      </c>
      <c r="D33" s="4">
        <v>309</v>
      </c>
      <c r="E33" s="4">
        <v>355</v>
      </c>
    </row>
    <row r="34" spans="1:5" ht="15.75" x14ac:dyDescent="0.25">
      <c r="A34" s="4">
        <v>23</v>
      </c>
      <c r="B34" s="4" t="s">
        <v>645</v>
      </c>
      <c r="C34" s="4">
        <v>391</v>
      </c>
      <c r="D34" s="4">
        <v>207</v>
      </c>
      <c r="E34" s="4">
        <v>184</v>
      </c>
    </row>
    <row r="35" spans="1:5" ht="15.75" x14ac:dyDescent="0.25">
      <c r="A35" s="4">
        <v>24</v>
      </c>
      <c r="B35" s="4" t="s">
        <v>646</v>
      </c>
      <c r="C35" s="4">
        <v>811</v>
      </c>
      <c r="D35" s="4">
        <v>390</v>
      </c>
      <c r="E35" s="4">
        <v>421</v>
      </c>
    </row>
    <row r="36" spans="1:5" ht="15.75" x14ac:dyDescent="0.25">
      <c r="A36" s="4">
        <v>25</v>
      </c>
      <c r="B36" s="4" t="s">
        <v>647</v>
      </c>
      <c r="C36" s="4">
        <v>349</v>
      </c>
      <c r="D36" s="4">
        <v>166</v>
      </c>
      <c r="E36" s="4">
        <v>183</v>
      </c>
    </row>
    <row r="37" spans="1:5" ht="15.75" x14ac:dyDescent="0.25">
      <c r="A37" s="4">
        <v>26</v>
      </c>
      <c r="B37" s="4" t="s">
        <v>648</v>
      </c>
      <c r="C37" s="4">
        <v>1016</v>
      </c>
      <c r="D37" s="4">
        <v>529</v>
      </c>
      <c r="E37" s="4">
        <v>487</v>
      </c>
    </row>
    <row r="38" spans="1:5" ht="15.75" x14ac:dyDescent="0.25">
      <c r="A38" s="4">
        <v>27</v>
      </c>
      <c r="B38" s="4" t="s">
        <v>649</v>
      </c>
      <c r="C38" s="4">
        <v>914</v>
      </c>
      <c r="D38" s="4">
        <v>435</v>
      </c>
      <c r="E38" s="4">
        <v>479</v>
      </c>
    </row>
    <row r="39" spans="1:5" ht="15.75" x14ac:dyDescent="0.25">
      <c r="A39" s="4">
        <v>28</v>
      </c>
      <c r="B39" s="4" t="s">
        <v>650</v>
      </c>
      <c r="C39" s="4">
        <v>584</v>
      </c>
      <c r="D39" s="4">
        <v>280</v>
      </c>
      <c r="E39" s="4">
        <v>304</v>
      </c>
    </row>
    <row r="40" spans="1:5" ht="15.75" x14ac:dyDescent="0.25">
      <c r="A40" s="4">
        <v>29</v>
      </c>
      <c r="B40" s="4" t="s">
        <v>651</v>
      </c>
      <c r="C40" s="4">
        <v>572</v>
      </c>
      <c r="D40" s="4">
        <v>276</v>
      </c>
      <c r="E40" s="4">
        <v>296</v>
      </c>
    </row>
    <row r="41" spans="1:5" ht="15.75" x14ac:dyDescent="0.25">
      <c r="A41" s="4">
        <v>30</v>
      </c>
      <c r="B41" s="4" t="s">
        <v>652</v>
      </c>
      <c r="C41" s="4">
        <v>520</v>
      </c>
      <c r="D41" s="4">
        <v>253</v>
      </c>
      <c r="E41" s="4">
        <v>267</v>
      </c>
    </row>
    <row r="42" spans="1:5" ht="15.75" x14ac:dyDescent="0.25">
      <c r="A42" s="4">
        <v>31</v>
      </c>
      <c r="B42" s="4" t="s">
        <v>653</v>
      </c>
      <c r="C42" s="4">
        <v>669</v>
      </c>
      <c r="D42" s="4">
        <v>328</v>
      </c>
      <c r="E42" s="4">
        <v>341</v>
      </c>
    </row>
    <row r="43" spans="1:5" ht="15.75" x14ac:dyDescent="0.25">
      <c r="A43" s="4">
        <v>32</v>
      </c>
      <c r="B43" s="4" t="s">
        <v>412</v>
      </c>
      <c r="C43" s="4">
        <v>1207</v>
      </c>
      <c r="D43" s="4">
        <v>610</v>
      </c>
      <c r="E43" s="4">
        <v>597</v>
      </c>
    </row>
    <row r="44" spans="1:5" ht="15.75" x14ac:dyDescent="0.25">
      <c r="A44" s="4">
        <v>33</v>
      </c>
      <c r="B44" s="4" t="s">
        <v>654</v>
      </c>
      <c r="C44" s="4">
        <v>1236</v>
      </c>
      <c r="D44" s="4">
        <v>584</v>
      </c>
      <c r="E44" s="4">
        <v>652</v>
      </c>
    </row>
    <row r="45" spans="1:5" ht="15.75" x14ac:dyDescent="0.25">
      <c r="A45" s="4">
        <v>34</v>
      </c>
      <c r="B45" s="4" t="s">
        <v>655</v>
      </c>
      <c r="C45" s="4">
        <v>2056</v>
      </c>
      <c r="D45" s="4">
        <v>967</v>
      </c>
      <c r="E45" s="4">
        <v>1089</v>
      </c>
    </row>
    <row r="46" spans="1:5" ht="15.75" x14ac:dyDescent="0.25">
      <c r="A46" s="4">
        <v>35</v>
      </c>
      <c r="B46" s="4" t="s">
        <v>656</v>
      </c>
      <c r="C46" s="4">
        <v>779</v>
      </c>
      <c r="D46" s="4">
        <v>392</v>
      </c>
      <c r="E46" s="4">
        <v>387</v>
      </c>
    </row>
    <row r="47" spans="1:5" ht="15.75" x14ac:dyDescent="0.25">
      <c r="A47" s="4">
        <v>36</v>
      </c>
      <c r="B47" s="4" t="s">
        <v>657</v>
      </c>
      <c r="C47" s="4">
        <v>498</v>
      </c>
      <c r="D47" s="4">
        <v>244</v>
      </c>
      <c r="E47" s="4">
        <v>254</v>
      </c>
    </row>
    <row r="48" spans="1:5" ht="15.75" x14ac:dyDescent="0.25">
      <c r="A48" s="4">
        <v>37</v>
      </c>
      <c r="B48" s="4" t="s">
        <v>658</v>
      </c>
      <c r="C48" s="4">
        <v>824</v>
      </c>
      <c r="D48" s="4">
        <v>418</v>
      </c>
      <c r="E48" s="4">
        <v>406</v>
      </c>
    </row>
    <row r="49" spans="1:5" ht="15.75" x14ac:dyDescent="0.25">
      <c r="A49" s="4">
        <v>38</v>
      </c>
      <c r="B49" s="4" t="s">
        <v>659</v>
      </c>
      <c r="C49" s="4">
        <v>534</v>
      </c>
      <c r="D49" s="4">
        <v>258</v>
      </c>
      <c r="E49" s="4">
        <v>276</v>
      </c>
    </row>
    <row r="50" spans="1:5" ht="15.75" x14ac:dyDescent="0.25">
      <c r="A50" s="4">
        <v>39</v>
      </c>
      <c r="B50" s="4" t="s">
        <v>660</v>
      </c>
      <c r="C50" s="4">
        <v>1615</v>
      </c>
      <c r="D50" s="4">
        <v>819</v>
      </c>
      <c r="E50" s="4">
        <v>796</v>
      </c>
    </row>
    <row r="51" spans="1:5" ht="15.75" x14ac:dyDescent="0.25">
      <c r="A51" s="4">
        <v>40</v>
      </c>
      <c r="B51" s="4" t="s">
        <v>201</v>
      </c>
      <c r="C51" s="4">
        <v>1459</v>
      </c>
      <c r="D51" s="4">
        <v>740</v>
      </c>
      <c r="E51" s="4">
        <v>719</v>
      </c>
    </row>
    <row r="52" spans="1:5" ht="15.75" x14ac:dyDescent="0.25">
      <c r="A52" s="4">
        <v>41</v>
      </c>
      <c r="B52" s="4" t="s">
        <v>661</v>
      </c>
      <c r="C52" s="4">
        <v>602</v>
      </c>
      <c r="D52" s="4">
        <v>275</v>
      </c>
      <c r="E52" s="4">
        <v>327</v>
      </c>
    </row>
    <row r="53" spans="1:5" ht="15.75" x14ac:dyDescent="0.25">
      <c r="A53" s="4">
        <v>42</v>
      </c>
      <c r="B53" s="4" t="s">
        <v>662</v>
      </c>
      <c r="C53" s="4">
        <v>1228</v>
      </c>
      <c r="D53" s="4">
        <v>607</v>
      </c>
      <c r="E53" s="4">
        <v>621</v>
      </c>
    </row>
    <row r="54" spans="1:5" ht="15.75" x14ac:dyDescent="0.25">
      <c r="A54" s="4">
        <v>43</v>
      </c>
      <c r="B54" s="4" t="s">
        <v>663</v>
      </c>
      <c r="C54" s="4">
        <v>594</v>
      </c>
      <c r="D54" s="4">
        <v>294</v>
      </c>
      <c r="E54" s="4">
        <v>300</v>
      </c>
    </row>
    <row r="55" spans="1:5" ht="15.75" x14ac:dyDescent="0.25">
      <c r="A55" s="4">
        <v>44</v>
      </c>
      <c r="B55" s="4" t="s">
        <v>664</v>
      </c>
      <c r="C55" s="4">
        <v>1910</v>
      </c>
      <c r="D55" s="4">
        <v>958</v>
      </c>
      <c r="E55" s="4">
        <v>952</v>
      </c>
    </row>
    <row r="56" spans="1:5" ht="15.75" x14ac:dyDescent="0.25">
      <c r="A56" s="4">
        <v>45</v>
      </c>
      <c r="B56" s="4" t="s">
        <v>665</v>
      </c>
      <c r="C56" s="4">
        <v>1155</v>
      </c>
      <c r="D56" s="4">
        <v>612</v>
      </c>
      <c r="E56" s="4">
        <v>543</v>
      </c>
    </row>
    <row r="57" spans="1:5" ht="15.75" x14ac:dyDescent="0.25">
      <c r="A57" s="6">
        <v>46</v>
      </c>
      <c r="B57" s="6" t="s">
        <v>666</v>
      </c>
      <c r="C57" s="6">
        <v>1673</v>
      </c>
      <c r="D57" s="6">
        <v>852</v>
      </c>
      <c r="E57" s="6">
        <v>821</v>
      </c>
    </row>
  </sheetData>
  <mergeCells count="4">
    <mergeCell ref="A4:A5"/>
    <mergeCell ref="B4:B5"/>
    <mergeCell ref="C4:E4"/>
    <mergeCell ref="A1:E1"/>
  </mergeCells>
  <hyperlinks>
    <hyperlink ref="A1:E1" location="'Lest of twonship'!A1" display="        Magway Region, Minbu District, Saytottara Township"/>
  </hyperlinks>
  <pageMargins left="0.75" right="0.5" top="0.5" bottom="0.2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"/>
  <sheetViews>
    <sheetView workbookViewId="0">
      <selection sqref="A1:E1"/>
    </sheetView>
  </sheetViews>
  <sheetFormatPr defaultRowHeight="15" x14ac:dyDescent="0.25"/>
  <cols>
    <col min="1" max="1" width="6.85546875" customWidth="1"/>
    <col min="2" max="2" width="36.28515625" bestFit="1" customWidth="1"/>
    <col min="3" max="5" width="15.7109375" customWidth="1"/>
  </cols>
  <sheetData>
    <row r="1" spans="1:5" ht="18.75" x14ac:dyDescent="0.3">
      <c r="A1" s="37" t="s">
        <v>1478</v>
      </c>
      <c r="B1" s="37"/>
      <c r="C1" s="37"/>
      <c r="D1" s="37"/>
      <c r="E1" s="37"/>
    </row>
    <row r="2" spans="1:5" ht="15.75" x14ac:dyDescent="0.25">
      <c r="E2" s="8" t="s">
        <v>1463</v>
      </c>
    </row>
    <row r="4" spans="1:5" ht="15.75" x14ac:dyDescent="0.25">
      <c r="A4" s="32" t="s">
        <v>1461</v>
      </c>
      <c r="B4" s="32" t="s">
        <v>1465</v>
      </c>
      <c r="C4" s="30" t="s">
        <v>1462</v>
      </c>
      <c r="D4" s="30"/>
      <c r="E4" s="30"/>
    </row>
    <row r="5" spans="1:5" ht="15.75" x14ac:dyDescent="0.25">
      <c r="A5" s="32"/>
      <c r="B5" s="32"/>
      <c r="C5" s="23" t="s">
        <v>0</v>
      </c>
      <c r="D5" s="23" t="s">
        <v>1</v>
      </c>
      <c r="E5" s="23" t="s">
        <v>2</v>
      </c>
    </row>
    <row r="6" spans="1:5" ht="18.75" customHeight="1" x14ac:dyDescent="0.25">
      <c r="A6" s="2"/>
      <c r="B6" s="3" t="s">
        <v>0</v>
      </c>
      <c r="C6" s="3">
        <f>SUM(C8+C17)</f>
        <v>104347</v>
      </c>
      <c r="D6" s="3">
        <f t="shared" ref="D6:E6" si="0">SUM(D8+D17)</f>
        <v>49385</v>
      </c>
      <c r="E6" s="3">
        <f t="shared" si="0"/>
        <v>54962</v>
      </c>
    </row>
    <row r="7" spans="1:5" ht="6.75" customHeight="1" x14ac:dyDescent="0.25">
      <c r="A7" s="4"/>
      <c r="B7" s="4"/>
      <c r="C7" s="4"/>
      <c r="D7" s="4"/>
      <c r="E7" s="4"/>
    </row>
    <row r="8" spans="1:5" ht="15.75" customHeight="1" x14ac:dyDescent="0.25">
      <c r="A8" s="4"/>
      <c r="B8" s="20" t="s">
        <v>1460</v>
      </c>
      <c r="C8" s="5">
        <f>SUM(C9:C16)</f>
        <v>20251</v>
      </c>
      <c r="D8" s="5">
        <f t="shared" ref="D8:E8" si="1">SUM(D9:D16)</f>
        <v>9403</v>
      </c>
      <c r="E8" s="5">
        <f t="shared" si="1"/>
        <v>10848</v>
      </c>
    </row>
    <row r="9" spans="1:5" ht="15.75" customHeight="1" x14ac:dyDescent="0.25">
      <c r="A9" s="4">
        <v>1</v>
      </c>
      <c r="B9" s="4" t="s">
        <v>667</v>
      </c>
      <c r="C9" s="4">
        <v>1344</v>
      </c>
      <c r="D9" s="4">
        <v>654</v>
      </c>
      <c r="E9" s="4">
        <v>690</v>
      </c>
    </row>
    <row r="10" spans="1:5" ht="15.75" customHeight="1" x14ac:dyDescent="0.25">
      <c r="A10" s="4">
        <v>2</v>
      </c>
      <c r="B10" s="4" t="s">
        <v>668</v>
      </c>
      <c r="C10" s="4">
        <v>879</v>
      </c>
      <c r="D10" s="4">
        <v>356</v>
      </c>
      <c r="E10" s="4">
        <v>523</v>
      </c>
    </row>
    <row r="11" spans="1:5" ht="15.75" customHeight="1" x14ac:dyDescent="0.25">
      <c r="A11" s="4">
        <v>3</v>
      </c>
      <c r="B11" s="4" t="s">
        <v>669</v>
      </c>
      <c r="C11" s="4">
        <v>949</v>
      </c>
      <c r="D11" s="4">
        <v>412</v>
      </c>
      <c r="E11" s="4">
        <v>537</v>
      </c>
    </row>
    <row r="12" spans="1:5" ht="15.75" customHeight="1" x14ac:dyDescent="0.25">
      <c r="A12" s="4">
        <v>4</v>
      </c>
      <c r="B12" s="4" t="s">
        <v>670</v>
      </c>
      <c r="C12" s="4">
        <v>3645</v>
      </c>
      <c r="D12" s="4">
        <v>1672</v>
      </c>
      <c r="E12" s="4">
        <v>1973</v>
      </c>
    </row>
    <row r="13" spans="1:5" ht="15.75" customHeight="1" x14ac:dyDescent="0.25">
      <c r="A13" s="4">
        <v>5</v>
      </c>
      <c r="B13" s="4" t="s">
        <v>671</v>
      </c>
      <c r="C13" s="4">
        <v>814</v>
      </c>
      <c r="D13" s="4">
        <v>350</v>
      </c>
      <c r="E13" s="4">
        <v>464</v>
      </c>
    </row>
    <row r="14" spans="1:5" ht="15.75" customHeight="1" x14ac:dyDescent="0.25">
      <c r="A14" s="4">
        <v>6</v>
      </c>
      <c r="B14" s="4" t="s">
        <v>672</v>
      </c>
      <c r="C14" s="4">
        <v>4860</v>
      </c>
      <c r="D14" s="4">
        <v>2177</v>
      </c>
      <c r="E14" s="4">
        <v>2683</v>
      </c>
    </row>
    <row r="15" spans="1:5" ht="15.75" customHeight="1" x14ac:dyDescent="0.25">
      <c r="A15" s="4">
        <v>7</v>
      </c>
      <c r="B15" s="4" t="s">
        <v>673</v>
      </c>
      <c r="C15" s="4">
        <v>4066</v>
      </c>
      <c r="D15" s="4">
        <v>1755</v>
      </c>
      <c r="E15" s="4">
        <v>2311</v>
      </c>
    </row>
    <row r="16" spans="1:5" ht="15.75" customHeight="1" x14ac:dyDescent="0.25">
      <c r="A16" s="4">
        <v>8</v>
      </c>
      <c r="B16" s="4" t="s">
        <v>674</v>
      </c>
      <c r="C16" s="4">
        <v>3694</v>
      </c>
      <c r="D16" s="4">
        <v>2027</v>
      </c>
      <c r="E16" s="4">
        <v>1667</v>
      </c>
    </row>
    <row r="17" spans="1:5" ht="15.75" customHeight="1" x14ac:dyDescent="0.25">
      <c r="A17" s="4"/>
      <c r="B17" s="20" t="s">
        <v>1464</v>
      </c>
      <c r="C17" s="5">
        <f>SUM(C18:C70)</f>
        <v>84096</v>
      </c>
      <c r="D17" s="5">
        <f t="shared" ref="D17:E17" si="2">SUM(D18:D70)</f>
        <v>39982</v>
      </c>
      <c r="E17" s="5">
        <f t="shared" si="2"/>
        <v>44114</v>
      </c>
    </row>
    <row r="18" spans="1:5" ht="15.75" customHeight="1" x14ac:dyDescent="0.25">
      <c r="A18" s="4">
        <v>1</v>
      </c>
      <c r="B18" s="4" t="s">
        <v>675</v>
      </c>
      <c r="C18" s="4">
        <v>1401</v>
      </c>
      <c r="D18" s="4">
        <v>674</v>
      </c>
      <c r="E18" s="4">
        <v>727</v>
      </c>
    </row>
    <row r="19" spans="1:5" ht="15.75" customHeight="1" x14ac:dyDescent="0.25">
      <c r="A19" s="4">
        <v>2</v>
      </c>
      <c r="B19" s="4" t="s">
        <v>676</v>
      </c>
      <c r="C19" s="4">
        <v>2711</v>
      </c>
      <c r="D19" s="4">
        <v>1219</v>
      </c>
      <c r="E19" s="4">
        <v>1492</v>
      </c>
    </row>
    <row r="20" spans="1:5" ht="15.75" customHeight="1" x14ac:dyDescent="0.25">
      <c r="A20" s="4">
        <v>3</v>
      </c>
      <c r="B20" s="4" t="s">
        <v>677</v>
      </c>
      <c r="C20" s="4">
        <v>2157</v>
      </c>
      <c r="D20" s="4">
        <v>987</v>
      </c>
      <c r="E20" s="4">
        <v>1170</v>
      </c>
    </row>
    <row r="21" spans="1:5" ht="15.75" customHeight="1" x14ac:dyDescent="0.25">
      <c r="A21" s="4">
        <v>4</v>
      </c>
      <c r="B21" s="4" t="s">
        <v>678</v>
      </c>
      <c r="C21" s="4">
        <v>1346</v>
      </c>
      <c r="D21" s="4">
        <v>638</v>
      </c>
      <c r="E21" s="4">
        <v>708</v>
      </c>
    </row>
    <row r="22" spans="1:5" ht="15.75" customHeight="1" x14ac:dyDescent="0.25">
      <c r="A22" s="4">
        <v>5</v>
      </c>
      <c r="B22" s="4" t="s">
        <v>679</v>
      </c>
      <c r="C22" s="4">
        <v>948</v>
      </c>
      <c r="D22" s="4">
        <v>435</v>
      </c>
      <c r="E22" s="4">
        <v>513</v>
      </c>
    </row>
    <row r="23" spans="1:5" ht="15.75" customHeight="1" x14ac:dyDescent="0.25">
      <c r="A23" s="4">
        <v>6</v>
      </c>
      <c r="B23" s="4" t="s">
        <v>680</v>
      </c>
      <c r="C23" s="4">
        <v>2354</v>
      </c>
      <c r="D23" s="4">
        <v>1081</v>
      </c>
      <c r="E23" s="4">
        <v>1273</v>
      </c>
    </row>
    <row r="24" spans="1:5" ht="15.75" customHeight="1" x14ac:dyDescent="0.25">
      <c r="A24" s="4">
        <v>7</v>
      </c>
      <c r="B24" s="4" t="s">
        <v>681</v>
      </c>
      <c r="C24" s="4">
        <v>1240</v>
      </c>
      <c r="D24" s="4">
        <v>602</v>
      </c>
      <c r="E24" s="4">
        <v>638</v>
      </c>
    </row>
    <row r="25" spans="1:5" ht="15.75" customHeight="1" x14ac:dyDescent="0.25">
      <c r="A25" s="4">
        <v>8</v>
      </c>
      <c r="B25" s="4" t="s">
        <v>682</v>
      </c>
      <c r="C25" s="4">
        <v>1559</v>
      </c>
      <c r="D25" s="4">
        <v>715</v>
      </c>
      <c r="E25" s="4">
        <v>844</v>
      </c>
    </row>
    <row r="26" spans="1:5" ht="15.75" customHeight="1" x14ac:dyDescent="0.25">
      <c r="A26" s="4">
        <v>9</v>
      </c>
      <c r="B26" s="4" t="s">
        <v>683</v>
      </c>
      <c r="C26" s="4">
        <v>1203</v>
      </c>
      <c r="D26" s="4">
        <v>534</v>
      </c>
      <c r="E26" s="4">
        <v>669</v>
      </c>
    </row>
    <row r="27" spans="1:5" ht="15.75" customHeight="1" x14ac:dyDescent="0.25">
      <c r="A27" s="4">
        <v>10</v>
      </c>
      <c r="B27" s="4" t="s">
        <v>684</v>
      </c>
      <c r="C27" s="4">
        <v>1172</v>
      </c>
      <c r="D27" s="4">
        <v>551</v>
      </c>
      <c r="E27" s="4">
        <v>621</v>
      </c>
    </row>
    <row r="28" spans="1:5" ht="15.75" customHeight="1" x14ac:dyDescent="0.25">
      <c r="A28" s="4">
        <v>11</v>
      </c>
      <c r="B28" s="4" t="s">
        <v>685</v>
      </c>
      <c r="C28" s="4">
        <v>840</v>
      </c>
      <c r="D28" s="4">
        <v>406</v>
      </c>
      <c r="E28" s="4">
        <v>434</v>
      </c>
    </row>
    <row r="29" spans="1:5" ht="15.75" customHeight="1" x14ac:dyDescent="0.25">
      <c r="A29" s="4">
        <v>12</v>
      </c>
      <c r="B29" s="4" t="s">
        <v>686</v>
      </c>
      <c r="C29" s="4">
        <v>1435</v>
      </c>
      <c r="D29" s="4">
        <v>658</v>
      </c>
      <c r="E29" s="4">
        <v>777</v>
      </c>
    </row>
    <row r="30" spans="1:5" ht="15.75" customHeight="1" x14ac:dyDescent="0.25">
      <c r="A30" s="4">
        <v>13</v>
      </c>
      <c r="B30" s="4" t="s">
        <v>687</v>
      </c>
      <c r="C30" s="4">
        <v>1706</v>
      </c>
      <c r="D30" s="4">
        <v>819</v>
      </c>
      <c r="E30" s="4">
        <v>887</v>
      </c>
    </row>
    <row r="31" spans="1:5" ht="15.75" customHeight="1" x14ac:dyDescent="0.25">
      <c r="A31" s="4">
        <v>14</v>
      </c>
      <c r="B31" s="4" t="s">
        <v>688</v>
      </c>
      <c r="C31" s="4">
        <v>724</v>
      </c>
      <c r="D31" s="4">
        <v>360</v>
      </c>
      <c r="E31" s="4">
        <v>364</v>
      </c>
    </row>
    <row r="32" spans="1:5" ht="15.75" customHeight="1" x14ac:dyDescent="0.25">
      <c r="A32" s="4">
        <v>15</v>
      </c>
      <c r="B32" s="4" t="s">
        <v>77</v>
      </c>
      <c r="C32" s="4">
        <v>2147</v>
      </c>
      <c r="D32" s="4">
        <v>1022</v>
      </c>
      <c r="E32" s="4">
        <v>1125</v>
      </c>
    </row>
    <row r="33" spans="1:5" ht="15.75" customHeight="1" x14ac:dyDescent="0.25">
      <c r="A33" s="4">
        <v>16</v>
      </c>
      <c r="B33" s="4" t="s">
        <v>689</v>
      </c>
      <c r="C33" s="4">
        <v>1146</v>
      </c>
      <c r="D33" s="4">
        <v>537</v>
      </c>
      <c r="E33" s="4">
        <v>609</v>
      </c>
    </row>
    <row r="34" spans="1:5" ht="15.75" customHeight="1" x14ac:dyDescent="0.25">
      <c r="A34" s="4">
        <v>17</v>
      </c>
      <c r="B34" s="4" t="s">
        <v>690</v>
      </c>
      <c r="C34" s="4">
        <v>1353</v>
      </c>
      <c r="D34" s="4">
        <v>618</v>
      </c>
      <c r="E34" s="4">
        <v>735</v>
      </c>
    </row>
    <row r="35" spans="1:5" ht="15.75" customHeight="1" x14ac:dyDescent="0.25">
      <c r="A35" s="4">
        <v>18</v>
      </c>
      <c r="B35" s="4" t="s">
        <v>105</v>
      </c>
      <c r="C35" s="4">
        <v>540</v>
      </c>
      <c r="D35" s="4">
        <v>256</v>
      </c>
      <c r="E35" s="4">
        <v>284</v>
      </c>
    </row>
    <row r="36" spans="1:5" ht="15.75" customHeight="1" x14ac:dyDescent="0.25">
      <c r="A36" s="4">
        <v>19</v>
      </c>
      <c r="B36" s="4" t="s">
        <v>691</v>
      </c>
      <c r="C36" s="4">
        <v>569</v>
      </c>
      <c r="D36" s="4">
        <v>270</v>
      </c>
      <c r="E36" s="4">
        <v>299</v>
      </c>
    </row>
    <row r="37" spans="1:5" ht="15.75" customHeight="1" x14ac:dyDescent="0.25">
      <c r="A37" s="4">
        <v>20</v>
      </c>
      <c r="B37" s="4" t="s">
        <v>234</v>
      </c>
      <c r="C37" s="4">
        <v>2197</v>
      </c>
      <c r="D37" s="4">
        <v>1074</v>
      </c>
      <c r="E37" s="4">
        <v>1123</v>
      </c>
    </row>
    <row r="38" spans="1:5" ht="15.75" customHeight="1" x14ac:dyDescent="0.25">
      <c r="A38" s="4">
        <v>21</v>
      </c>
      <c r="B38" s="4" t="s">
        <v>692</v>
      </c>
      <c r="C38" s="4">
        <v>953</v>
      </c>
      <c r="D38" s="4">
        <v>428</v>
      </c>
      <c r="E38" s="4">
        <v>525</v>
      </c>
    </row>
    <row r="39" spans="1:5" ht="15.75" customHeight="1" x14ac:dyDescent="0.25">
      <c r="A39" s="4">
        <v>22</v>
      </c>
      <c r="B39" s="4" t="s">
        <v>693</v>
      </c>
      <c r="C39" s="4">
        <v>1505</v>
      </c>
      <c r="D39" s="4">
        <v>674</v>
      </c>
      <c r="E39" s="4">
        <v>831</v>
      </c>
    </row>
    <row r="40" spans="1:5" ht="15.75" customHeight="1" x14ac:dyDescent="0.25">
      <c r="A40" s="4">
        <v>23</v>
      </c>
      <c r="B40" s="4" t="s">
        <v>694</v>
      </c>
      <c r="C40" s="4">
        <v>1537</v>
      </c>
      <c r="D40" s="4">
        <v>705</v>
      </c>
      <c r="E40" s="4">
        <v>832</v>
      </c>
    </row>
    <row r="41" spans="1:5" ht="15.75" customHeight="1" x14ac:dyDescent="0.25">
      <c r="A41" s="4">
        <v>24</v>
      </c>
      <c r="B41" s="4" t="s">
        <v>695</v>
      </c>
      <c r="C41" s="4">
        <v>1387</v>
      </c>
      <c r="D41" s="4">
        <v>647</v>
      </c>
      <c r="E41" s="4">
        <v>740</v>
      </c>
    </row>
    <row r="42" spans="1:5" ht="15.75" customHeight="1" x14ac:dyDescent="0.25">
      <c r="A42" s="4">
        <v>25</v>
      </c>
      <c r="B42" s="4" t="s">
        <v>696</v>
      </c>
      <c r="C42" s="4">
        <v>2017</v>
      </c>
      <c r="D42" s="4">
        <v>939</v>
      </c>
      <c r="E42" s="4">
        <v>1078</v>
      </c>
    </row>
    <row r="43" spans="1:5" ht="15.75" customHeight="1" x14ac:dyDescent="0.25">
      <c r="A43" s="4">
        <v>26</v>
      </c>
      <c r="B43" s="4" t="s">
        <v>697</v>
      </c>
      <c r="C43" s="4">
        <v>2264</v>
      </c>
      <c r="D43" s="4">
        <v>1070</v>
      </c>
      <c r="E43" s="4">
        <v>1194</v>
      </c>
    </row>
    <row r="44" spans="1:5" ht="15.75" customHeight="1" x14ac:dyDescent="0.25">
      <c r="A44" s="4">
        <v>27</v>
      </c>
      <c r="B44" s="4" t="s">
        <v>698</v>
      </c>
      <c r="C44" s="4">
        <v>1149</v>
      </c>
      <c r="D44" s="4">
        <v>576</v>
      </c>
      <c r="E44" s="4">
        <v>573</v>
      </c>
    </row>
    <row r="45" spans="1:5" ht="15.75" customHeight="1" x14ac:dyDescent="0.25">
      <c r="A45" s="4">
        <v>28</v>
      </c>
      <c r="B45" s="4" t="s">
        <v>699</v>
      </c>
      <c r="C45" s="4">
        <v>1393</v>
      </c>
      <c r="D45" s="4">
        <v>634</v>
      </c>
      <c r="E45" s="4">
        <v>759</v>
      </c>
    </row>
    <row r="46" spans="1:5" ht="15.75" customHeight="1" x14ac:dyDescent="0.25">
      <c r="A46" s="4">
        <v>29</v>
      </c>
      <c r="B46" s="4" t="s">
        <v>362</v>
      </c>
      <c r="C46" s="4">
        <v>2007</v>
      </c>
      <c r="D46" s="4">
        <v>935</v>
      </c>
      <c r="E46" s="4">
        <v>1072</v>
      </c>
    </row>
    <row r="47" spans="1:5" ht="15.75" customHeight="1" x14ac:dyDescent="0.25">
      <c r="A47" s="4">
        <v>30</v>
      </c>
      <c r="B47" s="4" t="s">
        <v>700</v>
      </c>
      <c r="C47" s="4">
        <v>1203</v>
      </c>
      <c r="D47" s="4">
        <v>559</v>
      </c>
      <c r="E47" s="4">
        <v>644</v>
      </c>
    </row>
    <row r="48" spans="1:5" ht="15.75" customHeight="1" x14ac:dyDescent="0.25">
      <c r="A48" s="4">
        <v>31</v>
      </c>
      <c r="B48" s="4" t="s">
        <v>701</v>
      </c>
      <c r="C48" s="4">
        <v>1039</v>
      </c>
      <c r="D48" s="4">
        <v>484</v>
      </c>
      <c r="E48" s="4">
        <v>555</v>
      </c>
    </row>
    <row r="49" spans="1:5" ht="15.75" customHeight="1" x14ac:dyDescent="0.25">
      <c r="A49" s="4">
        <v>32</v>
      </c>
      <c r="B49" s="4" t="s">
        <v>702</v>
      </c>
      <c r="C49" s="4">
        <v>2249</v>
      </c>
      <c r="D49" s="4">
        <v>1095</v>
      </c>
      <c r="E49" s="4">
        <v>1154</v>
      </c>
    </row>
    <row r="50" spans="1:5" ht="15.75" customHeight="1" x14ac:dyDescent="0.25">
      <c r="A50" s="4">
        <v>33</v>
      </c>
      <c r="B50" s="4" t="s">
        <v>703</v>
      </c>
      <c r="C50" s="4">
        <v>3940</v>
      </c>
      <c r="D50" s="4">
        <v>1848</v>
      </c>
      <c r="E50" s="4">
        <v>2092</v>
      </c>
    </row>
    <row r="51" spans="1:5" ht="15.75" customHeight="1" x14ac:dyDescent="0.25">
      <c r="A51" s="4">
        <v>34</v>
      </c>
      <c r="B51" s="4" t="s">
        <v>704</v>
      </c>
      <c r="C51" s="4">
        <v>1902</v>
      </c>
      <c r="D51" s="4">
        <v>923</v>
      </c>
      <c r="E51" s="4">
        <v>979</v>
      </c>
    </row>
    <row r="52" spans="1:5" ht="15.75" customHeight="1" x14ac:dyDescent="0.25">
      <c r="A52" s="4">
        <v>35</v>
      </c>
      <c r="B52" s="4" t="s">
        <v>705</v>
      </c>
      <c r="C52" s="4">
        <v>777</v>
      </c>
      <c r="D52" s="4">
        <v>371</v>
      </c>
      <c r="E52" s="4">
        <v>406</v>
      </c>
    </row>
    <row r="53" spans="1:5" ht="15.75" customHeight="1" x14ac:dyDescent="0.25">
      <c r="A53" s="4">
        <v>36</v>
      </c>
      <c r="B53" s="4" t="s">
        <v>706</v>
      </c>
      <c r="C53" s="4">
        <v>1146</v>
      </c>
      <c r="D53" s="4">
        <v>534</v>
      </c>
      <c r="E53" s="4">
        <v>612</v>
      </c>
    </row>
    <row r="54" spans="1:5" ht="15.75" customHeight="1" x14ac:dyDescent="0.25">
      <c r="A54" s="4">
        <v>37</v>
      </c>
      <c r="B54" s="4" t="s">
        <v>164</v>
      </c>
      <c r="C54" s="4">
        <v>1511</v>
      </c>
      <c r="D54" s="4">
        <v>700</v>
      </c>
      <c r="E54" s="4">
        <v>811</v>
      </c>
    </row>
    <row r="55" spans="1:5" ht="15.75" customHeight="1" x14ac:dyDescent="0.25">
      <c r="A55" s="4">
        <v>38</v>
      </c>
      <c r="B55" s="4" t="s">
        <v>707</v>
      </c>
      <c r="C55" s="4">
        <v>818</v>
      </c>
      <c r="D55" s="4">
        <v>396</v>
      </c>
      <c r="E55" s="4">
        <v>422</v>
      </c>
    </row>
    <row r="56" spans="1:5" ht="15.75" customHeight="1" x14ac:dyDescent="0.25">
      <c r="A56" s="4">
        <v>39</v>
      </c>
      <c r="B56" s="4" t="s">
        <v>708</v>
      </c>
      <c r="C56" s="4">
        <v>2069</v>
      </c>
      <c r="D56" s="4">
        <v>1008</v>
      </c>
      <c r="E56" s="4">
        <v>1061</v>
      </c>
    </row>
    <row r="57" spans="1:5" ht="15.75" customHeight="1" x14ac:dyDescent="0.25">
      <c r="A57" s="4">
        <v>40</v>
      </c>
      <c r="B57" s="4" t="s">
        <v>709</v>
      </c>
      <c r="C57" s="4">
        <v>1312</v>
      </c>
      <c r="D57" s="4">
        <v>610</v>
      </c>
      <c r="E57" s="4">
        <v>702</v>
      </c>
    </row>
    <row r="58" spans="1:5" ht="15.75" customHeight="1" x14ac:dyDescent="0.25">
      <c r="A58" s="4">
        <v>41</v>
      </c>
      <c r="B58" s="4" t="s">
        <v>710</v>
      </c>
      <c r="C58" s="4">
        <v>3885</v>
      </c>
      <c r="D58" s="4">
        <v>1998</v>
      </c>
      <c r="E58" s="4">
        <v>1887</v>
      </c>
    </row>
    <row r="59" spans="1:5" ht="15.75" customHeight="1" x14ac:dyDescent="0.25">
      <c r="A59" s="4">
        <v>42</v>
      </c>
      <c r="B59" s="4" t="s">
        <v>711</v>
      </c>
      <c r="C59" s="4">
        <v>2059</v>
      </c>
      <c r="D59" s="4">
        <v>1079</v>
      </c>
      <c r="E59" s="4">
        <v>980</v>
      </c>
    </row>
    <row r="60" spans="1:5" ht="15.75" customHeight="1" x14ac:dyDescent="0.25">
      <c r="A60" s="4">
        <v>43</v>
      </c>
      <c r="B60" s="4" t="s">
        <v>712</v>
      </c>
      <c r="C60" s="4">
        <v>1896</v>
      </c>
      <c r="D60" s="4">
        <v>911</v>
      </c>
      <c r="E60" s="4">
        <v>985</v>
      </c>
    </row>
    <row r="61" spans="1:5" ht="15.75" customHeight="1" x14ac:dyDescent="0.25">
      <c r="A61" s="4">
        <v>44</v>
      </c>
      <c r="B61" s="4" t="s">
        <v>713</v>
      </c>
      <c r="C61" s="4">
        <v>2865</v>
      </c>
      <c r="D61" s="4">
        <v>1383</v>
      </c>
      <c r="E61" s="4">
        <v>1482</v>
      </c>
    </row>
    <row r="62" spans="1:5" ht="15.75" customHeight="1" x14ac:dyDescent="0.25">
      <c r="A62" s="4">
        <v>45</v>
      </c>
      <c r="B62" s="4" t="s">
        <v>714</v>
      </c>
      <c r="C62" s="4">
        <v>4990</v>
      </c>
      <c r="D62" s="4">
        <v>2310</v>
      </c>
      <c r="E62" s="4">
        <v>2680</v>
      </c>
    </row>
    <row r="63" spans="1:5" ht="15.75" customHeight="1" x14ac:dyDescent="0.25">
      <c r="A63" s="4">
        <v>46</v>
      </c>
      <c r="B63" s="4" t="s">
        <v>715</v>
      </c>
      <c r="C63" s="4">
        <v>457</v>
      </c>
      <c r="D63" s="4">
        <v>220</v>
      </c>
      <c r="E63" s="4">
        <v>237</v>
      </c>
    </row>
    <row r="64" spans="1:5" ht="15.75" customHeight="1" x14ac:dyDescent="0.25">
      <c r="A64" s="4">
        <v>47</v>
      </c>
      <c r="B64" s="4" t="s">
        <v>716</v>
      </c>
      <c r="C64" s="4">
        <v>1194</v>
      </c>
      <c r="D64" s="4">
        <v>571</v>
      </c>
      <c r="E64" s="4">
        <v>623</v>
      </c>
    </row>
    <row r="65" spans="1:5" ht="15.75" customHeight="1" x14ac:dyDescent="0.25">
      <c r="A65" s="4">
        <v>48</v>
      </c>
      <c r="B65" s="4" t="s">
        <v>28</v>
      </c>
      <c r="C65" s="4">
        <v>790</v>
      </c>
      <c r="D65" s="4">
        <v>378</v>
      </c>
      <c r="E65" s="4">
        <v>412</v>
      </c>
    </row>
    <row r="66" spans="1:5" ht="15.75" customHeight="1" x14ac:dyDescent="0.25">
      <c r="A66" s="4">
        <v>49</v>
      </c>
      <c r="B66" s="4" t="s">
        <v>717</v>
      </c>
      <c r="C66" s="4">
        <v>1538</v>
      </c>
      <c r="D66" s="4">
        <v>860</v>
      </c>
      <c r="E66" s="4">
        <v>678</v>
      </c>
    </row>
    <row r="67" spans="1:5" ht="15.75" customHeight="1" x14ac:dyDescent="0.25">
      <c r="A67" s="4">
        <v>50</v>
      </c>
      <c r="B67" s="4" t="s">
        <v>594</v>
      </c>
      <c r="C67" s="4">
        <v>794</v>
      </c>
      <c r="D67" s="4">
        <v>387</v>
      </c>
      <c r="E67" s="4">
        <v>407</v>
      </c>
    </row>
    <row r="68" spans="1:5" ht="15.75" customHeight="1" x14ac:dyDescent="0.25">
      <c r="A68" s="4">
        <v>51</v>
      </c>
      <c r="B68" s="4" t="s">
        <v>718</v>
      </c>
      <c r="C68" s="4">
        <v>1031</v>
      </c>
      <c r="D68" s="4">
        <v>491</v>
      </c>
      <c r="E68" s="4">
        <v>540</v>
      </c>
    </row>
    <row r="69" spans="1:5" ht="15.75" customHeight="1" x14ac:dyDescent="0.25">
      <c r="A69" s="4">
        <v>52</v>
      </c>
      <c r="B69" s="4" t="s">
        <v>613</v>
      </c>
      <c r="C69" s="4">
        <v>1413</v>
      </c>
      <c r="D69" s="4">
        <v>682</v>
      </c>
      <c r="E69" s="4">
        <v>731</v>
      </c>
    </row>
    <row r="70" spans="1:5" ht="15.75" customHeight="1" x14ac:dyDescent="0.25">
      <c r="A70" s="6">
        <v>53</v>
      </c>
      <c r="B70" s="6" t="s">
        <v>719</v>
      </c>
      <c r="C70" s="6">
        <v>258</v>
      </c>
      <c r="D70" s="6">
        <v>120</v>
      </c>
      <c r="E70" s="6">
        <v>138</v>
      </c>
    </row>
  </sheetData>
  <mergeCells count="4">
    <mergeCell ref="A4:A5"/>
    <mergeCell ref="B4:B5"/>
    <mergeCell ref="C4:E4"/>
    <mergeCell ref="A1:E1"/>
  </mergeCells>
  <hyperlinks>
    <hyperlink ref="A1:E1" location="'Lest of twonship'!A1" display="        Magway Region,Thayet District, Thayet Township"/>
  </hyperlinks>
  <pageMargins left="0.75" right="0.5" top="0.5" bottom="0.2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Views>
    <sheetView workbookViewId="0">
      <selection sqref="A1:E1"/>
    </sheetView>
  </sheetViews>
  <sheetFormatPr defaultRowHeight="15" x14ac:dyDescent="0.25"/>
  <cols>
    <col min="1" max="1" width="6.7109375" customWidth="1"/>
    <col min="2" max="2" width="40.5703125" bestFit="1" customWidth="1"/>
    <col min="3" max="5" width="15.7109375" customWidth="1"/>
  </cols>
  <sheetData>
    <row r="1" spans="1:5" s="38" customFormat="1" ht="18.75" x14ac:dyDescent="0.3">
      <c r="A1" s="37" t="s">
        <v>1479</v>
      </c>
      <c r="B1" s="37"/>
      <c r="C1" s="37"/>
      <c r="D1" s="37"/>
      <c r="E1" s="37"/>
    </row>
    <row r="2" spans="1:5" ht="15.75" x14ac:dyDescent="0.25">
      <c r="E2" s="8" t="s">
        <v>1463</v>
      </c>
    </row>
    <row r="4" spans="1:5" ht="15.75" x14ac:dyDescent="0.25">
      <c r="A4" s="32" t="s">
        <v>1461</v>
      </c>
      <c r="B4" s="32" t="s">
        <v>1465</v>
      </c>
      <c r="C4" s="30" t="s">
        <v>1462</v>
      </c>
      <c r="D4" s="30"/>
      <c r="E4" s="30"/>
    </row>
    <row r="5" spans="1:5" ht="15.75" x14ac:dyDescent="0.25">
      <c r="A5" s="32"/>
      <c r="B5" s="32"/>
      <c r="C5" s="23" t="s">
        <v>0</v>
      </c>
      <c r="D5" s="23" t="s">
        <v>1</v>
      </c>
      <c r="E5" s="23" t="s">
        <v>2</v>
      </c>
    </row>
    <row r="6" spans="1:5" ht="22.5" customHeight="1" x14ac:dyDescent="0.25">
      <c r="A6" s="2"/>
      <c r="B6" s="3" t="s">
        <v>0</v>
      </c>
      <c r="C6" s="3">
        <v>146082</v>
      </c>
      <c r="D6" s="3">
        <v>73133</v>
      </c>
      <c r="E6" s="3">
        <v>72949</v>
      </c>
    </row>
    <row r="7" spans="1:5" ht="7.5" customHeight="1" x14ac:dyDescent="0.25">
      <c r="A7" s="4"/>
      <c r="B7" s="4"/>
      <c r="C7" s="4"/>
      <c r="D7" s="4"/>
      <c r="E7" s="4"/>
    </row>
    <row r="8" spans="1:5" ht="15.75" x14ac:dyDescent="0.25">
      <c r="A8" s="4"/>
      <c r="B8" s="20" t="s">
        <v>1460</v>
      </c>
      <c r="C8" s="5">
        <f>SUM(C9:C14)</f>
        <v>12510</v>
      </c>
      <c r="D8" s="5">
        <f t="shared" ref="D8:E8" si="0">SUM(D9:D14)</f>
        <v>5892</v>
      </c>
      <c r="E8" s="5">
        <f t="shared" si="0"/>
        <v>6618</v>
      </c>
    </row>
    <row r="9" spans="1:5" ht="15.75" x14ac:dyDescent="0.25">
      <c r="A9" s="4">
        <v>1</v>
      </c>
      <c r="B9" s="4" t="s">
        <v>720</v>
      </c>
      <c r="C9" s="4">
        <v>1860</v>
      </c>
      <c r="D9" s="4">
        <v>907</v>
      </c>
      <c r="E9" s="4">
        <v>953</v>
      </c>
    </row>
    <row r="10" spans="1:5" ht="15.75" x14ac:dyDescent="0.25">
      <c r="A10" s="4">
        <v>2</v>
      </c>
      <c r="B10" s="4" t="s">
        <v>721</v>
      </c>
      <c r="C10" s="4">
        <v>794</v>
      </c>
      <c r="D10" s="4">
        <v>348</v>
      </c>
      <c r="E10" s="4">
        <v>446</v>
      </c>
    </row>
    <row r="11" spans="1:5" ht="15.75" x14ac:dyDescent="0.25">
      <c r="A11" s="4">
        <v>3</v>
      </c>
      <c r="B11" s="4" t="s">
        <v>722</v>
      </c>
      <c r="C11" s="4">
        <v>1276</v>
      </c>
      <c r="D11" s="4">
        <v>598</v>
      </c>
      <c r="E11" s="4">
        <v>678</v>
      </c>
    </row>
    <row r="12" spans="1:5" ht="15.75" x14ac:dyDescent="0.25">
      <c r="A12" s="4">
        <v>4</v>
      </c>
      <c r="B12" s="4" t="s">
        <v>723</v>
      </c>
      <c r="C12" s="4">
        <v>896</v>
      </c>
      <c r="D12" s="4">
        <v>395</v>
      </c>
      <c r="E12" s="4">
        <v>501</v>
      </c>
    </row>
    <row r="13" spans="1:5" ht="15.75" x14ac:dyDescent="0.25">
      <c r="A13" s="4">
        <v>5</v>
      </c>
      <c r="B13" s="4" t="s">
        <v>724</v>
      </c>
      <c r="C13" s="4">
        <v>4070</v>
      </c>
      <c r="D13" s="4">
        <v>1961</v>
      </c>
      <c r="E13" s="4">
        <v>2109</v>
      </c>
    </row>
    <row r="14" spans="1:5" ht="15.75" x14ac:dyDescent="0.25">
      <c r="A14" s="4">
        <v>6</v>
      </c>
      <c r="B14" s="4" t="s">
        <v>725</v>
      </c>
      <c r="C14" s="4">
        <v>3614</v>
      </c>
      <c r="D14" s="4">
        <v>1683</v>
      </c>
      <c r="E14" s="4">
        <v>1931</v>
      </c>
    </row>
    <row r="15" spans="1:5" ht="15.75" x14ac:dyDescent="0.25">
      <c r="A15" s="4"/>
      <c r="B15" s="20" t="s">
        <v>1464</v>
      </c>
      <c r="C15" s="5">
        <f>SUM(C16:C78)</f>
        <v>133572</v>
      </c>
      <c r="D15" s="5">
        <f t="shared" ref="D15:E15" si="1">SUM(D16:D78)</f>
        <v>67241</v>
      </c>
      <c r="E15" s="5">
        <f t="shared" si="1"/>
        <v>66331</v>
      </c>
    </row>
    <row r="16" spans="1:5" ht="15.75" x14ac:dyDescent="0.25">
      <c r="A16" s="4">
        <v>1</v>
      </c>
      <c r="B16" s="4" t="s">
        <v>383</v>
      </c>
      <c r="C16" s="4">
        <v>5148</v>
      </c>
      <c r="D16" s="4">
        <v>2467</v>
      </c>
      <c r="E16" s="4">
        <v>2681</v>
      </c>
    </row>
    <row r="17" spans="1:5" ht="15.75" x14ac:dyDescent="0.25">
      <c r="A17" s="4">
        <v>2</v>
      </c>
      <c r="B17" s="4" t="s">
        <v>726</v>
      </c>
      <c r="C17" s="4">
        <v>1073</v>
      </c>
      <c r="D17" s="4">
        <v>506</v>
      </c>
      <c r="E17" s="4">
        <v>567</v>
      </c>
    </row>
    <row r="18" spans="1:5" ht="15.75" x14ac:dyDescent="0.25">
      <c r="A18" s="4">
        <v>3</v>
      </c>
      <c r="B18" s="4" t="s">
        <v>727</v>
      </c>
      <c r="C18" s="4">
        <v>4193</v>
      </c>
      <c r="D18" s="4">
        <v>2117</v>
      </c>
      <c r="E18" s="4">
        <v>2076</v>
      </c>
    </row>
    <row r="19" spans="1:5" ht="15.75" x14ac:dyDescent="0.25">
      <c r="A19" s="4">
        <v>4</v>
      </c>
      <c r="B19" s="4" t="s">
        <v>728</v>
      </c>
      <c r="C19" s="4">
        <v>7319</v>
      </c>
      <c r="D19" s="4">
        <v>3488</v>
      </c>
      <c r="E19" s="4">
        <v>3831</v>
      </c>
    </row>
    <row r="20" spans="1:5" ht="15.75" x14ac:dyDescent="0.25">
      <c r="A20" s="4">
        <v>5</v>
      </c>
      <c r="B20" s="4" t="s">
        <v>729</v>
      </c>
      <c r="C20" s="4">
        <v>619</v>
      </c>
      <c r="D20" s="4">
        <v>284</v>
      </c>
      <c r="E20" s="4">
        <v>335</v>
      </c>
    </row>
    <row r="21" spans="1:5" ht="15.75" x14ac:dyDescent="0.25">
      <c r="A21" s="4">
        <v>6</v>
      </c>
      <c r="B21" s="4" t="s">
        <v>730</v>
      </c>
      <c r="C21" s="4">
        <v>1881</v>
      </c>
      <c r="D21" s="4">
        <v>902</v>
      </c>
      <c r="E21" s="4">
        <v>979</v>
      </c>
    </row>
    <row r="22" spans="1:5" ht="15.75" x14ac:dyDescent="0.25">
      <c r="A22" s="4">
        <v>7</v>
      </c>
      <c r="B22" s="4" t="s">
        <v>731</v>
      </c>
      <c r="C22" s="4">
        <v>2507</v>
      </c>
      <c r="D22" s="4">
        <v>1168</v>
      </c>
      <c r="E22" s="4">
        <v>1339</v>
      </c>
    </row>
    <row r="23" spans="1:5" ht="15.75" x14ac:dyDescent="0.25">
      <c r="A23" s="4">
        <v>8</v>
      </c>
      <c r="B23" s="4" t="s">
        <v>732</v>
      </c>
      <c r="C23" s="4">
        <v>845</v>
      </c>
      <c r="D23" s="4">
        <v>383</v>
      </c>
      <c r="E23" s="4">
        <v>462</v>
      </c>
    </row>
    <row r="24" spans="1:5" ht="15.75" x14ac:dyDescent="0.25">
      <c r="A24" s="4">
        <v>9</v>
      </c>
      <c r="B24" s="4" t="s">
        <v>733</v>
      </c>
      <c r="C24" s="4">
        <v>8055</v>
      </c>
      <c r="D24" s="4">
        <v>4836</v>
      </c>
      <c r="E24" s="4">
        <v>3219</v>
      </c>
    </row>
    <row r="25" spans="1:5" ht="15.75" x14ac:dyDescent="0.25">
      <c r="A25" s="4">
        <v>10</v>
      </c>
      <c r="B25" s="4" t="s">
        <v>734</v>
      </c>
      <c r="C25" s="4">
        <v>2818</v>
      </c>
      <c r="D25" s="4">
        <v>1374</v>
      </c>
      <c r="E25" s="4">
        <v>1444</v>
      </c>
    </row>
    <row r="26" spans="1:5" ht="15.75" x14ac:dyDescent="0.25">
      <c r="A26" s="4">
        <v>11</v>
      </c>
      <c r="B26" s="4" t="s">
        <v>735</v>
      </c>
      <c r="C26" s="4">
        <v>3958</v>
      </c>
      <c r="D26" s="4">
        <v>1869</v>
      </c>
      <c r="E26" s="4">
        <v>2089</v>
      </c>
    </row>
    <row r="27" spans="1:5" ht="15.75" x14ac:dyDescent="0.25">
      <c r="A27" s="4">
        <v>12</v>
      </c>
      <c r="B27" s="4" t="s">
        <v>736</v>
      </c>
      <c r="C27" s="4">
        <v>930</v>
      </c>
      <c r="D27" s="4">
        <v>500</v>
      </c>
      <c r="E27" s="4">
        <v>430</v>
      </c>
    </row>
    <row r="28" spans="1:5" ht="15.75" x14ac:dyDescent="0.25">
      <c r="A28" s="4">
        <v>13</v>
      </c>
      <c r="B28" s="4" t="s">
        <v>737</v>
      </c>
      <c r="C28" s="4">
        <v>2032</v>
      </c>
      <c r="D28" s="4">
        <v>976</v>
      </c>
      <c r="E28" s="4">
        <v>1056</v>
      </c>
    </row>
    <row r="29" spans="1:5" ht="15.75" x14ac:dyDescent="0.25">
      <c r="A29" s="4">
        <v>14</v>
      </c>
      <c r="B29" s="4" t="s">
        <v>738</v>
      </c>
      <c r="C29" s="4">
        <v>1477</v>
      </c>
      <c r="D29" s="4">
        <v>737</v>
      </c>
      <c r="E29" s="4">
        <v>740</v>
      </c>
    </row>
    <row r="30" spans="1:5" ht="15.75" x14ac:dyDescent="0.25">
      <c r="A30" s="4">
        <v>15</v>
      </c>
      <c r="B30" s="4" t="s">
        <v>739</v>
      </c>
      <c r="C30" s="4">
        <v>4824</v>
      </c>
      <c r="D30" s="4">
        <v>2393</v>
      </c>
      <c r="E30" s="4">
        <v>2431</v>
      </c>
    </row>
    <row r="31" spans="1:5" ht="15.75" x14ac:dyDescent="0.25">
      <c r="A31" s="4">
        <v>16</v>
      </c>
      <c r="B31" s="4" t="s">
        <v>740</v>
      </c>
      <c r="C31" s="4">
        <v>2614</v>
      </c>
      <c r="D31" s="4">
        <v>1297</v>
      </c>
      <c r="E31" s="4">
        <v>1317</v>
      </c>
    </row>
    <row r="32" spans="1:5" ht="15.75" x14ac:dyDescent="0.25">
      <c r="A32" s="4">
        <v>17</v>
      </c>
      <c r="B32" s="4" t="s">
        <v>741</v>
      </c>
      <c r="C32" s="4">
        <v>1384</v>
      </c>
      <c r="D32" s="4">
        <v>667</v>
      </c>
      <c r="E32" s="4">
        <v>717</v>
      </c>
    </row>
    <row r="33" spans="1:5" ht="15.75" x14ac:dyDescent="0.25">
      <c r="A33" s="4">
        <v>18</v>
      </c>
      <c r="B33" s="4" t="s">
        <v>742</v>
      </c>
      <c r="C33" s="4">
        <v>716</v>
      </c>
      <c r="D33" s="4">
        <v>342</v>
      </c>
      <c r="E33" s="4">
        <v>374</v>
      </c>
    </row>
    <row r="34" spans="1:5" ht="15.75" x14ac:dyDescent="0.25">
      <c r="A34" s="4">
        <v>19</v>
      </c>
      <c r="B34" s="4" t="s">
        <v>743</v>
      </c>
      <c r="C34" s="4">
        <v>881</v>
      </c>
      <c r="D34" s="4">
        <v>425</v>
      </c>
      <c r="E34" s="4">
        <v>456</v>
      </c>
    </row>
    <row r="35" spans="1:5" ht="15.75" x14ac:dyDescent="0.25">
      <c r="A35" s="4">
        <v>20</v>
      </c>
      <c r="B35" s="4" t="s">
        <v>744</v>
      </c>
      <c r="C35" s="4">
        <v>1535</v>
      </c>
      <c r="D35" s="4">
        <v>754</v>
      </c>
      <c r="E35" s="4">
        <v>781</v>
      </c>
    </row>
    <row r="36" spans="1:5" ht="15.75" x14ac:dyDescent="0.25">
      <c r="A36" s="4">
        <v>21</v>
      </c>
      <c r="B36" s="4" t="s">
        <v>745</v>
      </c>
      <c r="C36" s="4">
        <v>712</v>
      </c>
      <c r="D36" s="4">
        <v>370</v>
      </c>
      <c r="E36" s="4">
        <v>342</v>
      </c>
    </row>
    <row r="37" spans="1:5" ht="15.75" x14ac:dyDescent="0.25">
      <c r="A37" s="4">
        <v>22</v>
      </c>
      <c r="B37" s="4" t="s">
        <v>746</v>
      </c>
      <c r="C37" s="4">
        <v>343</v>
      </c>
      <c r="D37" s="4">
        <v>170</v>
      </c>
      <c r="E37" s="4">
        <v>173</v>
      </c>
    </row>
    <row r="38" spans="1:5" ht="15.75" x14ac:dyDescent="0.25">
      <c r="A38" s="4">
        <v>23</v>
      </c>
      <c r="B38" s="4" t="s">
        <v>747</v>
      </c>
      <c r="C38" s="4">
        <v>291</v>
      </c>
      <c r="D38" s="4">
        <v>144</v>
      </c>
      <c r="E38" s="4">
        <v>147</v>
      </c>
    </row>
    <row r="39" spans="1:5" ht="15.75" x14ac:dyDescent="0.25">
      <c r="A39" s="4">
        <v>24</v>
      </c>
      <c r="B39" s="4" t="s">
        <v>748</v>
      </c>
      <c r="C39" s="4">
        <v>13516</v>
      </c>
      <c r="D39" s="4">
        <v>7993</v>
      </c>
      <c r="E39" s="4">
        <v>5523</v>
      </c>
    </row>
    <row r="40" spans="1:5" ht="15.75" x14ac:dyDescent="0.25">
      <c r="A40" s="4">
        <v>25</v>
      </c>
      <c r="B40" s="4" t="s">
        <v>749</v>
      </c>
      <c r="C40" s="4">
        <v>1509</v>
      </c>
      <c r="D40" s="4">
        <v>735</v>
      </c>
      <c r="E40" s="4">
        <v>774</v>
      </c>
    </row>
    <row r="41" spans="1:5" ht="15.75" x14ac:dyDescent="0.25">
      <c r="A41" s="4">
        <v>26</v>
      </c>
      <c r="B41" s="4" t="s">
        <v>750</v>
      </c>
      <c r="C41" s="4">
        <v>2744</v>
      </c>
      <c r="D41" s="4">
        <v>1322</v>
      </c>
      <c r="E41" s="4">
        <v>1422</v>
      </c>
    </row>
    <row r="42" spans="1:5" ht="15.75" x14ac:dyDescent="0.25">
      <c r="A42" s="4">
        <v>27</v>
      </c>
      <c r="B42" s="4" t="s">
        <v>751</v>
      </c>
      <c r="C42" s="4">
        <v>2220</v>
      </c>
      <c r="D42" s="4">
        <v>1044</v>
      </c>
      <c r="E42" s="4">
        <v>1176</v>
      </c>
    </row>
    <row r="43" spans="1:5" ht="15.75" x14ac:dyDescent="0.25">
      <c r="A43" s="4">
        <v>28</v>
      </c>
      <c r="B43" s="4" t="s">
        <v>752</v>
      </c>
      <c r="C43" s="4">
        <v>2002</v>
      </c>
      <c r="D43" s="4">
        <v>953</v>
      </c>
      <c r="E43" s="4">
        <v>1049</v>
      </c>
    </row>
    <row r="44" spans="1:5" ht="15.75" x14ac:dyDescent="0.25">
      <c r="A44" s="4">
        <v>29</v>
      </c>
      <c r="B44" s="4" t="s">
        <v>391</v>
      </c>
      <c r="C44" s="4">
        <v>1658</v>
      </c>
      <c r="D44" s="4">
        <v>807</v>
      </c>
      <c r="E44" s="4">
        <v>851</v>
      </c>
    </row>
    <row r="45" spans="1:5" ht="15.75" x14ac:dyDescent="0.25">
      <c r="A45" s="4">
        <v>30</v>
      </c>
      <c r="B45" s="4" t="s">
        <v>753</v>
      </c>
      <c r="C45" s="4">
        <v>968</v>
      </c>
      <c r="D45" s="4">
        <v>466</v>
      </c>
      <c r="E45" s="4">
        <v>502</v>
      </c>
    </row>
    <row r="46" spans="1:5" ht="15.75" x14ac:dyDescent="0.25">
      <c r="A46" s="4">
        <v>31</v>
      </c>
      <c r="B46" s="4" t="s">
        <v>754</v>
      </c>
      <c r="C46" s="4">
        <v>1618</v>
      </c>
      <c r="D46" s="4">
        <v>811</v>
      </c>
      <c r="E46" s="4">
        <v>807</v>
      </c>
    </row>
    <row r="47" spans="1:5" ht="15.75" x14ac:dyDescent="0.25">
      <c r="A47" s="4">
        <v>32</v>
      </c>
      <c r="B47" s="4" t="s">
        <v>755</v>
      </c>
      <c r="C47" s="4">
        <v>411</v>
      </c>
      <c r="D47" s="4">
        <v>190</v>
      </c>
      <c r="E47" s="4">
        <v>221</v>
      </c>
    </row>
    <row r="48" spans="1:5" ht="15.75" x14ac:dyDescent="0.25">
      <c r="A48" s="4">
        <v>33</v>
      </c>
      <c r="B48" s="4" t="s">
        <v>756</v>
      </c>
      <c r="C48" s="4">
        <v>1468</v>
      </c>
      <c r="D48" s="4">
        <v>724</v>
      </c>
      <c r="E48" s="4">
        <v>744</v>
      </c>
    </row>
    <row r="49" spans="1:5" ht="15.75" x14ac:dyDescent="0.25">
      <c r="A49" s="4">
        <v>34</v>
      </c>
      <c r="B49" s="4" t="s">
        <v>363</v>
      </c>
      <c r="C49" s="4">
        <v>311</v>
      </c>
      <c r="D49" s="4">
        <v>159</v>
      </c>
      <c r="E49" s="4">
        <v>152</v>
      </c>
    </row>
    <row r="50" spans="1:5" ht="15.75" x14ac:dyDescent="0.25">
      <c r="A50" s="4">
        <v>35</v>
      </c>
      <c r="B50" s="4" t="s">
        <v>757</v>
      </c>
      <c r="C50" s="4">
        <v>424</v>
      </c>
      <c r="D50" s="4">
        <v>194</v>
      </c>
      <c r="E50" s="4">
        <v>230</v>
      </c>
    </row>
    <row r="51" spans="1:5" ht="15.75" x14ac:dyDescent="0.25">
      <c r="A51" s="4">
        <v>36</v>
      </c>
      <c r="B51" s="4" t="s">
        <v>758</v>
      </c>
      <c r="C51" s="4">
        <v>2369</v>
      </c>
      <c r="D51" s="4">
        <v>1132</v>
      </c>
      <c r="E51" s="4">
        <v>1237</v>
      </c>
    </row>
    <row r="52" spans="1:5" ht="15.75" x14ac:dyDescent="0.25">
      <c r="A52" s="4">
        <v>37</v>
      </c>
      <c r="B52" s="4" t="s">
        <v>349</v>
      </c>
      <c r="C52" s="4">
        <v>3683</v>
      </c>
      <c r="D52" s="4">
        <v>1906</v>
      </c>
      <c r="E52" s="4">
        <v>1777</v>
      </c>
    </row>
    <row r="53" spans="1:5" ht="15.75" x14ac:dyDescent="0.25">
      <c r="A53" s="4">
        <v>38</v>
      </c>
      <c r="B53" s="4" t="s">
        <v>759</v>
      </c>
      <c r="C53" s="4">
        <v>2336</v>
      </c>
      <c r="D53" s="4">
        <v>1175</v>
      </c>
      <c r="E53" s="4">
        <v>1161</v>
      </c>
    </row>
    <row r="54" spans="1:5" ht="15.75" x14ac:dyDescent="0.25">
      <c r="A54" s="4">
        <v>39</v>
      </c>
      <c r="B54" s="4" t="s">
        <v>760</v>
      </c>
      <c r="C54" s="4">
        <v>1770</v>
      </c>
      <c r="D54" s="4">
        <v>879</v>
      </c>
      <c r="E54" s="4">
        <v>891</v>
      </c>
    </row>
    <row r="55" spans="1:5" ht="15.75" x14ac:dyDescent="0.25">
      <c r="A55" s="4">
        <v>40</v>
      </c>
      <c r="B55" s="4" t="s">
        <v>761</v>
      </c>
      <c r="C55" s="4">
        <v>881</v>
      </c>
      <c r="D55" s="4">
        <v>438</v>
      </c>
      <c r="E55" s="4">
        <v>443</v>
      </c>
    </row>
    <row r="56" spans="1:5" ht="15.75" x14ac:dyDescent="0.25">
      <c r="A56" s="4">
        <v>41</v>
      </c>
      <c r="B56" s="4" t="s">
        <v>762</v>
      </c>
      <c r="C56" s="4">
        <v>3389</v>
      </c>
      <c r="D56" s="4">
        <v>1632</v>
      </c>
      <c r="E56" s="4">
        <v>1757</v>
      </c>
    </row>
    <row r="57" spans="1:5" ht="15.75" x14ac:dyDescent="0.25">
      <c r="A57" s="4">
        <v>42</v>
      </c>
      <c r="B57" s="4" t="s">
        <v>763</v>
      </c>
      <c r="C57" s="4">
        <v>1310</v>
      </c>
      <c r="D57" s="4">
        <v>644</v>
      </c>
      <c r="E57" s="4">
        <v>666</v>
      </c>
    </row>
    <row r="58" spans="1:5" ht="15.75" x14ac:dyDescent="0.25">
      <c r="A58" s="4">
        <v>43</v>
      </c>
      <c r="B58" s="4" t="s">
        <v>764</v>
      </c>
      <c r="C58" s="4">
        <v>3352</v>
      </c>
      <c r="D58" s="4">
        <v>1799</v>
      </c>
      <c r="E58" s="4">
        <v>1553</v>
      </c>
    </row>
    <row r="59" spans="1:5" ht="15.75" x14ac:dyDescent="0.25">
      <c r="A59" s="4">
        <v>44</v>
      </c>
      <c r="B59" s="4" t="s">
        <v>765</v>
      </c>
      <c r="C59" s="4">
        <v>629</v>
      </c>
      <c r="D59" s="4">
        <v>319</v>
      </c>
      <c r="E59" s="4">
        <v>310</v>
      </c>
    </row>
    <row r="60" spans="1:5" ht="15.75" x14ac:dyDescent="0.25">
      <c r="A60" s="4">
        <v>45</v>
      </c>
      <c r="B60" s="4" t="s">
        <v>766</v>
      </c>
      <c r="C60" s="4">
        <v>2501</v>
      </c>
      <c r="D60" s="4">
        <v>1178</v>
      </c>
      <c r="E60" s="4">
        <v>1323</v>
      </c>
    </row>
    <row r="61" spans="1:5" ht="15.75" x14ac:dyDescent="0.25">
      <c r="A61" s="4">
        <v>46</v>
      </c>
      <c r="B61" s="4" t="s">
        <v>767</v>
      </c>
      <c r="C61" s="4">
        <v>576</v>
      </c>
      <c r="D61" s="4">
        <v>296</v>
      </c>
      <c r="E61" s="4">
        <v>280</v>
      </c>
    </row>
    <row r="62" spans="1:5" ht="15.75" x14ac:dyDescent="0.25">
      <c r="A62" s="4">
        <v>47</v>
      </c>
      <c r="B62" s="4" t="s">
        <v>768</v>
      </c>
      <c r="C62" s="4">
        <v>2071</v>
      </c>
      <c r="D62" s="4">
        <v>1000</v>
      </c>
      <c r="E62" s="4">
        <v>1071</v>
      </c>
    </row>
    <row r="63" spans="1:5" ht="15.75" x14ac:dyDescent="0.25">
      <c r="A63" s="4">
        <v>48</v>
      </c>
      <c r="B63" s="4" t="s">
        <v>769</v>
      </c>
      <c r="C63" s="4">
        <v>981</v>
      </c>
      <c r="D63" s="4">
        <v>458</v>
      </c>
      <c r="E63" s="4">
        <v>523</v>
      </c>
    </row>
    <row r="64" spans="1:5" ht="15.75" x14ac:dyDescent="0.25">
      <c r="A64" s="4">
        <v>49</v>
      </c>
      <c r="B64" s="4" t="s">
        <v>686</v>
      </c>
      <c r="C64" s="4">
        <v>335</v>
      </c>
      <c r="D64" s="4">
        <v>172</v>
      </c>
      <c r="E64" s="4">
        <v>163</v>
      </c>
    </row>
    <row r="65" spans="1:5" ht="15.75" x14ac:dyDescent="0.25">
      <c r="A65" s="4">
        <v>50</v>
      </c>
      <c r="B65" s="4" t="s">
        <v>770</v>
      </c>
      <c r="C65" s="4">
        <v>1162</v>
      </c>
      <c r="D65" s="4">
        <v>555</v>
      </c>
      <c r="E65" s="4">
        <v>607</v>
      </c>
    </row>
    <row r="66" spans="1:5" ht="15.75" x14ac:dyDescent="0.25">
      <c r="A66" s="4">
        <v>51</v>
      </c>
      <c r="B66" s="4" t="s">
        <v>771</v>
      </c>
      <c r="C66" s="4">
        <v>1836</v>
      </c>
      <c r="D66" s="4">
        <v>882</v>
      </c>
      <c r="E66" s="4">
        <v>954</v>
      </c>
    </row>
    <row r="67" spans="1:5" ht="15.75" x14ac:dyDescent="0.25">
      <c r="A67" s="4">
        <v>52</v>
      </c>
      <c r="B67" s="4" t="s">
        <v>772</v>
      </c>
      <c r="C67" s="4">
        <v>965</v>
      </c>
      <c r="D67" s="4">
        <v>462</v>
      </c>
      <c r="E67" s="4">
        <v>503</v>
      </c>
    </row>
    <row r="68" spans="1:5" ht="15.75" x14ac:dyDescent="0.25">
      <c r="A68" s="4">
        <v>53</v>
      </c>
      <c r="B68" s="4" t="s">
        <v>773</v>
      </c>
      <c r="C68" s="4">
        <v>1042</v>
      </c>
      <c r="D68" s="4">
        <v>502</v>
      </c>
      <c r="E68" s="4">
        <v>540</v>
      </c>
    </row>
    <row r="69" spans="1:5" ht="15.75" x14ac:dyDescent="0.25">
      <c r="A69" s="4">
        <v>54</v>
      </c>
      <c r="B69" s="4" t="s">
        <v>342</v>
      </c>
      <c r="C69" s="4">
        <v>1537</v>
      </c>
      <c r="D69" s="4">
        <v>740</v>
      </c>
      <c r="E69" s="4">
        <v>797</v>
      </c>
    </row>
    <row r="70" spans="1:5" ht="15.75" x14ac:dyDescent="0.25">
      <c r="A70" s="4">
        <v>55</v>
      </c>
      <c r="B70" s="4" t="s">
        <v>774</v>
      </c>
      <c r="C70" s="4">
        <v>3579</v>
      </c>
      <c r="D70" s="4">
        <v>1691</v>
      </c>
      <c r="E70" s="4">
        <v>1888</v>
      </c>
    </row>
    <row r="71" spans="1:5" ht="15.75" x14ac:dyDescent="0.25">
      <c r="A71" s="4">
        <v>56</v>
      </c>
      <c r="B71" s="4" t="s">
        <v>775</v>
      </c>
      <c r="C71" s="4">
        <v>2704</v>
      </c>
      <c r="D71" s="4">
        <v>1251</v>
      </c>
      <c r="E71" s="4">
        <v>1453</v>
      </c>
    </row>
    <row r="72" spans="1:5" ht="15.75" x14ac:dyDescent="0.25">
      <c r="A72" s="4">
        <v>57</v>
      </c>
      <c r="B72" s="4" t="s">
        <v>776</v>
      </c>
      <c r="C72" s="4">
        <v>2186</v>
      </c>
      <c r="D72" s="4">
        <v>1080</v>
      </c>
      <c r="E72" s="4">
        <v>1106</v>
      </c>
    </row>
    <row r="73" spans="1:5" ht="15.75" x14ac:dyDescent="0.25">
      <c r="A73" s="4">
        <v>58</v>
      </c>
      <c r="B73" s="4" t="s">
        <v>777</v>
      </c>
      <c r="C73" s="4">
        <v>797</v>
      </c>
      <c r="D73" s="4">
        <v>382</v>
      </c>
      <c r="E73" s="4">
        <v>415</v>
      </c>
    </row>
    <row r="74" spans="1:5" ht="15.75" x14ac:dyDescent="0.25">
      <c r="A74" s="4">
        <v>59</v>
      </c>
      <c r="B74" s="4" t="s">
        <v>778</v>
      </c>
      <c r="C74" s="4">
        <v>1164</v>
      </c>
      <c r="D74" s="4">
        <v>541</v>
      </c>
      <c r="E74" s="4">
        <v>623</v>
      </c>
    </row>
    <row r="75" spans="1:5" ht="15.75" x14ac:dyDescent="0.25">
      <c r="A75" s="4">
        <v>60</v>
      </c>
      <c r="B75" s="4" t="s">
        <v>779</v>
      </c>
      <c r="C75" s="4">
        <v>1426</v>
      </c>
      <c r="D75" s="4">
        <v>662</v>
      </c>
      <c r="E75" s="4">
        <v>764</v>
      </c>
    </row>
    <row r="76" spans="1:5" ht="15.75" x14ac:dyDescent="0.25">
      <c r="A76" s="4">
        <v>61</v>
      </c>
      <c r="B76" s="4" t="s">
        <v>780</v>
      </c>
      <c r="C76" s="4">
        <v>843</v>
      </c>
      <c r="D76" s="4">
        <v>403</v>
      </c>
      <c r="E76" s="4">
        <v>440</v>
      </c>
    </row>
    <row r="77" spans="1:5" ht="15.75" x14ac:dyDescent="0.25">
      <c r="A77" s="4">
        <v>62</v>
      </c>
      <c r="B77" s="4" t="s">
        <v>781</v>
      </c>
      <c r="C77" s="4">
        <v>2818</v>
      </c>
      <c r="D77" s="4">
        <v>1334</v>
      </c>
      <c r="E77" s="4">
        <v>1484</v>
      </c>
    </row>
    <row r="78" spans="1:5" ht="15.75" x14ac:dyDescent="0.25">
      <c r="A78" s="6">
        <v>63</v>
      </c>
      <c r="B78" s="6" t="s">
        <v>782</v>
      </c>
      <c r="C78" s="6">
        <v>326</v>
      </c>
      <c r="D78" s="6">
        <v>161</v>
      </c>
      <c r="E78" s="6">
        <v>165</v>
      </c>
    </row>
  </sheetData>
  <mergeCells count="4">
    <mergeCell ref="A4:A5"/>
    <mergeCell ref="B4:B5"/>
    <mergeCell ref="C4:E4"/>
    <mergeCell ref="A1:E1"/>
  </mergeCells>
  <hyperlinks>
    <hyperlink ref="A1:E1" location="'Lest of twonship'!A1" display="        Magway Region,Thayet District, Minhla Township"/>
  </hyperlinks>
  <pageMargins left="0.75" right="0.5" top="0.5" bottom="0.2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Views>
    <sheetView workbookViewId="0">
      <selection sqref="A1:E1"/>
    </sheetView>
  </sheetViews>
  <sheetFormatPr defaultRowHeight="15" x14ac:dyDescent="0.25"/>
  <cols>
    <col min="1" max="1" width="7.85546875" customWidth="1"/>
    <col min="2" max="2" width="35.7109375" bestFit="1" customWidth="1"/>
    <col min="3" max="5" width="15.7109375" customWidth="1"/>
  </cols>
  <sheetData>
    <row r="1" spans="1:5" s="38" customFormat="1" ht="18.75" x14ac:dyDescent="0.3">
      <c r="A1" s="37" t="s">
        <v>1481</v>
      </c>
      <c r="B1" s="37"/>
      <c r="C1" s="37"/>
      <c r="D1" s="37"/>
      <c r="E1" s="37"/>
    </row>
    <row r="2" spans="1:5" ht="15.75" x14ac:dyDescent="0.25">
      <c r="E2" s="8" t="s">
        <v>1463</v>
      </c>
    </row>
    <row r="4" spans="1:5" ht="15.75" x14ac:dyDescent="0.25">
      <c r="A4" s="32" t="s">
        <v>1461</v>
      </c>
      <c r="B4" s="32" t="s">
        <v>1465</v>
      </c>
      <c r="C4" s="30" t="s">
        <v>1462</v>
      </c>
      <c r="D4" s="30"/>
      <c r="E4" s="30"/>
    </row>
    <row r="5" spans="1:5" ht="15.75" x14ac:dyDescent="0.25">
      <c r="A5" s="32"/>
      <c r="B5" s="32"/>
      <c r="C5" s="12" t="s">
        <v>0</v>
      </c>
      <c r="D5" s="12" t="s">
        <v>1</v>
      </c>
      <c r="E5" s="12" t="s">
        <v>2</v>
      </c>
    </row>
    <row r="6" spans="1:5" ht="22.5" customHeight="1" x14ac:dyDescent="0.25">
      <c r="A6" s="2"/>
      <c r="B6" s="3" t="s">
        <v>0</v>
      </c>
      <c r="C6" s="3">
        <v>59357</v>
      </c>
      <c r="D6" s="3">
        <v>27961</v>
      </c>
      <c r="E6" s="3">
        <v>31396</v>
      </c>
    </row>
    <row r="7" spans="1:5" ht="6.75" customHeight="1" x14ac:dyDescent="0.25">
      <c r="A7" s="4"/>
      <c r="B7" s="4"/>
      <c r="C7" s="4"/>
      <c r="D7" s="4"/>
      <c r="E7" s="4"/>
    </row>
    <row r="8" spans="1:5" ht="15.75" x14ac:dyDescent="0.25">
      <c r="A8" s="4"/>
      <c r="B8" s="20" t="s">
        <v>1460</v>
      </c>
      <c r="C8" s="5">
        <f>SUM(C9:C12)</f>
        <v>4594</v>
      </c>
      <c r="D8" s="5">
        <f t="shared" ref="D8:E8" si="0">SUM(D9:D12)</f>
        <v>2112</v>
      </c>
      <c r="E8" s="5">
        <f t="shared" si="0"/>
        <v>2482</v>
      </c>
    </row>
    <row r="9" spans="1:5" ht="15.75" x14ac:dyDescent="0.25">
      <c r="A9" s="4">
        <v>1</v>
      </c>
      <c r="B9" s="4" t="s">
        <v>121</v>
      </c>
      <c r="C9" s="4">
        <v>531</v>
      </c>
      <c r="D9" s="4">
        <v>228</v>
      </c>
      <c r="E9" s="4">
        <v>303</v>
      </c>
    </row>
    <row r="10" spans="1:5" ht="15.75" x14ac:dyDescent="0.25">
      <c r="A10" s="4">
        <v>2</v>
      </c>
      <c r="B10" s="4" t="s">
        <v>122</v>
      </c>
      <c r="C10" s="4">
        <v>1030</v>
      </c>
      <c r="D10" s="4">
        <v>471</v>
      </c>
      <c r="E10" s="4">
        <v>559</v>
      </c>
    </row>
    <row r="11" spans="1:5" ht="15.75" x14ac:dyDescent="0.25">
      <c r="A11" s="4">
        <v>3</v>
      </c>
      <c r="B11" s="4" t="s">
        <v>123</v>
      </c>
      <c r="C11" s="4">
        <v>1173</v>
      </c>
      <c r="D11" s="4">
        <v>536</v>
      </c>
      <c r="E11" s="4">
        <v>637</v>
      </c>
    </row>
    <row r="12" spans="1:5" ht="15.75" x14ac:dyDescent="0.25">
      <c r="A12" s="4">
        <v>4</v>
      </c>
      <c r="B12" s="4" t="s">
        <v>124</v>
      </c>
      <c r="C12" s="4">
        <v>1860</v>
      </c>
      <c r="D12" s="4">
        <v>877</v>
      </c>
      <c r="E12" s="4">
        <v>983</v>
      </c>
    </row>
    <row r="13" spans="1:5" ht="15.75" x14ac:dyDescent="0.25">
      <c r="A13" s="4"/>
      <c r="B13" s="20" t="s">
        <v>1464</v>
      </c>
      <c r="C13" s="5">
        <f>SUM(C14:C85)</f>
        <v>54763</v>
      </c>
      <c r="D13" s="5">
        <f t="shared" ref="D13:E13" si="1">SUM(D14:D85)</f>
        <v>25849</v>
      </c>
      <c r="E13" s="5">
        <f t="shared" si="1"/>
        <v>28914</v>
      </c>
    </row>
    <row r="14" spans="1:5" ht="15.75" x14ac:dyDescent="0.25">
      <c r="A14" s="4">
        <v>1</v>
      </c>
      <c r="B14" s="4" t="s">
        <v>783</v>
      </c>
      <c r="C14" s="4">
        <v>212</v>
      </c>
      <c r="D14" s="4">
        <v>90</v>
      </c>
      <c r="E14" s="4">
        <v>122</v>
      </c>
    </row>
    <row r="15" spans="1:5" ht="15.75" x14ac:dyDescent="0.25">
      <c r="A15" s="4">
        <v>2</v>
      </c>
      <c r="B15" s="4" t="s">
        <v>784</v>
      </c>
      <c r="C15" s="4">
        <v>1750</v>
      </c>
      <c r="D15" s="4">
        <v>770</v>
      </c>
      <c r="E15" s="4">
        <v>980</v>
      </c>
    </row>
    <row r="16" spans="1:5" ht="15.75" x14ac:dyDescent="0.25">
      <c r="A16" s="4">
        <v>3</v>
      </c>
      <c r="B16" s="4" t="s">
        <v>785</v>
      </c>
      <c r="C16" s="4">
        <v>353</v>
      </c>
      <c r="D16" s="4">
        <v>164</v>
      </c>
      <c r="E16" s="4">
        <v>189</v>
      </c>
    </row>
    <row r="17" spans="1:5" ht="15.75" x14ac:dyDescent="0.25">
      <c r="A17" s="4">
        <v>4</v>
      </c>
      <c r="B17" s="4" t="s">
        <v>786</v>
      </c>
      <c r="C17" s="4">
        <v>918</v>
      </c>
      <c r="D17" s="4">
        <v>429</v>
      </c>
      <c r="E17" s="4">
        <v>489</v>
      </c>
    </row>
    <row r="18" spans="1:5" ht="15.75" x14ac:dyDescent="0.25">
      <c r="A18" s="4">
        <v>5</v>
      </c>
      <c r="B18" s="4" t="s">
        <v>772</v>
      </c>
      <c r="C18" s="4">
        <v>414</v>
      </c>
      <c r="D18" s="4">
        <v>169</v>
      </c>
      <c r="E18" s="4">
        <v>245</v>
      </c>
    </row>
    <row r="19" spans="1:5" ht="15.75" x14ac:dyDescent="0.25">
      <c r="A19" s="4">
        <v>6</v>
      </c>
      <c r="B19" s="4" t="s">
        <v>787</v>
      </c>
      <c r="C19" s="4">
        <v>202</v>
      </c>
      <c r="D19" s="4">
        <v>99</v>
      </c>
      <c r="E19" s="4">
        <v>103</v>
      </c>
    </row>
    <row r="20" spans="1:5" ht="15.75" x14ac:dyDescent="0.25">
      <c r="A20" s="4">
        <v>7</v>
      </c>
      <c r="B20" s="4" t="s">
        <v>788</v>
      </c>
      <c r="C20" s="4">
        <v>513</v>
      </c>
      <c r="D20" s="4">
        <v>223</v>
      </c>
      <c r="E20" s="4">
        <v>290</v>
      </c>
    </row>
    <row r="21" spans="1:5" ht="15.75" x14ac:dyDescent="0.25">
      <c r="A21" s="4">
        <v>8</v>
      </c>
      <c r="B21" s="4" t="s">
        <v>789</v>
      </c>
      <c r="C21" s="4">
        <v>561</v>
      </c>
      <c r="D21" s="4">
        <v>268</v>
      </c>
      <c r="E21" s="4">
        <v>293</v>
      </c>
    </row>
    <row r="22" spans="1:5" ht="15.75" x14ac:dyDescent="0.25">
      <c r="A22" s="4">
        <v>9</v>
      </c>
      <c r="B22" s="4" t="s">
        <v>790</v>
      </c>
      <c r="C22" s="4">
        <v>1346</v>
      </c>
      <c r="D22" s="4">
        <v>610</v>
      </c>
      <c r="E22" s="4">
        <v>736</v>
      </c>
    </row>
    <row r="23" spans="1:5" ht="15.75" x14ac:dyDescent="0.25">
      <c r="A23" s="4">
        <v>10</v>
      </c>
      <c r="B23" s="4" t="s">
        <v>534</v>
      </c>
      <c r="C23" s="4">
        <v>1050</v>
      </c>
      <c r="D23" s="4">
        <v>495</v>
      </c>
      <c r="E23" s="4">
        <v>555</v>
      </c>
    </row>
    <row r="24" spans="1:5" ht="15.75" x14ac:dyDescent="0.25">
      <c r="A24" s="4">
        <v>11</v>
      </c>
      <c r="B24" s="4" t="s">
        <v>791</v>
      </c>
      <c r="C24" s="4">
        <v>1043</v>
      </c>
      <c r="D24" s="4">
        <v>465</v>
      </c>
      <c r="E24" s="4">
        <v>578</v>
      </c>
    </row>
    <row r="25" spans="1:5" ht="15.75" x14ac:dyDescent="0.25">
      <c r="A25" s="4">
        <v>12</v>
      </c>
      <c r="B25" s="4" t="s">
        <v>485</v>
      </c>
      <c r="C25" s="4">
        <v>239</v>
      </c>
      <c r="D25" s="4">
        <v>112</v>
      </c>
      <c r="E25" s="4">
        <v>127</v>
      </c>
    </row>
    <row r="26" spans="1:5" ht="15.75" x14ac:dyDescent="0.25">
      <c r="A26" s="4">
        <v>13</v>
      </c>
      <c r="B26" s="4" t="s">
        <v>792</v>
      </c>
      <c r="C26" s="4">
        <v>1551</v>
      </c>
      <c r="D26" s="4">
        <v>743</v>
      </c>
      <c r="E26" s="4">
        <v>808</v>
      </c>
    </row>
    <row r="27" spans="1:5" ht="15.75" x14ac:dyDescent="0.25">
      <c r="A27" s="4">
        <v>14</v>
      </c>
      <c r="B27" s="4" t="s">
        <v>793</v>
      </c>
      <c r="C27" s="4">
        <v>428</v>
      </c>
      <c r="D27" s="4">
        <v>199</v>
      </c>
      <c r="E27" s="4">
        <v>229</v>
      </c>
    </row>
    <row r="28" spans="1:5" ht="15.75" x14ac:dyDescent="0.25">
      <c r="A28" s="4">
        <v>15</v>
      </c>
      <c r="B28" s="4" t="s">
        <v>794</v>
      </c>
      <c r="C28" s="4">
        <v>299</v>
      </c>
      <c r="D28" s="4">
        <v>127</v>
      </c>
      <c r="E28" s="4">
        <v>172</v>
      </c>
    </row>
    <row r="29" spans="1:5" ht="15.75" x14ac:dyDescent="0.25">
      <c r="A29" s="4">
        <v>16</v>
      </c>
      <c r="B29" s="4" t="s">
        <v>795</v>
      </c>
      <c r="C29" s="4">
        <v>1017</v>
      </c>
      <c r="D29" s="4">
        <v>451</v>
      </c>
      <c r="E29" s="4">
        <v>566</v>
      </c>
    </row>
    <row r="30" spans="1:5" ht="15.75" x14ac:dyDescent="0.25">
      <c r="A30" s="4">
        <v>17</v>
      </c>
      <c r="B30" s="4" t="s">
        <v>796</v>
      </c>
      <c r="C30" s="4">
        <v>1070</v>
      </c>
      <c r="D30" s="4">
        <v>506</v>
      </c>
      <c r="E30" s="4">
        <v>564</v>
      </c>
    </row>
    <row r="31" spans="1:5" ht="15.75" x14ac:dyDescent="0.25">
      <c r="A31" s="4">
        <v>18</v>
      </c>
      <c r="B31" s="4" t="s">
        <v>797</v>
      </c>
      <c r="C31" s="4">
        <v>1038</v>
      </c>
      <c r="D31" s="4">
        <v>559</v>
      </c>
      <c r="E31" s="4">
        <v>479</v>
      </c>
    </row>
    <row r="32" spans="1:5" ht="15.75" x14ac:dyDescent="0.25">
      <c r="A32" s="4">
        <v>19</v>
      </c>
      <c r="B32" s="4" t="s">
        <v>798</v>
      </c>
      <c r="C32" s="4">
        <v>479</v>
      </c>
      <c r="D32" s="4">
        <v>233</v>
      </c>
      <c r="E32" s="4">
        <v>246</v>
      </c>
    </row>
    <row r="33" spans="1:5" ht="15.75" x14ac:dyDescent="0.25">
      <c r="A33" s="4">
        <v>20</v>
      </c>
      <c r="B33" s="4" t="s">
        <v>799</v>
      </c>
      <c r="C33" s="4">
        <v>1961</v>
      </c>
      <c r="D33" s="4">
        <v>943</v>
      </c>
      <c r="E33" s="4">
        <v>1018</v>
      </c>
    </row>
    <row r="34" spans="1:5" ht="15.75" x14ac:dyDescent="0.25">
      <c r="A34" s="4">
        <v>21</v>
      </c>
      <c r="B34" s="4" t="s">
        <v>800</v>
      </c>
      <c r="C34" s="4">
        <v>498</v>
      </c>
      <c r="D34" s="4">
        <v>252</v>
      </c>
      <c r="E34" s="4">
        <v>246</v>
      </c>
    </row>
    <row r="35" spans="1:5" ht="15.75" x14ac:dyDescent="0.25">
      <c r="A35" s="4">
        <v>22</v>
      </c>
      <c r="B35" s="4" t="s">
        <v>801</v>
      </c>
      <c r="C35" s="4">
        <v>603</v>
      </c>
      <c r="D35" s="4">
        <v>288</v>
      </c>
      <c r="E35" s="4">
        <v>315</v>
      </c>
    </row>
    <row r="36" spans="1:5" ht="15.75" x14ac:dyDescent="0.25">
      <c r="A36" s="4">
        <v>23</v>
      </c>
      <c r="B36" s="4" t="s">
        <v>802</v>
      </c>
      <c r="C36" s="4">
        <v>694</v>
      </c>
      <c r="D36" s="4">
        <v>321</v>
      </c>
      <c r="E36" s="4">
        <v>373</v>
      </c>
    </row>
    <row r="37" spans="1:5" ht="15.75" x14ac:dyDescent="0.25">
      <c r="A37" s="4">
        <v>24</v>
      </c>
      <c r="B37" s="4" t="s">
        <v>803</v>
      </c>
      <c r="C37" s="4">
        <v>759</v>
      </c>
      <c r="D37" s="4">
        <v>373</v>
      </c>
      <c r="E37" s="4">
        <v>386</v>
      </c>
    </row>
    <row r="38" spans="1:5" ht="15.75" x14ac:dyDescent="0.25">
      <c r="A38" s="4">
        <v>25</v>
      </c>
      <c r="B38" s="4" t="s">
        <v>804</v>
      </c>
      <c r="C38" s="4">
        <v>229</v>
      </c>
      <c r="D38" s="4">
        <v>115</v>
      </c>
      <c r="E38" s="4">
        <v>114</v>
      </c>
    </row>
    <row r="39" spans="1:5" ht="15.75" x14ac:dyDescent="0.25">
      <c r="A39" s="4">
        <v>26</v>
      </c>
      <c r="B39" s="4" t="s">
        <v>805</v>
      </c>
      <c r="C39" s="4">
        <v>523</v>
      </c>
      <c r="D39" s="4">
        <v>253</v>
      </c>
      <c r="E39" s="4">
        <v>270</v>
      </c>
    </row>
    <row r="40" spans="1:5" ht="15.75" x14ac:dyDescent="0.25">
      <c r="A40" s="4">
        <v>27</v>
      </c>
      <c r="B40" s="4" t="s">
        <v>806</v>
      </c>
      <c r="C40" s="4">
        <v>1124</v>
      </c>
      <c r="D40" s="4">
        <v>571</v>
      </c>
      <c r="E40" s="4">
        <v>553</v>
      </c>
    </row>
    <row r="41" spans="1:5" ht="15.75" x14ac:dyDescent="0.25">
      <c r="A41" s="4">
        <v>28</v>
      </c>
      <c r="B41" s="4" t="s">
        <v>807</v>
      </c>
      <c r="C41" s="4">
        <v>1046</v>
      </c>
      <c r="D41" s="4">
        <v>491</v>
      </c>
      <c r="E41" s="4">
        <v>555</v>
      </c>
    </row>
    <row r="42" spans="1:5" ht="15.75" x14ac:dyDescent="0.25">
      <c r="A42" s="4">
        <v>29</v>
      </c>
      <c r="B42" s="4" t="s">
        <v>808</v>
      </c>
      <c r="C42" s="4">
        <v>338</v>
      </c>
      <c r="D42" s="4">
        <v>149</v>
      </c>
      <c r="E42" s="4">
        <v>189</v>
      </c>
    </row>
    <row r="43" spans="1:5" ht="15.75" x14ac:dyDescent="0.25">
      <c r="A43" s="4">
        <v>30</v>
      </c>
      <c r="B43" s="4" t="s">
        <v>809</v>
      </c>
      <c r="C43" s="4">
        <v>924</v>
      </c>
      <c r="D43" s="4">
        <v>434</v>
      </c>
      <c r="E43" s="4">
        <v>490</v>
      </c>
    </row>
    <row r="44" spans="1:5" ht="15.75" x14ac:dyDescent="0.25">
      <c r="A44" s="4">
        <v>31</v>
      </c>
      <c r="B44" s="4" t="s">
        <v>454</v>
      </c>
      <c r="C44" s="4">
        <v>980</v>
      </c>
      <c r="D44" s="4">
        <v>475</v>
      </c>
      <c r="E44" s="4">
        <v>505</v>
      </c>
    </row>
    <row r="45" spans="1:5" ht="15.75" x14ac:dyDescent="0.25">
      <c r="A45" s="4">
        <v>32</v>
      </c>
      <c r="B45" s="4" t="s">
        <v>810</v>
      </c>
      <c r="C45" s="4">
        <v>1073</v>
      </c>
      <c r="D45" s="4">
        <v>521</v>
      </c>
      <c r="E45" s="4">
        <v>552</v>
      </c>
    </row>
    <row r="46" spans="1:5" ht="15.75" x14ac:dyDescent="0.25">
      <c r="A46" s="4">
        <v>33</v>
      </c>
      <c r="B46" s="4" t="s">
        <v>811</v>
      </c>
      <c r="C46" s="4">
        <v>895</v>
      </c>
      <c r="D46" s="4">
        <v>442</v>
      </c>
      <c r="E46" s="4">
        <v>453</v>
      </c>
    </row>
    <row r="47" spans="1:5" ht="15.75" x14ac:dyDescent="0.25">
      <c r="A47" s="4">
        <v>34</v>
      </c>
      <c r="B47" s="4" t="s">
        <v>679</v>
      </c>
      <c r="C47" s="4">
        <v>476</v>
      </c>
      <c r="D47" s="4">
        <v>215</v>
      </c>
      <c r="E47" s="4">
        <v>261</v>
      </c>
    </row>
    <row r="48" spans="1:5" ht="15.75" x14ac:dyDescent="0.25">
      <c r="A48" s="4">
        <v>35</v>
      </c>
      <c r="B48" s="4" t="s">
        <v>812</v>
      </c>
      <c r="C48" s="4">
        <v>313</v>
      </c>
      <c r="D48" s="4">
        <v>146</v>
      </c>
      <c r="E48" s="4">
        <v>167</v>
      </c>
    </row>
    <row r="49" spans="1:5" ht="15.75" x14ac:dyDescent="0.25">
      <c r="A49" s="4">
        <v>36</v>
      </c>
      <c r="B49" s="4" t="s">
        <v>813</v>
      </c>
      <c r="C49" s="4">
        <v>1268</v>
      </c>
      <c r="D49" s="4">
        <v>603</v>
      </c>
      <c r="E49" s="4">
        <v>665</v>
      </c>
    </row>
    <row r="50" spans="1:5" ht="15.75" x14ac:dyDescent="0.25">
      <c r="A50" s="4">
        <v>37</v>
      </c>
      <c r="B50" s="4" t="s">
        <v>814</v>
      </c>
      <c r="C50" s="4">
        <v>1218</v>
      </c>
      <c r="D50" s="4">
        <v>611</v>
      </c>
      <c r="E50" s="4">
        <v>607</v>
      </c>
    </row>
    <row r="51" spans="1:5" ht="15.75" x14ac:dyDescent="0.25">
      <c r="A51" s="4">
        <v>38</v>
      </c>
      <c r="B51" s="4" t="s">
        <v>815</v>
      </c>
      <c r="C51" s="4">
        <v>1563</v>
      </c>
      <c r="D51" s="4">
        <v>763</v>
      </c>
      <c r="E51" s="4">
        <v>800</v>
      </c>
    </row>
    <row r="52" spans="1:5" ht="15.75" x14ac:dyDescent="0.25">
      <c r="A52" s="4">
        <v>39</v>
      </c>
      <c r="B52" s="4" t="s">
        <v>816</v>
      </c>
      <c r="C52" s="4">
        <v>491</v>
      </c>
      <c r="D52" s="4">
        <v>210</v>
      </c>
      <c r="E52" s="4">
        <v>281</v>
      </c>
    </row>
    <row r="53" spans="1:5" ht="15.75" x14ac:dyDescent="0.25">
      <c r="A53" s="4">
        <v>40</v>
      </c>
      <c r="B53" s="4" t="s">
        <v>817</v>
      </c>
      <c r="C53" s="4">
        <v>510</v>
      </c>
      <c r="D53" s="4">
        <v>249</v>
      </c>
      <c r="E53" s="4">
        <v>261</v>
      </c>
    </row>
    <row r="54" spans="1:5" ht="15.75" x14ac:dyDescent="0.25">
      <c r="A54" s="4">
        <v>41</v>
      </c>
      <c r="B54" s="4" t="s">
        <v>818</v>
      </c>
      <c r="C54" s="4">
        <v>249</v>
      </c>
      <c r="D54" s="4">
        <v>122</v>
      </c>
      <c r="E54" s="4">
        <v>127</v>
      </c>
    </row>
    <row r="55" spans="1:5" ht="15.75" x14ac:dyDescent="0.25">
      <c r="A55" s="4">
        <v>42</v>
      </c>
      <c r="B55" s="4" t="s">
        <v>819</v>
      </c>
      <c r="C55" s="4">
        <v>1468</v>
      </c>
      <c r="D55" s="4">
        <v>684</v>
      </c>
      <c r="E55" s="4">
        <v>784</v>
      </c>
    </row>
    <row r="56" spans="1:5" ht="15.75" x14ac:dyDescent="0.25">
      <c r="A56" s="4">
        <v>43</v>
      </c>
      <c r="B56" s="4" t="s">
        <v>820</v>
      </c>
      <c r="C56" s="4">
        <v>1184</v>
      </c>
      <c r="D56" s="4">
        <v>556</v>
      </c>
      <c r="E56" s="4">
        <v>628</v>
      </c>
    </row>
    <row r="57" spans="1:5" ht="15.75" x14ac:dyDescent="0.25">
      <c r="A57" s="4">
        <v>44</v>
      </c>
      <c r="B57" s="4" t="s">
        <v>821</v>
      </c>
      <c r="C57" s="4">
        <v>592</v>
      </c>
      <c r="D57" s="4">
        <v>289</v>
      </c>
      <c r="E57" s="4">
        <v>303</v>
      </c>
    </row>
    <row r="58" spans="1:5" ht="15.75" x14ac:dyDescent="0.25">
      <c r="A58" s="4">
        <v>45</v>
      </c>
      <c r="B58" s="4" t="s">
        <v>822</v>
      </c>
      <c r="C58" s="4">
        <v>1081</v>
      </c>
      <c r="D58" s="4">
        <v>492</v>
      </c>
      <c r="E58" s="4">
        <v>589</v>
      </c>
    </row>
    <row r="59" spans="1:5" ht="15.75" x14ac:dyDescent="0.25">
      <c r="A59" s="4">
        <v>46</v>
      </c>
      <c r="B59" s="4" t="s">
        <v>823</v>
      </c>
      <c r="C59" s="4">
        <v>450</v>
      </c>
      <c r="D59" s="4">
        <v>213</v>
      </c>
      <c r="E59" s="4">
        <v>237</v>
      </c>
    </row>
    <row r="60" spans="1:5" ht="15.75" x14ac:dyDescent="0.25">
      <c r="A60" s="4">
        <v>47</v>
      </c>
      <c r="B60" s="4" t="s">
        <v>824</v>
      </c>
      <c r="C60" s="4">
        <v>553</v>
      </c>
      <c r="D60" s="4">
        <v>276</v>
      </c>
      <c r="E60" s="4">
        <v>277</v>
      </c>
    </row>
    <row r="61" spans="1:5" ht="15.75" x14ac:dyDescent="0.25">
      <c r="A61" s="4">
        <v>48</v>
      </c>
      <c r="B61" s="4" t="s">
        <v>825</v>
      </c>
      <c r="C61" s="4">
        <v>237</v>
      </c>
      <c r="D61" s="4">
        <v>114</v>
      </c>
      <c r="E61" s="4">
        <v>123</v>
      </c>
    </row>
    <row r="62" spans="1:5" ht="15.75" x14ac:dyDescent="0.25">
      <c r="A62" s="4">
        <v>49</v>
      </c>
      <c r="B62" s="4" t="s">
        <v>826</v>
      </c>
      <c r="C62" s="4">
        <v>624</v>
      </c>
      <c r="D62" s="4">
        <v>305</v>
      </c>
      <c r="E62" s="4">
        <v>319</v>
      </c>
    </row>
    <row r="63" spans="1:5" ht="15.75" x14ac:dyDescent="0.25">
      <c r="A63" s="4">
        <v>50</v>
      </c>
      <c r="B63" s="4" t="s">
        <v>827</v>
      </c>
      <c r="C63" s="4">
        <v>594</v>
      </c>
      <c r="D63" s="4">
        <v>270</v>
      </c>
      <c r="E63" s="4">
        <v>324</v>
      </c>
    </row>
    <row r="64" spans="1:5" ht="15.75" x14ac:dyDescent="0.25">
      <c r="A64" s="4">
        <v>51</v>
      </c>
      <c r="B64" s="4" t="s">
        <v>828</v>
      </c>
      <c r="C64" s="4">
        <v>662</v>
      </c>
      <c r="D64" s="4">
        <v>315</v>
      </c>
      <c r="E64" s="4">
        <v>347</v>
      </c>
    </row>
    <row r="65" spans="1:5" ht="15.75" x14ac:dyDescent="0.25">
      <c r="A65" s="4">
        <v>52</v>
      </c>
      <c r="B65" s="4" t="s">
        <v>829</v>
      </c>
      <c r="C65" s="4">
        <v>523</v>
      </c>
      <c r="D65" s="4">
        <v>249</v>
      </c>
      <c r="E65" s="4">
        <v>274</v>
      </c>
    </row>
    <row r="66" spans="1:5" ht="15.75" x14ac:dyDescent="0.25">
      <c r="A66" s="4">
        <v>53</v>
      </c>
      <c r="B66" s="4" t="s">
        <v>830</v>
      </c>
      <c r="C66" s="4">
        <v>1026</v>
      </c>
      <c r="D66" s="4">
        <v>506</v>
      </c>
      <c r="E66" s="4">
        <v>520</v>
      </c>
    </row>
    <row r="67" spans="1:5" ht="15.75" x14ac:dyDescent="0.25">
      <c r="A67" s="4">
        <v>54</v>
      </c>
      <c r="B67" s="4" t="s">
        <v>831</v>
      </c>
      <c r="C67" s="4">
        <v>1480</v>
      </c>
      <c r="D67" s="4">
        <v>686</v>
      </c>
      <c r="E67" s="4">
        <v>794</v>
      </c>
    </row>
    <row r="68" spans="1:5" ht="15.75" x14ac:dyDescent="0.25">
      <c r="A68" s="4">
        <v>55</v>
      </c>
      <c r="B68" s="4" t="s">
        <v>832</v>
      </c>
      <c r="C68" s="4">
        <v>682</v>
      </c>
      <c r="D68" s="4">
        <v>290</v>
      </c>
      <c r="E68" s="4">
        <v>392</v>
      </c>
    </row>
    <row r="69" spans="1:5" ht="15.75" x14ac:dyDescent="0.25">
      <c r="A69" s="4">
        <v>56</v>
      </c>
      <c r="B69" s="4" t="s">
        <v>833</v>
      </c>
      <c r="C69" s="4">
        <v>965</v>
      </c>
      <c r="D69" s="4">
        <v>491</v>
      </c>
      <c r="E69" s="4">
        <v>474</v>
      </c>
    </row>
    <row r="70" spans="1:5" ht="15.75" x14ac:dyDescent="0.25">
      <c r="A70" s="4">
        <v>57</v>
      </c>
      <c r="B70" s="4" t="s">
        <v>834</v>
      </c>
      <c r="C70" s="4">
        <v>498</v>
      </c>
      <c r="D70" s="4">
        <v>230</v>
      </c>
      <c r="E70" s="4">
        <v>268</v>
      </c>
    </row>
    <row r="71" spans="1:5" ht="15.75" x14ac:dyDescent="0.25">
      <c r="A71" s="4">
        <v>58</v>
      </c>
      <c r="B71" s="4" t="s">
        <v>835</v>
      </c>
      <c r="C71" s="4">
        <v>504</v>
      </c>
      <c r="D71" s="4">
        <v>244</v>
      </c>
      <c r="E71" s="4">
        <v>260</v>
      </c>
    </row>
    <row r="72" spans="1:5" ht="15.75" x14ac:dyDescent="0.25">
      <c r="A72" s="4">
        <v>59</v>
      </c>
      <c r="B72" s="4" t="s">
        <v>598</v>
      </c>
      <c r="C72" s="4">
        <v>1219</v>
      </c>
      <c r="D72" s="4">
        <v>577</v>
      </c>
      <c r="E72" s="4">
        <v>642</v>
      </c>
    </row>
    <row r="73" spans="1:5" ht="15.75" x14ac:dyDescent="0.25">
      <c r="A73" s="4">
        <v>60</v>
      </c>
      <c r="B73" s="4" t="s">
        <v>836</v>
      </c>
      <c r="C73" s="4">
        <v>470</v>
      </c>
      <c r="D73" s="4">
        <v>198</v>
      </c>
      <c r="E73" s="4">
        <v>272</v>
      </c>
    </row>
    <row r="74" spans="1:5" ht="15.75" x14ac:dyDescent="0.25">
      <c r="A74" s="4">
        <v>61</v>
      </c>
      <c r="B74" s="4" t="s">
        <v>773</v>
      </c>
      <c r="C74" s="4">
        <v>607</v>
      </c>
      <c r="D74" s="4">
        <v>277</v>
      </c>
      <c r="E74" s="4">
        <v>330</v>
      </c>
    </row>
    <row r="75" spans="1:5" ht="15.75" x14ac:dyDescent="0.25">
      <c r="A75" s="4">
        <v>62</v>
      </c>
      <c r="B75" s="4" t="s">
        <v>837</v>
      </c>
      <c r="C75" s="4">
        <v>948</v>
      </c>
      <c r="D75" s="4">
        <v>468</v>
      </c>
      <c r="E75" s="4">
        <v>480</v>
      </c>
    </row>
    <row r="76" spans="1:5" ht="15.75" x14ac:dyDescent="0.25">
      <c r="A76" s="4">
        <v>63</v>
      </c>
      <c r="B76" s="4" t="s">
        <v>838</v>
      </c>
      <c r="C76" s="4">
        <v>481</v>
      </c>
      <c r="D76" s="4">
        <v>225</v>
      </c>
      <c r="E76" s="4">
        <v>256</v>
      </c>
    </row>
    <row r="77" spans="1:5" ht="15.75" x14ac:dyDescent="0.25">
      <c r="A77" s="4">
        <v>64</v>
      </c>
      <c r="B77" s="4" t="s">
        <v>839</v>
      </c>
      <c r="C77" s="4">
        <v>526</v>
      </c>
      <c r="D77" s="4">
        <v>244</v>
      </c>
      <c r="E77" s="4">
        <v>282</v>
      </c>
    </row>
    <row r="78" spans="1:5" ht="15.75" x14ac:dyDescent="0.25">
      <c r="A78" s="4">
        <v>65</v>
      </c>
      <c r="B78" s="4" t="s">
        <v>840</v>
      </c>
      <c r="C78" s="4">
        <v>590</v>
      </c>
      <c r="D78" s="4">
        <v>253</v>
      </c>
      <c r="E78" s="4">
        <v>337</v>
      </c>
    </row>
    <row r="79" spans="1:5" ht="15.75" x14ac:dyDescent="0.25">
      <c r="A79" s="4">
        <v>66</v>
      </c>
      <c r="B79" s="4" t="s">
        <v>841</v>
      </c>
      <c r="C79" s="4">
        <v>780</v>
      </c>
      <c r="D79" s="4">
        <v>342</v>
      </c>
      <c r="E79" s="4">
        <v>438</v>
      </c>
    </row>
    <row r="80" spans="1:5" ht="15.75" x14ac:dyDescent="0.25">
      <c r="A80" s="4">
        <v>67</v>
      </c>
      <c r="B80" s="4" t="s">
        <v>842</v>
      </c>
      <c r="C80" s="4">
        <v>384</v>
      </c>
      <c r="D80" s="4">
        <v>180</v>
      </c>
      <c r="E80" s="4">
        <v>204</v>
      </c>
    </row>
    <row r="81" spans="1:5" ht="15.75" x14ac:dyDescent="0.25">
      <c r="A81" s="4">
        <v>68</v>
      </c>
      <c r="B81" s="4" t="s">
        <v>843</v>
      </c>
      <c r="C81" s="4">
        <v>588</v>
      </c>
      <c r="D81" s="4">
        <v>276</v>
      </c>
      <c r="E81" s="4">
        <v>312</v>
      </c>
    </row>
    <row r="82" spans="1:5" ht="15.75" x14ac:dyDescent="0.25">
      <c r="A82" s="4">
        <v>69</v>
      </c>
      <c r="B82" s="4" t="s">
        <v>844</v>
      </c>
      <c r="C82" s="4">
        <v>655</v>
      </c>
      <c r="D82" s="4">
        <v>294</v>
      </c>
      <c r="E82" s="4">
        <v>361</v>
      </c>
    </row>
    <row r="83" spans="1:5" ht="15.75" x14ac:dyDescent="0.25">
      <c r="A83" s="4">
        <v>70</v>
      </c>
      <c r="B83" s="4" t="s">
        <v>571</v>
      </c>
      <c r="C83" s="4">
        <v>913</v>
      </c>
      <c r="D83" s="4">
        <v>414</v>
      </c>
      <c r="E83" s="4">
        <v>499</v>
      </c>
    </row>
    <row r="84" spans="1:5" ht="15.75" x14ac:dyDescent="0.25">
      <c r="A84" s="4">
        <v>71</v>
      </c>
      <c r="B84" s="4" t="s">
        <v>845</v>
      </c>
      <c r="C84" s="4">
        <v>96</v>
      </c>
      <c r="D84" s="4">
        <v>49</v>
      </c>
      <c r="E84" s="4">
        <v>47</v>
      </c>
    </row>
    <row r="85" spans="1:5" ht="15.75" x14ac:dyDescent="0.25">
      <c r="A85" s="6">
        <v>72</v>
      </c>
      <c r="B85" s="6" t="s">
        <v>846</v>
      </c>
      <c r="C85" s="6">
        <v>1165</v>
      </c>
      <c r="D85" s="6">
        <v>583</v>
      </c>
      <c r="E85" s="6">
        <v>582</v>
      </c>
    </row>
  </sheetData>
  <mergeCells count="4">
    <mergeCell ref="A4:A5"/>
    <mergeCell ref="B4:B5"/>
    <mergeCell ref="C4:E4"/>
    <mergeCell ref="A1:E1"/>
  </mergeCells>
  <hyperlinks>
    <hyperlink ref="A1:E1" location="'Lest of twonship'!A1" display="        Magway Region,Thayet District, Mindon Township"/>
  </hyperlinks>
  <pageMargins left="0.75" right="0.5" top="0.5" bottom="0.2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Views>
    <sheetView workbookViewId="0">
      <selection sqref="A1:E1"/>
    </sheetView>
  </sheetViews>
  <sheetFormatPr defaultRowHeight="15" x14ac:dyDescent="0.25"/>
  <cols>
    <col min="1" max="1" width="7.85546875" style="17" customWidth="1"/>
    <col min="2" max="2" width="27.85546875" bestFit="1" customWidth="1"/>
    <col min="3" max="5" width="15.7109375" customWidth="1"/>
  </cols>
  <sheetData>
    <row r="1" spans="1:5" ht="18.75" x14ac:dyDescent="0.25">
      <c r="A1" s="40" t="s">
        <v>1482</v>
      </c>
      <c r="B1" s="40"/>
      <c r="C1" s="40"/>
      <c r="D1" s="40"/>
      <c r="E1" s="40"/>
    </row>
    <row r="2" spans="1:5" ht="15.75" x14ac:dyDescent="0.25">
      <c r="E2" s="8" t="s">
        <v>1463</v>
      </c>
    </row>
    <row r="4" spans="1:5" ht="15.75" x14ac:dyDescent="0.25">
      <c r="A4" s="32" t="s">
        <v>1461</v>
      </c>
      <c r="B4" s="32" t="s">
        <v>1465</v>
      </c>
      <c r="C4" s="30" t="s">
        <v>1462</v>
      </c>
      <c r="D4" s="30"/>
      <c r="E4" s="30"/>
    </row>
    <row r="5" spans="1:5" ht="15.75" x14ac:dyDescent="0.25">
      <c r="A5" s="32"/>
      <c r="B5" s="32"/>
      <c r="C5" s="12" t="s">
        <v>0</v>
      </c>
      <c r="D5" s="12" t="s">
        <v>1</v>
      </c>
      <c r="E5" s="12" t="s">
        <v>2</v>
      </c>
    </row>
    <row r="6" spans="1:5" ht="24" customHeight="1" x14ac:dyDescent="0.25">
      <c r="A6" s="2"/>
      <c r="B6" s="3" t="s">
        <v>0</v>
      </c>
      <c r="C6" s="3">
        <v>75195</v>
      </c>
      <c r="D6" s="3">
        <v>35854</v>
      </c>
      <c r="E6" s="3">
        <v>39341</v>
      </c>
    </row>
    <row r="7" spans="1:5" ht="5.25" customHeight="1" x14ac:dyDescent="0.25">
      <c r="A7" s="4"/>
      <c r="B7" s="4"/>
      <c r="C7" s="4"/>
      <c r="D7" s="4"/>
      <c r="E7" s="4"/>
    </row>
    <row r="8" spans="1:5" ht="15.75" x14ac:dyDescent="0.25">
      <c r="A8" s="4"/>
      <c r="B8" s="20" t="s">
        <v>1460</v>
      </c>
      <c r="C8" s="5">
        <f>SUM(C9:C12)</f>
        <v>5202</v>
      </c>
      <c r="D8" s="5">
        <f t="shared" ref="D8:E8" si="0">SUM(D9:D12)</f>
        <v>2417</v>
      </c>
      <c r="E8" s="5">
        <f t="shared" si="0"/>
        <v>2785</v>
      </c>
    </row>
    <row r="9" spans="1:5" ht="15.75" x14ac:dyDescent="0.25">
      <c r="A9" s="18">
        <v>1</v>
      </c>
      <c r="B9" s="4" t="s">
        <v>121</v>
      </c>
      <c r="C9" s="4">
        <v>1571</v>
      </c>
      <c r="D9" s="4">
        <v>762</v>
      </c>
      <c r="E9" s="4">
        <v>809</v>
      </c>
    </row>
    <row r="10" spans="1:5" ht="15.75" x14ac:dyDescent="0.25">
      <c r="A10" s="18">
        <v>2</v>
      </c>
      <c r="B10" s="4" t="s">
        <v>122</v>
      </c>
      <c r="C10" s="4">
        <v>1438</v>
      </c>
      <c r="D10" s="4">
        <v>663</v>
      </c>
      <c r="E10" s="4">
        <v>775</v>
      </c>
    </row>
    <row r="11" spans="1:5" ht="15.75" x14ac:dyDescent="0.25">
      <c r="A11" s="18">
        <v>3</v>
      </c>
      <c r="B11" s="4" t="s">
        <v>123</v>
      </c>
      <c r="C11" s="4">
        <v>794</v>
      </c>
      <c r="D11" s="4">
        <v>366</v>
      </c>
      <c r="E11" s="4">
        <v>428</v>
      </c>
    </row>
    <row r="12" spans="1:5" ht="15.75" x14ac:dyDescent="0.25">
      <c r="A12" s="18">
        <v>4</v>
      </c>
      <c r="B12" s="4" t="s">
        <v>124</v>
      </c>
      <c r="C12" s="4">
        <v>1399</v>
      </c>
      <c r="D12" s="4">
        <v>626</v>
      </c>
      <c r="E12" s="4">
        <v>773</v>
      </c>
    </row>
    <row r="13" spans="1:5" ht="15.75" x14ac:dyDescent="0.25">
      <c r="A13" s="4"/>
      <c r="B13" s="20" t="s">
        <v>1464</v>
      </c>
      <c r="C13" s="5">
        <f>SUM(C14:C65)</f>
        <v>69993</v>
      </c>
      <c r="D13" s="5">
        <f t="shared" ref="D13:E13" si="1">SUM(D14:D65)</f>
        <v>33437</v>
      </c>
      <c r="E13" s="5">
        <f t="shared" si="1"/>
        <v>36556</v>
      </c>
    </row>
    <row r="14" spans="1:5" ht="15.75" x14ac:dyDescent="0.25">
      <c r="A14" s="18">
        <v>1</v>
      </c>
      <c r="B14" s="4" t="s">
        <v>218</v>
      </c>
      <c r="C14" s="4">
        <v>483</v>
      </c>
      <c r="D14" s="4">
        <v>205</v>
      </c>
      <c r="E14" s="4">
        <v>278</v>
      </c>
    </row>
    <row r="15" spans="1:5" ht="15.75" x14ac:dyDescent="0.25">
      <c r="A15" s="18">
        <v>2</v>
      </c>
      <c r="B15" s="4" t="s">
        <v>847</v>
      </c>
      <c r="C15" s="4">
        <v>1125</v>
      </c>
      <c r="D15" s="4">
        <v>527</v>
      </c>
      <c r="E15" s="4">
        <v>598</v>
      </c>
    </row>
    <row r="16" spans="1:5" ht="15.75" x14ac:dyDescent="0.25">
      <c r="A16" s="18">
        <v>3</v>
      </c>
      <c r="B16" s="4" t="s">
        <v>848</v>
      </c>
      <c r="C16" s="4">
        <v>949</v>
      </c>
      <c r="D16" s="4">
        <v>452</v>
      </c>
      <c r="E16" s="4">
        <v>497</v>
      </c>
    </row>
    <row r="17" spans="1:5" ht="15.75" x14ac:dyDescent="0.25">
      <c r="A17" s="18">
        <v>4</v>
      </c>
      <c r="B17" s="4" t="s">
        <v>361</v>
      </c>
      <c r="C17" s="4">
        <v>1293</v>
      </c>
      <c r="D17" s="4">
        <v>631</v>
      </c>
      <c r="E17" s="4">
        <v>662</v>
      </c>
    </row>
    <row r="18" spans="1:5" ht="15.75" x14ac:dyDescent="0.25">
      <c r="A18" s="18">
        <v>5</v>
      </c>
      <c r="B18" s="4" t="s">
        <v>849</v>
      </c>
      <c r="C18" s="4">
        <v>990</v>
      </c>
      <c r="D18" s="4">
        <v>458</v>
      </c>
      <c r="E18" s="4">
        <v>532</v>
      </c>
    </row>
    <row r="19" spans="1:5" ht="15.75" x14ac:dyDescent="0.25">
      <c r="A19" s="18">
        <v>6</v>
      </c>
      <c r="B19" s="4" t="s">
        <v>708</v>
      </c>
      <c r="C19" s="4">
        <v>1325</v>
      </c>
      <c r="D19" s="4">
        <v>649</v>
      </c>
      <c r="E19" s="4">
        <v>676</v>
      </c>
    </row>
    <row r="20" spans="1:5" ht="15.75" x14ac:dyDescent="0.25">
      <c r="A20" s="18">
        <v>7</v>
      </c>
      <c r="B20" s="4" t="s">
        <v>173</v>
      </c>
      <c r="C20" s="4">
        <v>3051</v>
      </c>
      <c r="D20" s="4">
        <v>1526</v>
      </c>
      <c r="E20" s="4">
        <v>1525</v>
      </c>
    </row>
    <row r="21" spans="1:5" ht="15.75" x14ac:dyDescent="0.25">
      <c r="A21" s="18">
        <v>8</v>
      </c>
      <c r="B21" s="4" t="s">
        <v>850</v>
      </c>
      <c r="C21" s="4">
        <v>981</v>
      </c>
      <c r="D21" s="4">
        <v>491</v>
      </c>
      <c r="E21" s="4">
        <v>490</v>
      </c>
    </row>
    <row r="22" spans="1:5" ht="15.75" x14ac:dyDescent="0.25">
      <c r="A22" s="18">
        <v>9</v>
      </c>
      <c r="B22" s="4" t="s">
        <v>851</v>
      </c>
      <c r="C22" s="4">
        <v>1751</v>
      </c>
      <c r="D22" s="4">
        <v>872</v>
      </c>
      <c r="E22" s="4">
        <v>879</v>
      </c>
    </row>
    <row r="23" spans="1:5" ht="15.75" x14ac:dyDescent="0.25">
      <c r="A23" s="18">
        <v>10</v>
      </c>
      <c r="B23" s="4" t="s">
        <v>852</v>
      </c>
      <c r="C23" s="4">
        <v>853</v>
      </c>
      <c r="D23" s="4">
        <v>450</v>
      </c>
      <c r="E23" s="4">
        <v>403</v>
      </c>
    </row>
    <row r="24" spans="1:5" ht="15.75" x14ac:dyDescent="0.25">
      <c r="A24" s="18">
        <v>11</v>
      </c>
      <c r="B24" s="4" t="s">
        <v>853</v>
      </c>
      <c r="C24" s="4">
        <v>1486</v>
      </c>
      <c r="D24" s="4">
        <v>691</v>
      </c>
      <c r="E24" s="4">
        <v>795</v>
      </c>
    </row>
    <row r="25" spans="1:5" ht="15.75" x14ac:dyDescent="0.25">
      <c r="A25" s="18">
        <v>12</v>
      </c>
      <c r="B25" s="4" t="s">
        <v>854</v>
      </c>
      <c r="C25" s="4">
        <v>688</v>
      </c>
      <c r="D25" s="4">
        <v>350</v>
      </c>
      <c r="E25" s="4">
        <v>338</v>
      </c>
    </row>
    <row r="26" spans="1:5" ht="15.75" x14ac:dyDescent="0.25">
      <c r="A26" s="18">
        <v>13</v>
      </c>
      <c r="B26" s="4" t="s">
        <v>855</v>
      </c>
      <c r="C26" s="4">
        <v>1936</v>
      </c>
      <c r="D26" s="4">
        <v>921</v>
      </c>
      <c r="E26" s="4">
        <v>1015</v>
      </c>
    </row>
    <row r="27" spans="1:5" ht="15.75" x14ac:dyDescent="0.25">
      <c r="A27" s="18">
        <v>14</v>
      </c>
      <c r="B27" s="4" t="s">
        <v>821</v>
      </c>
      <c r="C27" s="4">
        <v>1168</v>
      </c>
      <c r="D27" s="4">
        <v>578</v>
      </c>
      <c r="E27" s="4">
        <v>590</v>
      </c>
    </row>
    <row r="28" spans="1:5" ht="15.75" x14ac:dyDescent="0.25">
      <c r="A28" s="18">
        <v>15</v>
      </c>
      <c r="B28" s="4" t="s">
        <v>856</v>
      </c>
      <c r="C28" s="4">
        <v>1148</v>
      </c>
      <c r="D28" s="4">
        <v>512</v>
      </c>
      <c r="E28" s="4">
        <v>636</v>
      </c>
    </row>
    <row r="29" spans="1:5" ht="15.75" x14ac:dyDescent="0.25">
      <c r="A29" s="18">
        <v>16</v>
      </c>
      <c r="B29" s="4" t="s">
        <v>857</v>
      </c>
      <c r="C29" s="4">
        <v>947</v>
      </c>
      <c r="D29" s="4">
        <v>421</v>
      </c>
      <c r="E29" s="4">
        <v>526</v>
      </c>
    </row>
    <row r="30" spans="1:5" ht="15.75" x14ac:dyDescent="0.25">
      <c r="A30" s="18">
        <v>17</v>
      </c>
      <c r="B30" s="4" t="s">
        <v>858</v>
      </c>
      <c r="C30" s="4">
        <v>648</v>
      </c>
      <c r="D30" s="4">
        <v>304</v>
      </c>
      <c r="E30" s="4">
        <v>344</v>
      </c>
    </row>
    <row r="31" spans="1:5" ht="15.75" x14ac:dyDescent="0.25">
      <c r="A31" s="18">
        <v>18</v>
      </c>
      <c r="B31" s="4" t="s">
        <v>859</v>
      </c>
      <c r="C31" s="4">
        <v>2149</v>
      </c>
      <c r="D31" s="4">
        <v>959</v>
      </c>
      <c r="E31" s="4">
        <v>1190</v>
      </c>
    </row>
    <row r="32" spans="1:5" ht="15.75" x14ac:dyDescent="0.25">
      <c r="A32" s="18">
        <v>19</v>
      </c>
      <c r="B32" s="4" t="s">
        <v>860</v>
      </c>
      <c r="C32" s="4">
        <v>1273</v>
      </c>
      <c r="D32" s="4">
        <v>614</v>
      </c>
      <c r="E32" s="4">
        <v>659</v>
      </c>
    </row>
    <row r="33" spans="1:5" ht="15.75" x14ac:dyDescent="0.25">
      <c r="A33" s="18">
        <v>20</v>
      </c>
      <c r="B33" s="4" t="s">
        <v>861</v>
      </c>
      <c r="C33" s="4">
        <v>814</v>
      </c>
      <c r="D33" s="4">
        <v>382</v>
      </c>
      <c r="E33" s="4">
        <v>432</v>
      </c>
    </row>
    <row r="34" spans="1:5" ht="15.75" x14ac:dyDescent="0.25">
      <c r="A34" s="18">
        <v>21</v>
      </c>
      <c r="B34" s="4" t="s">
        <v>862</v>
      </c>
      <c r="C34" s="4">
        <v>1249</v>
      </c>
      <c r="D34" s="4">
        <v>583</v>
      </c>
      <c r="E34" s="4">
        <v>666</v>
      </c>
    </row>
    <row r="35" spans="1:5" ht="15.75" x14ac:dyDescent="0.25">
      <c r="A35" s="18">
        <v>22</v>
      </c>
      <c r="B35" s="4" t="s">
        <v>863</v>
      </c>
      <c r="C35" s="4">
        <v>1450</v>
      </c>
      <c r="D35" s="4">
        <v>704</v>
      </c>
      <c r="E35" s="4">
        <v>746</v>
      </c>
    </row>
    <row r="36" spans="1:5" ht="15.75" customHeight="1" x14ac:dyDescent="0.25">
      <c r="A36" s="18">
        <v>23</v>
      </c>
      <c r="B36" s="4" t="s">
        <v>864</v>
      </c>
      <c r="C36" s="4">
        <v>1248</v>
      </c>
      <c r="D36" s="4">
        <v>608</v>
      </c>
      <c r="E36" s="4">
        <v>640</v>
      </c>
    </row>
    <row r="37" spans="1:5" ht="15.75" customHeight="1" x14ac:dyDescent="0.25">
      <c r="A37" s="18">
        <v>24</v>
      </c>
      <c r="B37" s="4" t="s">
        <v>865</v>
      </c>
      <c r="C37" s="4">
        <v>1471</v>
      </c>
      <c r="D37" s="4">
        <v>752</v>
      </c>
      <c r="E37" s="4">
        <v>719</v>
      </c>
    </row>
    <row r="38" spans="1:5" ht="15.75" customHeight="1" x14ac:dyDescent="0.25">
      <c r="A38" s="18">
        <v>25</v>
      </c>
      <c r="B38" s="4" t="s">
        <v>866</v>
      </c>
      <c r="C38" s="4">
        <v>1644</v>
      </c>
      <c r="D38" s="4">
        <v>813</v>
      </c>
      <c r="E38" s="4">
        <v>831</v>
      </c>
    </row>
    <row r="39" spans="1:5" ht="15.75" customHeight="1" x14ac:dyDescent="0.25">
      <c r="A39" s="18">
        <v>26</v>
      </c>
      <c r="B39" s="4" t="s">
        <v>867</v>
      </c>
      <c r="C39" s="4">
        <v>1728</v>
      </c>
      <c r="D39" s="4">
        <v>870</v>
      </c>
      <c r="E39" s="4">
        <v>858</v>
      </c>
    </row>
    <row r="40" spans="1:5" ht="15.75" customHeight="1" x14ac:dyDescent="0.25">
      <c r="A40" s="18">
        <v>27</v>
      </c>
      <c r="B40" s="4" t="s">
        <v>868</v>
      </c>
      <c r="C40" s="4">
        <v>1280</v>
      </c>
      <c r="D40" s="4">
        <v>639</v>
      </c>
      <c r="E40" s="4">
        <v>641</v>
      </c>
    </row>
    <row r="41" spans="1:5" ht="15.75" customHeight="1" x14ac:dyDescent="0.25">
      <c r="A41" s="18">
        <v>28</v>
      </c>
      <c r="B41" s="4" t="s">
        <v>869</v>
      </c>
      <c r="C41" s="4">
        <v>649</v>
      </c>
      <c r="D41" s="4">
        <v>312</v>
      </c>
      <c r="E41" s="4">
        <v>337</v>
      </c>
    </row>
    <row r="42" spans="1:5" ht="15.75" customHeight="1" x14ac:dyDescent="0.25">
      <c r="A42" s="18">
        <v>29</v>
      </c>
      <c r="B42" s="4" t="s">
        <v>870</v>
      </c>
      <c r="C42" s="4">
        <v>1768</v>
      </c>
      <c r="D42" s="4">
        <v>831</v>
      </c>
      <c r="E42" s="4">
        <v>937</v>
      </c>
    </row>
    <row r="43" spans="1:5" ht="15.75" customHeight="1" x14ac:dyDescent="0.25">
      <c r="A43" s="18">
        <v>30</v>
      </c>
      <c r="B43" s="4" t="s">
        <v>709</v>
      </c>
      <c r="C43" s="4">
        <v>1112</v>
      </c>
      <c r="D43" s="4">
        <v>511</v>
      </c>
      <c r="E43" s="4">
        <v>601</v>
      </c>
    </row>
    <row r="44" spans="1:5" ht="15.75" customHeight="1" x14ac:dyDescent="0.25">
      <c r="A44" s="18">
        <v>31</v>
      </c>
      <c r="B44" s="4" t="s">
        <v>871</v>
      </c>
      <c r="C44" s="4">
        <v>2312</v>
      </c>
      <c r="D44" s="4">
        <v>1057</v>
      </c>
      <c r="E44" s="4">
        <v>1255</v>
      </c>
    </row>
    <row r="45" spans="1:5" ht="15.75" customHeight="1" x14ac:dyDescent="0.25">
      <c r="A45" s="18">
        <v>32</v>
      </c>
      <c r="B45" s="4" t="s">
        <v>872</v>
      </c>
      <c r="C45" s="4">
        <v>1274</v>
      </c>
      <c r="D45" s="4">
        <v>639</v>
      </c>
      <c r="E45" s="4">
        <v>635</v>
      </c>
    </row>
    <row r="46" spans="1:5" ht="15.75" customHeight="1" x14ac:dyDescent="0.25">
      <c r="A46" s="18">
        <v>33</v>
      </c>
      <c r="B46" s="4" t="s">
        <v>873</v>
      </c>
      <c r="C46" s="4">
        <v>1596</v>
      </c>
      <c r="D46" s="4">
        <v>729</v>
      </c>
      <c r="E46" s="4">
        <v>867</v>
      </c>
    </row>
    <row r="47" spans="1:5" ht="15.75" customHeight="1" x14ac:dyDescent="0.25">
      <c r="A47" s="18">
        <v>34</v>
      </c>
      <c r="B47" s="4" t="s">
        <v>874</v>
      </c>
      <c r="C47" s="4">
        <v>1361</v>
      </c>
      <c r="D47" s="4">
        <v>648</v>
      </c>
      <c r="E47" s="4">
        <v>713</v>
      </c>
    </row>
    <row r="48" spans="1:5" ht="15.75" customHeight="1" x14ac:dyDescent="0.25">
      <c r="A48" s="18">
        <v>35</v>
      </c>
      <c r="B48" s="4" t="s">
        <v>875</v>
      </c>
      <c r="C48" s="4">
        <v>1014</v>
      </c>
      <c r="D48" s="4">
        <v>513</v>
      </c>
      <c r="E48" s="4">
        <v>501</v>
      </c>
    </row>
    <row r="49" spans="1:5" ht="15.75" customHeight="1" x14ac:dyDescent="0.25">
      <c r="A49" s="18">
        <v>36</v>
      </c>
      <c r="B49" s="4" t="s">
        <v>447</v>
      </c>
      <c r="C49" s="4">
        <v>900</v>
      </c>
      <c r="D49" s="4">
        <v>428</v>
      </c>
      <c r="E49" s="4">
        <v>472</v>
      </c>
    </row>
    <row r="50" spans="1:5" ht="15.75" customHeight="1" x14ac:dyDescent="0.25">
      <c r="A50" s="18">
        <v>37</v>
      </c>
      <c r="B50" s="4" t="s">
        <v>876</v>
      </c>
      <c r="C50" s="4">
        <v>886</v>
      </c>
      <c r="D50" s="4">
        <v>415</v>
      </c>
      <c r="E50" s="4">
        <v>471</v>
      </c>
    </row>
    <row r="51" spans="1:5" ht="15.75" customHeight="1" x14ac:dyDescent="0.25">
      <c r="A51" s="18">
        <v>38</v>
      </c>
      <c r="B51" s="4" t="s">
        <v>751</v>
      </c>
      <c r="C51" s="4">
        <v>1128</v>
      </c>
      <c r="D51" s="4">
        <v>550</v>
      </c>
      <c r="E51" s="4">
        <v>578</v>
      </c>
    </row>
    <row r="52" spans="1:5" ht="15.75" customHeight="1" x14ac:dyDescent="0.25">
      <c r="A52" s="18">
        <v>39</v>
      </c>
      <c r="B52" s="4" t="s">
        <v>877</v>
      </c>
      <c r="C52" s="4">
        <v>1321</v>
      </c>
      <c r="D52" s="4">
        <v>583</v>
      </c>
      <c r="E52" s="4">
        <v>738</v>
      </c>
    </row>
    <row r="53" spans="1:5" ht="15.75" customHeight="1" x14ac:dyDescent="0.25">
      <c r="A53" s="18">
        <v>40</v>
      </c>
      <c r="B53" s="4" t="s">
        <v>878</v>
      </c>
      <c r="C53" s="4">
        <v>1288</v>
      </c>
      <c r="D53" s="4">
        <v>632</v>
      </c>
      <c r="E53" s="4">
        <v>656</v>
      </c>
    </row>
    <row r="54" spans="1:5" ht="15.75" customHeight="1" x14ac:dyDescent="0.25">
      <c r="A54" s="18">
        <v>41</v>
      </c>
      <c r="B54" s="4" t="s">
        <v>879</v>
      </c>
      <c r="C54" s="4">
        <v>1212</v>
      </c>
      <c r="D54" s="4">
        <v>576</v>
      </c>
      <c r="E54" s="4">
        <v>636</v>
      </c>
    </row>
    <row r="55" spans="1:5" ht="15.75" customHeight="1" x14ac:dyDescent="0.25">
      <c r="A55" s="18">
        <v>42</v>
      </c>
      <c r="B55" s="4" t="s">
        <v>880</v>
      </c>
      <c r="C55" s="4">
        <v>1431</v>
      </c>
      <c r="D55" s="4">
        <v>655</v>
      </c>
      <c r="E55" s="4">
        <v>776</v>
      </c>
    </row>
    <row r="56" spans="1:5" ht="15.75" customHeight="1" x14ac:dyDescent="0.25">
      <c r="A56" s="18">
        <v>43</v>
      </c>
      <c r="B56" s="4" t="s">
        <v>677</v>
      </c>
      <c r="C56" s="4">
        <v>851</v>
      </c>
      <c r="D56" s="4">
        <v>407</v>
      </c>
      <c r="E56" s="4">
        <v>444</v>
      </c>
    </row>
    <row r="57" spans="1:5" ht="15.75" customHeight="1" x14ac:dyDescent="0.25">
      <c r="A57" s="18">
        <v>44</v>
      </c>
      <c r="B57" s="4" t="s">
        <v>881</v>
      </c>
      <c r="C57" s="4">
        <v>1388</v>
      </c>
      <c r="D57" s="4">
        <v>669</v>
      </c>
      <c r="E57" s="4">
        <v>719</v>
      </c>
    </row>
    <row r="58" spans="1:5" ht="15.75" customHeight="1" x14ac:dyDescent="0.25">
      <c r="A58" s="18">
        <v>45</v>
      </c>
      <c r="B58" s="4" t="s">
        <v>882</v>
      </c>
      <c r="C58" s="4">
        <v>1469</v>
      </c>
      <c r="D58" s="4">
        <v>690</v>
      </c>
      <c r="E58" s="4">
        <v>779</v>
      </c>
    </row>
    <row r="59" spans="1:5" ht="15.75" customHeight="1" x14ac:dyDescent="0.25">
      <c r="A59" s="18">
        <v>46</v>
      </c>
      <c r="B59" s="4" t="s">
        <v>829</v>
      </c>
      <c r="C59" s="4">
        <v>1480</v>
      </c>
      <c r="D59" s="4">
        <v>705</v>
      </c>
      <c r="E59" s="4">
        <v>775</v>
      </c>
    </row>
    <row r="60" spans="1:5" ht="15.75" customHeight="1" x14ac:dyDescent="0.25">
      <c r="A60" s="18">
        <v>47</v>
      </c>
      <c r="B60" s="4" t="s">
        <v>883</v>
      </c>
      <c r="C60" s="4">
        <v>2025</v>
      </c>
      <c r="D60" s="4">
        <v>947</v>
      </c>
      <c r="E60" s="4">
        <v>1078</v>
      </c>
    </row>
    <row r="61" spans="1:5" ht="15.75" customHeight="1" x14ac:dyDescent="0.25">
      <c r="A61" s="18">
        <v>48</v>
      </c>
      <c r="B61" s="4" t="s">
        <v>884</v>
      </c>
      <c r="C61" s="4">
        <v>2210</v>
      </c>
      <c r="D61" s="4">
        <v>1026</v>
      </c>
      <c r="E61" s="4">
        <v>1184</v>
      </c>
    </row>
    <row r="62" spans="1:5" ht="15.75" customHeight="1" x14ac:dyDescent="0.25">
      <c r="A62" s="18">
        <v>49</v>
      </c>
      <c r="B62" s="4" t="s">
        <v>885</v>
      </c>
      <c r="C62" s="4">
        <v>2105</v>
      </c>
      <c r="D62" s="4">
        <v>987</v>
      </c>
      <c r="E62" s="4">
        <v>1118</v>
      </c>
    </row>
    <row r="63" spans="1:5" ht="15.75" customHeight="1" x14ac:dyDescent="0.25">
      <c r="A63" s="18">
        <v>50</v>
      </c>
      <c r="B63" s="4" t="s">
        <v>886</v>
      </c>
      <c r="C63" s="4">
        <v>1502</v>
      </c>
      <c r="D63" s="4">
        <v>753</v>
      </c>
      <c r="E63" s="4">
        <v>749</v>
      </c>
    </row>
    <row r="64" spans="1:5" ht="15.75" customHeight="1" x14ac:dyDescent="0.25">
      <c r="A64" s="18">
        <v>51</v>
      </c>
      <c r="B64" s="4" t="s">
        <v>887</v>
      </c>
      <c r="C64" s="4">
        <v>896</v>
      </c>
      <c r="D64" s="4">
        <v>409</v>
      </c>
      <c r="E64" s="4">
        <v>487</v>
      </c>
    </row>
    <row r="65" spans="1:5" ht="15.75" customHeight="1" x14ac:dyDescent="0.25">
      <c r="A65" s="19">
        <v>52</v>
      </c>
      <c r="B65" s="6" t="s">
        <v>888</v>
      </c>
      <c r="C65" s="6">
        <v>1687</v>
      </c>
      <c r="D65" s="6">
        <v>803</v>
      </c>
      <c r="E65" s="6">
        <v>884</v>
      </c>
    </row>
    <row r="66" spans="1:5" ht="15.75" customHeight="1" x14ac:dyDescent="0.25"/>
  </sheetData>
  <mergeCells count="4">
    <mergeCell ref="A4:A5"/>
    <mergeCell ref="B4:B5"/>
    <mergeCell ref="C4:E4"/>
    <mergeCell ref="A1:E1"/>
  </mergeCells>
  <hyperlinks>
    <hyperlink ref="A1:E1" location="'Lest of twonship'!A1" display="        Magway Region,Thayet District, Kamma Township"/>
  </hyperlinks>
  <pageMargins left="0.75" right="0.5" top="0.5" bottom="0.2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9"/>
  <sheetViews>
    <sheetView workbookViewId="0">
      <selection sqref="A1:E1"/>
    </sheetView>
  </sheetViews>
  <sheetFormatPr defaultRowHeight="15" x14ac:dyDescent="0.25"/>
  <cols>
    <col min="1" max="1" width="8.140625" style="17" customWidth="1"/>
    <col min="2" max="2" width="35.5703125" bestFit="1" customWidth="1"/>
    <col min="3" max="5" width="15.7109375" customWidth="1"/>
  </cols>
  <sheetData>
    <row r="1" spans="1:5" ht="18.75" x14ac:dyDescent="0.3">
      <c r="A1" s="37" t="s">
        <v>1483</v>
      </c>
      <c r="B1" s="37"/>
      <c r="C1" s="37"/>
      <c r="D1" s="37"/>
      <c r="E1" s="37"/>
    </row>
    <row r="2" spans="1:5" ht="15.75" x14ac:dyDescent="0.25">
      <c r="E2" s="8" t="s">
        <v>1463</v>
      </c>
    </row>
    <row r="3" spans="1:5" ht="14.25" customHeight="1" x14ac:dyDescent="0.25"/>
    <row r="4" spans="1:5" ht="15.75" x14ac:dyDescent="0.25">
      <c r="A4" s="32" t="s">
        <v>1461</v>
      </c>
      <c r="B4" s="32" t="s">
        <v>1465</v>
      </c>
      <c r="C4" s="30" t="s">
        <v>1462</v>
      </c>
      <c r="D4" s="30"/>
      <c r="E4" s="30"/>
    </row>
    <row r="5" spans="1:5" ht="15.75" x14ac:dyDescent="0.25">
      <c r="A5" s="32"/>
      <c r="B5" s="32"/>
      <c r="C5" s="12" t="s">
        <v>0</v>
      </c>
      <c r="D5" s="12" t="s">
        <v>1</v>
      </c>
      <c r="E5" s="12" t="s">
        <v>2</v>
      </c>
    </row>
    <row r="6" spans="1:5" ht="21.75" customHeight="1" x14ac:dyDescent="0.25">
      <c r="A6" s="2"/>
      <c r="B6" s="3" t="s">
        <v>0</v>
      </c>
      <c r="C6" s="3">
        <v>235222</v>
      </c>
      <c r="D6" s="3">
        <v>111765</v>
      </c>
      <c r="E6" s="3">
        <v>123457</v>
      </c>
    </row>
    <row r="7" spans="1:5" ht="4.5" customHeight="1" x14ac:dyDescent="0.25">
      <c r="A7" s="4"/>
      <c r="B7" s="4"/>
      <c r="C7" s="4"/>
      <c r="D7" s="4"/>
      <c r="E7" s="4"/>
    </row>
    <row r="8" spans="1:5" ht="15.75" x14ac:dyDescent="0.25">
      <c r="A8" s="4"/>
      <c r="B8" s="20" t="s">
        <v>1460</v>
      </c>
      <c r="C8" s="5">
        <f>SUM(C9:C17)</f>
        <v>52487</v>
      </c>
      <c r="D8" s="5">
        <f t="shared" ref="D8:E8" si="0">SUM(D9:D17)</f>
        <v>24632</v>
      </c>
      <c r="E8" s="5">
        <f t="shared" si="0"/>
        <v>27855</v>
      </c>
    </row>
    <row r="9" spans="1:5" ht="15.75" x14ac:dyDescent="0.25">
      <c r="A9" s="18">
        <v>1</v>
      </c>
      <c r="B9" s="4" t="s">
        <v>889</v>
      </c>
      <c r="C9" s="4">
        <v>4766</v>
      </c>
      <c r="D9" s="4">
        <v>2269</v>
      </c>
      <c r="E9" s="4">
        <v>2497</v>
      </c>
    </row>
    <row r="10" spans="1:5" ht="15.75" x14ac:dyDescent="0.25">
      <c r="A10" s="18">
        <v>2</v>
      </c>
      <c r="B10" s="4" t="s">
        <v>890</v>
      </c>
      <c r="C10" s="4">
        <v>3266</v>
      </c>
      <c r="D10" s="4">
        <v>1570</v>
      </c>
      <c r="E10" s="4">
        <v>1696</v>
      </c>
    </row>
    <row r="11" spans="1:5" ht="15.75" x14ac:dyDescent="0.25">
      <c r="A11" s="18">
        <v>3</v>
      </c>
      <c r="B11" s="4" t="s">
        <v>891</v>
      </c>
      <c r="C11" s="4">
        <v>2844</v>
      </c>
      <c r="D11" s="4">
        <v>1294</v>
      </c>
      <c r="E11" s="4">
        <v>1550</v>
      </c>
    </row>
    <row r="12" spans="1:5" ht="15.75" x14ac:dyDescent="0.25">
      <c r="A12" s="18">
        <v>4</v>
      </c>
      <c r="B12" s="4" t="s">
        <v>320</v>
      </c>
      <c r="C12" s="4">
        <v>1761</v>
      </c>
      <c r="D12" s="4">
        <v>785</v>
      </c>
      <c r="E12" s="4">
        <v>976</v>
      </c>
    </row>
    <row r="13" spans="1:5" ht="15.75" x14ac:dyDescent="0.25">
      <c r="A13" s="18">
        <v>5</v>
      </c>
      <c r="B13" s="4" t="s">
        <v>892</v>
      </c>
      <c r="C13" s="4">
        <v>5793</v>
      </c>
      <c r="D13" s="4">
        <v>2717</v>
      </c>
      <c r="E13" s="4">
        <v>3076</v>
      </c>
    </row>
    <row r="14" spans="1:5" ht="15.75" x14ac:dyDescent="0.25">
      <c r="A14" s="18">
        <v>6</v>
      </c>
      <c r="B14" s="4" t="s">
        <v>893</v>
      </c>
      <c r="C14" s="4">
        <v>5299</v>
      </c>
      <c r="D14" s="4">
        <v>2413</v>
      </c>
      <c r="E14" s="4">
        <v>2886</v>
      </c>
    </row>
    <row r="15" spans="1:5" ht="15.75" x14ac:dyDescent="0.25">
      <c r="A15" s="18">
        <v>7</v>
      </c>
      <c r="B15" s="4" t="s">
        <v>894</v>
      </c>
      <c r="C15" s="4">
        <v>7728</v>
      </c>
      <c r="D15" s="4">
        <v>3752</v>
      </c>
      <c r="E15" s="4">
        <v>3976</v>
      </c>
    </row>
    <row r="16" spans="1:5" ht="15.75" x14ac:dyDescent="0.25">
      <c r="A16" s="18">
        <v>8</v>
      </c>
      <c r="B16" s="4" t="s">
        <v>895</v>
      </c>
      <c r="C16" s="4">
        <v>10963</v>
      </c>
      <c r="D16" s="4">
        <v>5121</v>
      </c>
      <c r="E16" s="4">
        <v>5842</v>
      </c>
    </row>
    <row r="17" spans="1:5" ht="15.75" x14ac:dyDescent="0.25">
      <c r="A17" s="18">
        <v>9</v>
      </c>
      <c r="B17" s="4" t="s">
        <v>896</v>
      </c>
      <c r="C17" s="4">
        <v>10067</v>
      </c>
      <c r="D17" s="4">
        <v>4711</v>
      </c>
      <c r="E17" s="4">
        <v>5356</v>
      </c>
    </row>
    <row r="18" spans="1:5" ht="15.75" x14ac:dyDescent="0.25">
      <c r="A18" s="4"/>
      <c r="B18" s="20" t="s">
        <v>1464</v>
      </c>
      <c r="C18" s="5">
        <f>SUM(C19:C109)</f>
        <v>182735</v>
      </c>
      <c r="D18" s="5">
        <f t="shared" ref="D18:E18" si="1">SUM(D19:D109)</f>
        <v>87133</v>
      </c>
      <c r="E18" s="5">
        <f t="shared" si="1"/>
        <v>95602</v>
      </c>
    </row>
    <row r="19" spans="1:5" ht="15.75" x14ac:dyDescent="0.25">
      <c r="A19" s="18">
        <v>1</v>
      </c>
      <c r="B19" s="4" t="s">
        <v>897</v>
      </c>
      <c r="C19" s="4">
        <v>2922</v>
      </c>
      <c r="D19" s="4">
        <v>1365</v>
      </c>
      <c r="E19" s="4">
        <v>1557</v>
      </c>
    </row>
    <row r="20" spans="1:5" ht="15.75" x14ac:dyDescent="0.25">
      <c r="A20" s="18">
        <v>2</v>
      </c>
      <c r="B20" s="4" t="s">
        <v>898</v>
      </c>
      <c r="C20" s="4">
        <v>2616</v>
      </c>
      <c r="D20" s="4">
        <v>1206</v>
      </c>
      <c r="E20" s="4">
        <v>1410</v>
      </c>
    </row>
    <row r="21" spans="1:5" ht="15.75" x14ac:dyDescent="0.25">
      <c r="A21" s="18">
        <v>3</v>
      </c>
      <c r="B21" s="4" t="s">
        <v>899</v>
      </c>
      <c r="C21" s="4">
        <v>1716</v>
      </c>
      <c r="D21" s="4">
        <v>821</v>
      </c>
      <c r="E21" s="4">
        <v>895</v>
      </c>
    </row>
    <row r="22" spans="1:5" ht="15.75" x14ac:dyDescent="0.25">
      <c r="A22" s="18">
        <v>4</v>
      </c>
      <c r="B22" s="4" t="s">
        <v>900</v>
      </c>
      <c r="C22" s="4">
        <v>2440</v>
      </c>
      <c r="D22" s="4">
        <v>1147</v>
      </c>
      <c r="E22" s="4">
        <v>1293</v>
      </c>
    </row>
    <row r="23" spans="1:5" ht="15.75" x14ac:dyDescent="0.25">
      <c r="A23" s="18">
        <v>5</v>
      </c>
      <c r="B23" s="4" t="s">
        <v>901</v>
      </c>
      <c r="C23" s="4">
        <v>1827</v>
      </c>
      <c r="D23" s="4">
        <v>848</v>
      </c>
      <c r="E23" s="4">
        <v>979</v>
      </c>
    </row>
    <row r="24" spans="1:5" ht="15.75" x14ac:dyDescent="0.25">
      <c r="A24" s="18">
        <v>6</v>
      </c>
      <c r="B24" s="4" t="s">
        <v>902</v>
      </c>
      <c r="C24" s="4">
        <v>3265</v>
      </c>
      <c r="D24" s="4">
        <v>1582</v>
      </c>
      <c r="E24" s="4">
        <v>1683</v>
      </c>
    </row>
    <row r="25" spans="1:5" ht="15.75" x14ac:dyDescent="0.25">
      <c r="A25" s="18">
        <v>7</v>
      </c>
      <c r="B25" s="4" t="s">
        <v>903</v>
      </c>
      <c r="C25" s="4">
        <v>2379</v>
      </c>
      <c r="D25" s="4">
        <v>1105</v>
      </c>
      <c r="E25" s="4">
        <v>1274</v>
      </c>
    </row>
    <row r="26" spans="1:5" ht="15.75" x14ac:dyDescent="0.25">
      <c r="A26" s="18">
        <v>8</v>
      </c>
      <c r="B26" s="4" t="s">
        <v>904</v>
      </c>
      <c r="C26" s="4">
        <v>2764</v>
      </c>
      <c r="D26" s="4">
        <v>1285</v>
      </c>
      <c r="E26" s="4">
        <v>1479</v>
      </c>
    </row>
    <row r="27" spans="1:5" ht="15.75" x14ac:dyDescent="0.25">
      <c r="A27" s="18">
        <v>9</v>
      </c>
      <c r="B27" s="4" t="s">
        <v>905</v>
      </c>
      <c r="C27" s="4">
        <v>1658</v>
      </c>
      <c r="D27" s="4">
        <v>780</v>
      </c>
      <c r="E27" s="4">
        <v>878</v>
      </c>
    </row>
    <row r="28" spans="1:5" ht="15.75" x14ac:dyDescent="0.25">
      <c r="A28" s="18">
        <v>10</v>
      </c>
      <c r="B28" s="4" t="s">
        <v>906</v>
      </c>
      <c r="C28" s="4">
        <v>2763</v>
      </c>
      <c r="D28" s="4">
        <v>1306</v>
      </c>
      <c r="E28" s="4">
        <v>1457</v>
      </c>
    </row>
    <row r="29" spans="1:5" ht="15.75" x14ac:dyDescent="0.25">
      <c r="A29" s="18">
        <v>11</v>
      </c>
      <c r="B29" s="4" t="s">
        <v>907</v>
      </c>
      <c r="C29" s="4">
        <v>1259</v>
      </c>
      <c r="D29" s="4">
        <v>609</v>
      </c>
      <c r="E29" s="4">
        <v>650</v>
      </c>
    </row>
    <row r="30" spans="1:5" ht="15.75" x14ac:dyDescent="0.25">
      <c r="A30" s="18">
        <v>12</v>
      </c>
      <c r="B30" s="4" t="s">
        <v>774</v>
      </c>
      <c r="C30" s="4">
        <v>2083</v>
      </c>
      <c r="D30" s="4">
        <v>1025</v>
      </c>
      <c r="E30" s="4">
        <v>1058</v>
      </c>
    </row>
    <row r="31" spans="1:5" ht="15.75" x14ac:dyDescent="0.25">
      <c r="A31" s="18">
        <v>13</v>
      </c>
      <c r="B31" s="4" t="s">
        <v>908</v>
      </c>
      <c r="C31" s="4">
        <v>2600</v>
      </c>
      <c r="D31" s="4">
        <v>1249</v>
      </c>
      <c r="E31" s="4">
        <v>1351</v>
      </c>
    </row>
    <row r="32" spans="1:5" ht="15.75" x14ac:dyDescent="0.25">
      <c r="A32" s="18">
        <v>14</v>
      </c>
      <c r="B32" s="4" t="s">
        <v>909</v>
      </c>
      <c r="C32" s="4">
        <v>7507</v>
      </c>
      <c r="D32" s="4">
        <v>3507</v>
      </c>
      <c r="E32" s="4">
        <v>4000</v>
      </c>
    </row>
    <row r="33" spans="1:5" ht="15.75" x14ac:dyDescent="0.25">
      <c r="A33" s="18">
        <v>15</v>
      </c>
      <c r="B33" s="4" t="s">
        <v>910</v>
      </c>
      <c r="C33" s="4">
        <v>1048</v>
      </c>
      <c r="D33" s="4">
        <v>462</v>
      </c>
      <c r="E33" s="4">
        <v>586</v>
      </c>
    </row>
    <row r="34" spans="1:5" ht="15.75" x14ac:dyDescent="0.25">
      <c r="A34" s="18">
        <v>16</v>
      </c>
      <c r="B34" s="4" t="s">
        <v>911</v>
      </c>
      <c r="C34" s="4">
        <v>1400</v>
      </c>
      <c r="D34" s="4">
        <v>625</v>
      </c>
      <c r="E34" s="4">
        <v>775</v>
      </c>
    </row>
    <row r="35" spans="1:5" ht="15.75" x14ac:dyDescent="0.25">
      <c r="A35" s="18">
        <v>17</v>
      </c>
      <c r="B35" s="4" t="s">
        <v>912</v>
      </c>
      <c r="C35" s="4">
        <v>2109</v>
      </c>
      <c r="D35" s="4">
        <v>1004</v>
      </c>
      <c r="E35" s="4">
        <v>1105</v>
      </c>
    </row>
    <row r="36" spans="1:5" ht="15.75" x14ac:dyDescent="0.25">
      <c r="A36" s="18">
        <v>18</v>
      </c>
      <c r="B36" s="4" t="s">
        <v>913</v>
      </c>
      <c r="C36" s="4">
        <v>1635</v>
      </c>
      <c r="D36" s="4">
        <v>766</v>
      </c>
      <c r="E36" s="4">
        <v>869</v>
      </c>
    </row>
    <row r="37" spans="1:5" ht="15.75" x14ac:dyDescent="0.25">
      <c r="A37" s="18">
        <v>19</v>
      </c>
      <c r="B37" s="4" t="s">
        <v>914</v>
      </c>
      <c r="C37" s="4">
        <v>1334</v>
      </c>
      <c r="D37" s="4">
        <v>636</v>
      </c>
      <c r="E37" s="4">
        <v>698</v>
      </c>
    </row>
    <row r="38" spans="1:5" ht="15.75" x14ac:dyDescent="0.25">
      <c r="A38" s="18">
        <v>20</v>
      </c>
      <c r="B38" s="4" t="s">
        <v>915</v>
      </c>
      <c r="C38" s="4">
        <v>1657</v>
      </c>
      <c r="D38" s="4">
        <v>790</v>
      </c>
      <c r="E38" s="4">
        <v>867</v>
      </c>
    </row>
    <row r="39" spans="1:5" ht="15.75" x14ac:dyDescent="0.25">
      <c r="A39" s="18">
        <v>21</v>
      </c>
      <c r="B39" s="4" t="s">
        <v>916</v>
      </c>
      <c r="C39" s="4">
        <v>2033</v>
      </c>
      <c r="D39" s="4">
        <v>1006</v>
      </c>
      <c r="E39" s="4">
        <v>1027</v>
      </c>
    </row>
    <row r="40" spans="1:5" ht="15.75" x14ac:dyDescent="0.25">
      <c r="A40" s="18">
        <v>22</v>
      </c>
      <c r="B40" s="4" t="s">
        <v>853</v>
      </c>
      <c r="C40" s="4">
        <v>1295</v>
      </c>
      <c r="D40" s="4">
        <v>626</v>
      </c>
      <c r="E40" s="4">
        <v>669</v>
      </c>
    </row>
    <row r="41" spans="1:5" ht="15.75" x14ac:dyDescent="0.25">
      <c r="A41" s="18">
        <v>23</v>
      </c>
      <c r="B41" s="4" t="s">
        <v>917</v>
      </c>
      <c r="C41" s="4">
        <v>1369</v>
      </c>
      <c r="D41" s="4">
        <v>693</v>
      </c>
      <c r="E41" s="4">
        <v>676</v>
      </c>
    </row>
    <row r="42" spans="1:5" ht="15.75" x14ac:dyDescent="0.25">
      <c r="A42" s="18">
        <v>24</v>
      </c>
      <c r="B42" s="4" t="s">
        <v>918</v>
      </c>
      <c r="C42" s="4">
        <v>1118</v>
      </c>
      <c r="D42" s="4">
        <v>511</v>
      </c>
      <c r="E42" s="4">
        <v>607</v>
      </c>
    </row>
    <row r="43" spans="1:5" ht="15.75" x14ac:dyDescent="0.25">
      <c r="A43" s="18">
        <v>25</v>
      </c>
      <c r="B43" s="4" t="s">
        <v>919</v>
      </c>
      <c r="C43" s="4">
        <v>2014</v>
      </c>
      <c r="D43" s="4">
        <v>978</v>
      </c>
      <c r="E43" s="4">
        <v>1036</v>
      </c>
    </row>
    <row r="44" spans="1:5" ht="15.75" x14ac:dyDescent="0.25">
      <c r="A44" s="18">
        <v>26</v>
      </c>
      <c r="B44" s="4" t="s">
        <v>920</v>
      </c>
      <c r="C44" s="4">
        <v>2237</v>
      </c>
      <c r="D44" s="4">
        <v>1112</v>
      </c>
      <c r="E44" s="4">
        <v>1125</v>
      </c>
    </row>
    <row r="45" spans="1:5" ht="15.75" x14ac:dyDescent="0.25">
      <c r="A45" s="18">
        <v>27</v>
      </c>
      <c r="B45" s="4" t="s">
        <v>202</v>
      </c>
      <c r="C45" s="4">
        <v>1017</v>
      </c>
      <c r="D45" s="4">
        <v>501</v>
      </c>
      <c r="E45" s="4">
        <v>516</v>
      </c>
    </row>
    <row r="46" spans="1:5" ht="15.75" x14ac:dyDescent="0.25">
      <c r="A46" s="18">
        <v>28</v>
      </c>
      <c r="B46" s="4" t="s">
        <v>921</v>
      </c>
      <c r="C46" s="4">
        <v>3918</v>
      </c>
      <c r="D46" s="4">
        <v>1950</v>
      </c>
      <c r="E46" s="4">
        <v>1968</v>
      </c>
    </row>
    <row r="47" spans="1:5" ht="15.75" x14ac:dyDescent="0.25">
      <c r="A47" s="18">
        <v>29</v>
      </c>
      <c r="B47" s="4" t="s">
        <v>922</v>
      </c>
      <c r="C47" s="4">
        <v>2384</v>
      </c>
      <c r="D47" s="4">
        <v>1110</v>
      </c>
      <c r="E47" s="4">
        <v>1274</v>
      </c>
    </row>
    <row r="48" spans="1:5" ht="15.75" x14ac:dyDescent="0.25">
      <c r="A48" s="18">
        <v>30</v>
      </c>
      <c r="B48" s="4" t="s">
        <v>923</v>
      </c>
      <c r="C48" s="4">
        <v>1403</v>
      </c>
      <c r="D48" s="4">
        <v>659</v>
      </c>
      <c r="E48" s="4">
        <v>744</v>
      </c>
    </row>
    <row r="49" spans="1:5" ht="15.75" x14ac:dyDescent="0.25">
      <c r="A49" s="18">
        <v>31</v>
      </c>
      <c r="B49" s="4" t="s">
        <v>924</v>
      </c>
      <c r="C49" s="4">
        <v>3993</v>
      </c>
      <c r="D49" s="4">
        <v>1865</v>
      </c>
      <c r="E49" s="4">
        <v>2128</v>
      </c>
    </row>
    <row r="50" spans="1:5" ht="15.75" x14ac:dyDescent="0.25">
      <c r="A50" s="18">
        <v>32</v>
      </c>
      <c r="B50" s="4" t="s">
        <v>925</v>
      </c>
      <c r="C50" s="4">
        <v>3230</v>
      </c>
      <c r="D50" s="4">
        <v>1532</v>
      </c>
      <c r="E50" s="4">
        <v>1698</v>
      </c>
    </row>
    <row r="51" spans="1:5" ht="15.75" x14ac:dyDescent="0.25">
      <c r="A51" s="18">
        <v>33</v>
      </c>
      <c r="B51" s="4" t="s">
        <v>926</v>
      </c>
      <c r="C51" s="4">
        <v>2842</v>
      </c>
      <c r="D51" s="4">
        <v>1555</v>
      </c>
      <c r="E51" s="4">
        <v>1287</v>
      </c>
    </row>
    <row r="52" spans="1:5" ht="15.75" x14ac:dyDescent="0.25">
      <c r="A52" s="18">
        <v>34</v>
      </c>
      <c r="B52" s="4" t="s">
        <v>927</v>
      </c>
      <c r="C52" s="4">
        <v>3391</v>
      </c>
      <c r="D52" s="4">
        <v>1656</v>
      </c>
      <c r="E52" s="4">
        <v>1735</v>
      </c>
    </row>
    <row r="53" spans="1:5" ht="15.75" x14ac:dyDescent="0.25">
      <c r="A53" s="18">
        <v>35</v>
      </c>
      <c r="B53" s="4" t="s">
        <v>928</v>
      </c>
      <c r="C53" s="4">
        <v>1578</v>
      </c>
      <c r="D53" s="4">
        <v>735</v>
      </c>
      <c r="E53" s="4">
        <v>843</v>
      </c>
    </row>
    <row r="54" spans="1:5" ht="15.75" x14ac:dyDescent="0.25">
      <c r="A54" s="18">
        <v>36</v>
      </c>
      <c r="B54" s="4" t="s">
        <v>929</v>
      </c>
      <c r="C54" s="4">
        <v>1462</v>
      </c>
      <c r="D54" s="4">
        <v>682</v>
      </c>
      <c r="E54" s="4">
        <v>780</v>
      </c>
    </row>
    <row r="55" spans="1:5" ht="15.75" x14ac:dyDescent="0.25">
      <c r="A55" s="18">
        <v>37</v>
      </c>
      <c r="B55" s="4" t="s">
        <v>930</v>
      </c>
      <c r="C55" s="4">
        <v>1917</v>
      </c>
      <c r="D55" s="4">
        <v>945</v>
      </c>
      <c r="E55" s="4">
        <v>972</v>
      </c>
    </row>
    <row r="56" spans="1:5" ht="15.75" x14ac:dyDescent="0.25">
      <c r="A56" s="18">
        <v>38</v>
      </c>
      <c r="B56" s="4" t="s">
        <v>931</v>
      </c>
      <c r="C56" s="4">
        <v>487</v>
      </c>
      <c r="D56" s="4">
        <v>245</v>
      </c>
      <c r="E56" s="4">
        <v>242</v>
      </c>
    </row>
    <row r="57" spans="1:5" ht="15.75" x14ac:dyDescent="0.25">
      <c r="A57" s="18">
        <v>39</v>
      </c>
      <c r="B57" s="4" t="s">
        <v>486</v>
      </c>
      <c r="C57" s="4">
        <v>3716</v>
      </c>
      <c r="D57" s="4">
        <v>1791</v>
      </c>
      <c r="E57" s="4">
        <v>1925</v>
      </c>
    </row>
    <row r="58" spans="1:5" ht="15.75" x14ac:dyDescent="0.25">
      <c r="A58" s="18">
        <v>40</v>
      </c>
      <c r="B58" s="4" t="s">
        <v>932</v>
      </c>
      <c r="C58" s="4">
        <v>1290</v>
      </c>
      <c r="D58" s="4">
        <v>608</v>
      </c>
      <c r="E58" s="4">
        <v>682</v>
      </c>
    </row>
    <row r="59" spans="1:5" ht="15.75" x14ac:dyDescent="0.25">
      <c r="A59" s="18">
        <v>41</v>
      </c>
      <c r="B59" s="4" t="s">
        <v>933</v>
      </c>
      <c r="C59" s="4">
        <v>1062</v>
      </c>
      <c r="D59" s="4">
        <v>486</v>
      </c>
      <c r="E59" s="4">
        <v>576</v>
      </c>
    </row>
    <row r="60" spans="1:5" ht="15.75" x14ac:dyDescent="0.25">
      <c r="A60" s="18">
        <v>42</v>
      </c>
      <c r="B60" s="4" t="s">
        <v>934</v>
      </c>
      <c r="C60" s="4">
        <v>1635</v>
      </c>
      <c r="D60" s="4">
        <v>735</v>
      </c>
      <c r="E60" s="4">
        <v>900</v>
      </c>
    </row>
    <row r="61" spans="1:5" ht="15.75" x14ac:dyDescent="0.25">
      <c r="A61" s="18">
        <v>43</v>
      </c>
      <c r="B61" s="4" t="s">
        <v>825</v>
      </c>
      <c r="C61" s="4">
        <v>3523</v>
      </c>
      <c r="D61" s="4">
        <v>1597</v>
      </c>
      <c r="E61" s="4">
        <v>1926</v>
      </c>
    </row>
    <row r="62" spans="1:5" ht="15.75" x14ac:dyDescent="0.25">
      <c r="A62" s="18">
        <v>44</v>
      </c>
      <c r="B62" s="4" t="s">
        <v>312</v>
      </c>
      <c r="C62" s="4">
        <v>998</v>
      </c>
      <c r="D62" s="4">
        <v>457</v>
      </c>
      <c r="E62" s="4">
        <v>541</v>
      </c>
    </row>
    <row r="63" spans="1:5" ht="15.75" x14ac:dyDescent="0.25">
      <c r="A63" s="18">
        <v>45</v>
      </c>
      <c r="B63" s="4" t="s">
        <v>935</v>
      </c>
      <c r="C63" s="4">
        <v>1772</v>
      </c>
      <c r="D63" s="4">
        <v>814</v>
      </c>
      <c r="E63" s="4">
        <v>958</v>
      </c>
    </row>
    <row r="64" spans="1:5" ht="15.75" x14ac:dyDescent="0.25">
      <c r="A64" s="18">
        <v>46</v>
      </c>
      <c r="B64" s="4" t="s">
        <v>936</v>
      </c>
      <c r="C64" s="4">
        <v>2151</v>
      </c>
      <c r="D64" s="4">
        <v>1017</v>
      </c>
      <c r="E64" s="4">
        <v>1134</v>
      </c>
    </row>
    <row r="65" spans="1:5" ht="15.75" x14ac:dyDescent="0.25">
      <c r="A65" s="18">
        <v>47</v>
      </c>
      <c r="B65" s="4" t="s">
        <v>937</v>
      </c>
      <c r="C65" s="4">
        <v>2321</v>
      </c>
      <c r="D65" s="4">
        <v>1071</v>
      </c>
      <c r="E65" s="4">
        <v>1250</v>
      </c>
    </row>
    <row r="66" spans="1:5" ht="15.75" x14ac:dyDescent="0.25">
      <c r="A66" s="18">
        <v>48</v>
      </c>
      <c r="B66" s="4" t="s">
        <v>938</v>
      </c>
      <c r="C66" s="4">
        <v>1199</v>
      </c>
      <c r="D66" s="4">
        <v>578</v>
      </c>
      <c r="E66" s="4">
        <v>621</v>
      </c>
    </row>
    <row r="67" spans="1:5" ht="15.75" x14ac:dyDescent="0.25">
      <c r="A67" s="18">
        <v>49</v>
      </c>
      <c r="B67" s="4" t="s">
        <v>939</v>
      </c>
      <c r="C67" s="4">
        <v>1802</v>
      </c>
      <c r="D67" s="4">
        <v>868</v>
      </c>
      <c r="E67" s="4">
        <v>934</v>
      </c>
    </row>
    <row r="68" spans="1:5" ht="15.75" x14ac:dyDescent="0.25">
      <c r="A68" s="18">
        <v>50</v>
      </c>
      <c r="B68" s="4" t="s">
        <v>940</v>
      </c>
      <c r="C68" s="4">
        <v>1566</v>
      </c>
      <c r="D68" s="4">
        <v>761</v>
      </c>
      <c r="E68" s="4">
        <v>805</v>
      </c>
    </row>
    <row r="69" spans="1:5" ht="15.75" x14ac:dyDescent="0.25">
      <c r="A69" s="18">
        <v>51</v>
      </c>
      <c r="B69" s="4" t="s">
        <v>941</v>
      </c>
      <c r="C69" s="4">
        <v>2134</v>
      </c>
      <c r="D69" s="4">
        <v>1057</v>
      </c>
      <c r="E69" s="4">
        <v>1077</v>
      </c>
    </row>
    <row r="70" spans="1:5" ht="15.75" x14ac:dyDescent="0.25">
      <c r="A70" s="18">
        <v>52</v>
      </c>
      <c r="B70" s="4" t="s">
        <v>942</v>
      </c>
      <c r="C70" s="4">
        <v>1377</v>
      </c>
      <c r="D70" s="4">
        <v>639</v>
      </c>
      <c r="E70" s="4">
        <v>738</v>
      </c>
    </row>
    <row r="71" spans="1:5" ht="15.75" x14ac:dyDescent="0.25">
      <c r="A71" s="18">
        <v>53</v>
      </c>
      <c r="B71" s="4" t="s">
        <v>290</v>
      </c>
      <c r="C71" s="4">
        <v>4405</v>
      </c>
      <c r="D71" s="4">
        <v>2197</v>
      </c>
      <c r="E71" s="4">
        <v>2208</v>
      </c>
    </row>
    <row r="72" spans="1:5" ht="15.75" x14ac:dyDescent="0.25">
      <c r="A72" s="18">
        <v>54</v>
      </c>
      <c r="B72" s="4" t="s">
        <v>943</v>
      </c>
      <c r="C72" s="4">
        <v>1444</v>
      </c>
      <c r="D72" s="4">
        <v>720</v>
      </c>
      <c r="E72" s="4">
        <v>724</v>
      </c>
    </row>
    <row r="73" spans="1:5" ht="15.75" x14ac:dyDescent="0.25">
      <c r="A73" s="18">
        <v>55</v>
      </c>
      <c r="B73" s="4" t="s">
        <v>944</v>
      </c>
      <c r="C73" s="4">
        <v>753</v>
      </c>
      <c r="D73" s="4">
        <v>373</v>
      </c>
      <c r="E73" s="4">
        <v>380</v>
      </c>
    </row>
    <row r="74" spans="1:5" ht="15.75" x14ac:dyDescent="0.25">
      <c r="A74" s="18">
        <v>56</v>
      </c>
      <c r="B74" s="4" t="s">
        <v>945</v>
      </c>
      <c r="C74" s="4">
        <v>2057</v>
      </c>
      <c r="D74" s="4">
        <v>1096</v>
      </c>
      <c r="E74" s="4">
        <v>961</v>
      </c>
    </row>
    <row r="75" spans="1:5" ht="15.75" x14ac:dyDescent="0.25">
      <c r="A75" s="18">
        <v>57</v>
      </c>
      <c r="B75" s="4" t="s">
        <v>105</v>
      </c>
      <c r="C75" s="4">
        <v>2315</v>
      </c>
      <c r="D75" s="4">
        <v>1142</v>
      </c>
      <c r="E75" s="4">
        <v>1173</v>
      </c>
    </row>
    <row r="76" spans="1:5" ht="15.75" x14ac:dyDescent="0.25">
      <c r="A76" s="18">
        <v>58</v>
      </c>
      <c r="B76" s="4" t="s">
        <v>946</v>
      </c>
      <c r="C76" s="4">
        <v>1892</v>
      </c>
      <c r="D76" s="4">
        <v>951</v>
      </c>
      <c r="E76" s="4">
        <v>941</v>
      </c>
    </row>
    <row r="77" spans="1:5" ht="15.75" x14ac:dyDescent="0.25">
      <c r="A77" s="18">
        <v>59</v>
      </c>
      <c r="B77" s="4" t="s">
        <v>947</v>
      </c>
      <c r="C77" s="4">
        <v>4881</v>
      </c>
      <c r="D77" s="4">
        <v>2304</v>
      </c>
      <c r="E77" s="4">
        <v>2577</v>
      </c>
    </row>
    <row r="78" spans="1:5" ht="15.75" x14ac:dyDescent="0.25">
      <c r="A78" s="18">
        <v>60</v>
      </c>
      <c r="B78" s="4" t="s">
        <v>948</v>
      </c>
      <c r="C78" s="4">
        <v>1703</v>
      </c>
      <c r="D78" s="4">
        <v>791</v>
      </c>
      <c r="E78" s="4">
        <v>912</v>
      </c>
    </row>
    <row r="79" spans="1:5" ht="15.75" x14ac:dyDescent="0.25">
      <c r="A79" s="18">
        <v>61</v>
      </c>
      <c r="B79" s="4" t="s">
        <v>949</v>
      </c>
      <c r="C79" s="4">
        <v>3112</v>
      </c>
      <c r="D79" s="4">
        <v>1501</v>
      </c>
      <c r="E79" s="4">
        <v>1611</v>
      </c>
    </row>
    <row r="80" spans="1:5" ht="15.75" x14ac:dyDescent="0.25">
      <c r="A80" s="18">
        <v>62</v>
      </c>
      <c r="B80" s="4" t="s">
        <v>950</v>
      </c>
      <c r="C80" s="4">
        <v>2593</v>
      </c>
      <c r="D80" s="4">
        <v>1188</v>
      </c>
      <c r="E80" s="4">
        <v>1405</v>
      </c>
    </row>
    <row r="81" spans="1:5" ht="15.75" x14ac:dyDescent="0.25">
      <c r="A81" s="18">
        <v>63</v>
      </c>
      <c r="B81" s="4" t="s">
        <v>951</v>
      </c>
      <c r="C81" s="4">
        <v>2242</v>
      </c>
      <c r="D81" s="4">
        <v>1012</v>
      </c>
      <c r="E81" s="4">
        <v>1230</v>
      </c>
    </row>
    <row r="82" spans="1:5" ht="15.75" x14ac:dyDescent="0.25">
      <c r="A82" s="18">
        <v>64</v>
      </c>
      <c r="B82" s="4" t="s">
        <v>952</v>
      </c>
      <c r="C82" s="4">
        <v>785</v>
      </c>
      <c r="D82" s="4">
        <v>398</v>
      </c>
      <c r="E82" s="4">
        <v>387</v>
      </c>
    </row>
    <row r="83" spans="1:5" ht="15.75" x14ac:dyDescent="0.25">
      <c r="A83" s="18">
        <v>65</v>
      </c>
      <c r="B83" s="4" t="s">
        <v>953</v>
      </c>
      <c r="C83" s="4">
        <v>2407</v>
      </c>
      <c r="D83" s="4">
        <v>1096</v>
      </c>
      <c r="E83" s="4">
        <v>1311</v>
      </c>
    </row>
    <row r="84" spans="1:5" ht="15.75" x14ac:dyDescent="0.25">
      <c r="A84" s="18">
        <v>66</v>
      </c>
      <c r="B84" s="4" t="s">
        <v>954</v>
      </c>
      <c r="C84" s="4">
        <v>3429</v>
      </c>
      <c r="D84" s="4">
        <v>1588</v>
      </c>
      <c r="E84" s="4">
        <v>1841</v>
      </c>
    </row>
    <row r="85" spans="1:5" ht="15.75" x14ac:dyDescent="0.25">
      <c r="A85" s="18">
        <v>67</v>
      </c>
      <c r="B85" s="4" t="s">
        <v>568</v>
      </c>
      <c r="C85" s="4">
        <v>3265</v>
      </c>
      <c r="D85" s="4">
        <v>1545</v>
      </c>
      <c r="E85" s="4">
        <v>1720</v>
      </c>
    </row>
    <row r="86" spans="1:5" ht="15.75" x14ac:dyDescent="0.25">
      <c r="A86" s="18">
        <v>68</v>
      </c>
      <c r="B86" s="4" t="s">
        <v>955</v>
      </c>
      <c r="C86" s="4">
        <v>2449</v>
      </c>
      <c r="D86" s="4">
        <v>1162</v>
      </c>
      <c r="E86" s="4">
        <v>1287</v>
      </c>
    </row>
    <row r="87" spans="1:5" ht="15.75" x14ac:dyDescent="0.25">
      <c r="A87" s="18">
        <v>69</v>
      </c>
      <c r="B87" s="4" t="s">
        <v>956</v>
      </c>
      <c r="C87" s="4">
        <v>4068</v>
      </c>
      <c r="D87" s="4">
        <v>1914</v>
      </c>
      <c r="E87" s="4">
        <v>2154</v>
      </c>
    </row>
    <row r="88" spans="1:5" ht="15.75" x14ac:dyDescent="0.25">
      <c r="A88" s="18">
        <v>70</v>
      </c>
      <c r="B88" s="4" t="s">
        <v>957</v>
      </c>
      <c r="C88" s="4">
        <v>899</v>
      </c>
      <c r="D88" s="4">
        <v>440</v>
      </c>
      <c r="E88" s="4">
        <v>459</v>
      </c>
    </row>
    <row r="89" spans="1:5" ht="15.75" x14ac:dyDescent="0.25">
      <c r="A89" s="18">
        <v>71</v>
      </c>
      <c r="B89" s="4" t="s">
        <v>958</v>
      </c>
      <c r="C89" s="4">
        <v>4840</v>
      </c>
      <c r="D89" s="4">
        <v>2248</v>
      </c>
      <c r="E89" s="4">
        <v>2592</v>
      </c>
    </row>
    <row r="90" spans="1:5" ht="15.75" x14ac:dyDescent="0.25">
      <c r="A90" s="18">
        <v>72</v>
      </c>
      <c r="B90" s="4" t="s">
        <v>959</v>
      </c>
      <c r="C90" s="4">
        <v>2268</v>
      </c>
      <c r="D90" s="4">
        <v>1076</v>
      </c>
      <c r="E90" s="4">
        <v>1192</v>
      </c>
    </row>
    <row r="91" spans="1:5" ht="15.75" x14ac:dyDescent="0.25">
      <c r="A91" s="18">
        <v>73</v>
      </c>
      <c r="B91" s="4" t="s">
        <v>960</v>
      </c>
      <c r="C91" s="4">
        <v>578</v>
      </c>
      <c r="D91" s="4">
        <v>295</v>
      </c>
      <c r="E91" s="4">
        <v>283</v>
      </c>
    </row>
    <row r="92" spans="1:5" ht="15.75" x14ac:dyDescent="0.25">
      <c r="A92" s="18">
        <v>74</v>
      </c>
      <c r="B92" s="4" t="s">
        <v>961</v>
      </c>
      <c r="C92" s="4">
        <v>751</v>
      </c>
      <c r="D92" s="4">
        <v>370</v>
      </c>
      <c r="E92" s="4">
        <v>381</v>
      </c>
    </row>
    <row r="93" spans="1:5" ht="15.75" x14ac:dyDescent="0.25">
      <c r="A93" s="18">
        <v>75</v>
      </c>
      <c r="B93" s="4" t="s">
        <v>962</v>
      </c>
      <c r="C93" s="4">
        <v>1165</v>
      </c>
      <c r="D93" s="4">
        <v>522</v>
      </c>
      <c r="E93" s="4">
        <v>643</v>
      </c>
    </row>
    <row r="94" spans="1:5" ht="15.75" x14ac:dyDescent="0.25">
      <c r="A94" s="18">
        <v>76</v>
      </c>
      <c r="B94" s="4" t="s">
        <v>963</v>
      </c>
      <c r="C94" s="4">
        <v>1418</v>
      </c>
      <c r="D94" s="4">
        <v>667</v>
      </c>
      <c r="E94" s="4">
        <v>751</v>
      </c>
    </row>
    <row r="95" spans="1:5" ht="15.75" x14ac:dyDescent="0.25">
      <c r="A95" s="18">
        <v>77</v>
      </c>
      <c r="B95" s="4" t="s">
        <v>964</v>
      </c>
      <c r="C95" s="4">
        <v>959</v>
      </c>
      <c r="D95" s="4">
        <v>446</v>
      </c>
      <c r="E95" s="4">
        <v>513</v>
      </c>
    </row>
    <row r="96" spans="1:5" ht="15.75" x14ac:dyDescent="0.25">
      <c r="A96" s="18">
        <v>78</v>
      </c>
      <c r="B96" s="4" t="s">
        <v>965</v>
      </c>
      <c r="C96" s="4">
        <v>936</v>
      </c>
      <c r="D96" s="4">
        <v>442</v>
      </c>
      <c r="E96" s="4">
        <v>494</v>
      </c>
    </row>
    <row r="97" spans="1:5" ht="15.75" x14ac:dyDescent="0.25">
      <c r="A97" s="18">
        <v>79</v>
      </c>
      <c r="B97" s="4" t="s">
        <v>812</v>
      </c>
      <c r="C97" s="4">
        <v>684</v>
      </c>
      <c r="D97" s="4">
        <v>324</v>
      </c>
      <c r="E97" s="4">
        <v>360</v>
      </c>
    </row>
    <row r="98" spans="1:5" ht="15.75" x14ac:dyDescent="0.25">
      <c r="A98" s="18">
        <v>80</v>
      </c>
      <c r="B98" s="4" t="s">
        <v>966</v>
      </c>
      <c r="C98" s="4">
        <v>936</v>
      </c>
      <c r="D98" s="4">
        <v>456</v>
      </c>
      <c r="E98" s="4">
        <v>480</v>
      </c>
    </row>
    <row r="99" spans="1:5" ht="15.75" x14ac:dyDescent="0.25">
      <c r="A99" s="18">
        <v>81</v>
      </c>
      <c r="B99" s="4" t="s">
        <v>967</v>
      </c>
      <c r="C99" s="4">
        <v>1265</v>
      </c>
      <c r="D99" s="4">
        <v>594</v>
      </c>
      <c r="E99" s="4">
        <v>671</v>
      </c>
    </row>
    <row r="100" spans="1:5" ht="15.75" x14ac:dyDescent="0.25">
      <c r="A100" s="18">
        <v>82</v>
      </c>
      <c r="B100" s="4" t="s">
        <v>968</v>
      </c>
      <c r="C100" s="4">
        <v>781</v>
      </c>
      <c r="D100" s="4">
        <v>365</v>
      </c>
      <c r="E100" s="4">
        <v>416</v>
      </c>
    </row>
    <row r="101" spans="1:5" ht="15.75" x14ac:dyDescent="0.25">
      <c r="A101" s="18">
        <v>83</v>
      </c>
      <c r="B101" s="4" t="s">
        <v>969</v>
      </c>
      <c r="C101" s="4">
        <v>916</v>
      </c>
      <c r="D101" s="4">
        <v>463</v>
      </c>
      <c r="E101" s="4">
        <v>453</v>
      </c>
    </row>
    <row r="102" spans="1:5" ht="15.75" x14ac:dyDescent="0.25">
      <c r="A102" s="18">
        <v>84</v>
      </c>
      <c r="B102" s="4" t="s">
        <v>970</v>
      </c>
      <c r="C102" s="4">
        <v>823</v>
      </c>
      <c r="D102" s="4">
        <v>375</v>
      </c>
      <c r="E102" s="4">
        <v>448</v>
      </c>
    </row>
    <row r="103" spans="1:5" ht="15.75" x14ac:dyDescent="0.25">
      <c r="A103" s="18">
        <v>85</v>
      </c>
      <c r="B103" s="4" t="s">
        <v>687</v>
      </c>
      <c r="C103" s="4">
        <v>1803</v>
      </c>
      <c r="D103" s="4">
        <v>834</v>
      </c>
      <c r="E103" s="4">
        <v>969</v>
      </c>
    </row>
    <row r="104" spans="1:5" ht="15.75" x14ac:dyDescent="0.25">
      <c r="A104" s="18">
        <v>86</v>
      </c>
      <c r="B104" s="4" t="s">
        <v>971</v>
      </c>
      <c r="C104" s="4">
        <v>976</v>
      </c>
      <c r="D104" s="4">
        <v>452</v>
      </c>
      <c r="E104" s="4">
        <v>524</v>
      </c>
    </row>
    <row r="105" spans="1:5" ht="15.75" x14ac:dyDescent="0.25">
      <c r="A105" s="18">
        <v>87</v>
      </c>
      <c r="B105" s="4" t="s">
        <v>972</v>
      </c>
      <c r="C105" s="4">
        <v>905</v>
      </c>
      <c r="D105" s="4">
        <v>450</v>
      </c>
      <c r="E105" s="4">
        <v>455</v>
      </c>
    </row>
    <row r="106" spans="1:5" ht="15.75" x14ac:dyDescent="0.25">
      <c r="A106" s="18">
        <v>88</v>
      </c>
      <c r="B106" s="4" t="s">
        <v>973</v>
      </c>
      <c r="C106" s="4">
        <v>1672</v>
      </c>
      <c r="D106" s="4">
        <v>827</v>
      </c>
      <c r="E106" s="4">
        <v>845</v>
      </c>
    </row>
    <row r="107" spans="1:5" ht="15.75" x14ac:dyDescent="0.25">
      <c r="A107" s="18">
        <v>89</v>
      </c>
      <c r="B107" s="4" t="s">
        <v>594</v>
      </c>
      <c r="C107" s="4">
        <v>733</v>
      </c>
      <c r="D107" s="4">
        <v>352</v>
      </c>
      <c r="E107" s="4">
        <v>381</v>
      </c>
    </row>
    <row r="108" spans="1:5" ht="15.75" x14ac:dyDescent="0.25">
      <c r="A108" s="18">
        <v>90</v>
      </c>
      <c r="B108" s="4" t="s">
        <v>548</v>
      </c>
      <c r="C108" s="4">
        <v>685</v>
      </c>
      <c r="D108" s="4">
        <v>326</v>
      </c>
      <c r="E108" s="4">
        <v>359</v>
      </c>
    </row>
    <row r="109" spans="1:5" ht="15.75" x14ac:dyDescent="0.25">
      <c r="A109" s="19">
        <v>91</v>
      </c>
      <c r="B109" s="6" t="s">
        <v>974</v>
      </c>
      <c r="C109" s="6">
        <v>1726</v>
      </c>
      <c r="D109" s="6">
        <v>873</v>
      </c>
      <c r="E109" s="6">
        <v>853</v>
      </c>
    </row>
  </sheetData>
  <mergeCells count="4">
    <mergeCell ref="A4:A5"/>
    <mergeCell ref="B4:B5"/>
    <mergeCell ref="C4:E4"/>
    <mergeCell ref="A1:E1"/>
  </mergeCells>
  <hyperlinks>
    <hyperlink ref="A1:E1" location="'Lest of twonship'!A1" display="        Magway Region,Thayet District, Aunglan Township"/>
  </hyperlinks>
  <pageMargins left="0.75" right="0.5" top="0.5" bottom="0.2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"/>
  <sheetViews>
    <sheetView workbookViewId="0">
      <selection sqref="A1:E1"/>
    </sheetView>
  </sheetViews>
  <sheetFormatPr defaultRowHeight="15" x14ac:dyDescent="0.25"/>
  <cols>
    <col min="1" max="1" width="7.28515625" customWidth="1"/>
    <col min="2" max="2" width="33.5703125" bestFit="1" customWidth="1"/>
    <col min="3" max="5" width="15.7109375" customWidth="1"/>
  </cols>
  <sheetData>
    <row r="1" spans="1:5" s="38" customFormat="1" ht="18.75" x14ac:dyDescent="0.3">
      <c r="A1" s="37" t="s">
        <v>1484</v>
      </c>
      <c r="B1" s="37"/>
      <c r="C1" s="37"/>
      <c r="D1" s="37"/>
      <c r="E1" s="37"/>
    </row>
    <row r="2" spans="1:5" ht="15.75" x14ac:dyDescent="0.25">
      <c r="E2" s="8" t="s">
        <v>1463</v>
      </c>
    </row>
    <row r="4" spans="1:5" ht="15.75" x14ac:dyDescent="0.25">
      <c r="A4" s="32" t="s">
        <v>1461</v>
      </c>
      <c r="B4" s="32" t="s">
        <v>1465</v>
      </c>
      <c r="C4" s="30" t="s">
        <v>1462</v>
      </c>
      <c r="D4" s="30"/>
      <c r="E4" s="30"/>
    </row>
    <row r="5" spans="1:5" ht="15.75" x14ac:dyDescent="0.25">
      <c r="A5" s="32"/>
      <c r="B5" s="32"/>
      <c r="C5" s="12" t="s">
        <v>0</v>
      </c>
      <c r="D5" s="12" t="s">
        <v>1</v>
      </c>
      <c r="E5" s="12" t="s">
        <v>2</v>
      </c>
    </row>
    <row r="6" spans="1:5" ht="21.75" customHeight="1" x14ac:dyDescent="0.25">
      <c r="A6" s="2"/>
      <c r="B6" s="3" t="s">
        <v>0</v>
      </c>
      <c r="C6" s="3">
        <v>117844</v>
      </c>
      <c r="D6" s="3">
        <v>55789</v>
      </c>
      <c r="E6" s="3">
        <v>62055</v>
      </c>
    </row>
    <row r="7" spans="1:5" ht="6.75" customHeight="1" x14ac:dyDescent="0.25">
      <c r="A7" s="4"/>
      <c r="B7" s="4"/>
      <c r="C7" s="4"/>
      <c r="D7" s="4"/>
      <c r="E7" s="4"/>
    </row>
    <row r="8" spans="1:5" ht="15.75" x14ac:dyDescent="0.25">
      <c r="A8" s="4"/>
      <c r="B8" s="20" t="s">
        <v>1460</v>
      </c>
      <c r="C8" s="5">
        <f>SUM(C9:C11)</f>
        <v>5089</v>
      </c>
      <c r="D8" s="5">
        <f t="shared" ref="D8:E8" si="0">SUM(D9:D11)</f>
        <v>2354</v>
      </c>
      <c r="E8" s="5">
        <f t="shared" si="0"/>
        <v>2735</v>
      </c>
    </row>
    <row r="9" spans="1:5" ht="15.75" x14ac:dyDescent="0.25">
      <c r="A9" s="4">
        <v>1</v>
      </c>
      <c r="B9" s="4" t="s">
        <v>121</v>
      </c>
      <c r="C9" s="4">
        <v>1323</v>
      </c>
      <c r="D9" s="4">
        <v>603</v>
      </c>
      <c r="E9" s="4">
        <v>720</v>
      </c>
    </row>
    <row r="10" spans="1:5" ht="15.75" x14ac:dyDescent="0.25">
      <c r="A10" s="4">
        <v>2</v>
      </c>
      <c r="B10" s="4" t="s">
        <v>122</v>
      </c>
      <c r="C10" s="4">
        <v>1367</v>
      </c>
      <c r="D10" s="4">
        <v>624</v>
      </c>
      <c r="E10" s="4">
        <v>743</v>
      </c>
    </row>
    <row r="11" spans="1:5" ht="15.75" x14ac:dyDescent="0.25">
      <c r="A11" s="4">
        <v>3</v>
      </c>
      <c r="B11" s="4" t="s">
        <v>123</v>
      </c>
      <c r="C11" s="4">
        <v>2399</v>
      </c>
      <c r="D11" s="4">
        <v>1127</v>
      </c>
      <c r="E11" s="4">
        <v>1272</v>
      </c>
    </row>
    <row r="12" spans="1:5" ht="15.75" x14ac:dyDescent="0.25">
      <c r="A12" s="4"/>
      <c r="B12" s="20" t="s">
        <v>1464</v>
      </c>
      <c r="C12" s="5">
        <f>SUM(C13:C58)</f>
        <v>112755</v>
      </c>
      <c r="D12" s="5">
        <f t="shared" ref="D12:E12" si="1">SUM(D13:D58)</f>
        <v>53435</v>
      </c>
      <c r="E12" s="5">
        <f t="shared" si="1"/>
        <v>59320</v>
      </c>
    </row>
    <row r="13" spans="1:5" ht="15.75" x14ac:dyDescent="0.25">
      <c r="A13" s="4">
        <v>1</v>
      </c>
      <c r="B13" s="4" t="s">
        <v>975</v>
      </c>
      <c r="C13" s="4">
        <v>1838</v>
      </c>
      <c r="D13" s="4">
        <v>877</v>
      </c>
      <c r="E13" s="4">
        <v>961</v>
      </c>
    </row>
    <row r="14" spans="1:5" ht="15.75" x14ac:dyDescent="0.25">
      <c r="A14" s="4">
        <v>2</v>
      </c>
      <c r="B14" s="4" t="s">
        <v>976</v>
      </c>
      <c r="C14" s="4">
        <v>1435</v>
      </c>
      <c r="D14" s="4">
        <v>645</v>
      </c>
      <c r="E14" s="4">
        <v>790</v>
      </c>
    </row>
    <row r="15" spans="1:5" ht="15.75" x14ac:dyDescent="0.25">
      <c r="A15" s="4">
        <v>3</v>
      </c>
      <c r="B15" s="4" t="s">
        <v>977</v>
      </c>
      <c r="C15" s="4">
        <v>1123</v>
      </c>
      <c r="D15" s="4">
        <v>539</v>
      </c>
      <c r="E15" s="4">
        <v>584</v>
      </c>
    </row>
    <row r="16" spans="1:5" ht="15.75" x14ac:dyDescent="0.25">
      <c r="A16" s="4">
        <v>4</v>
      </c>
      <c r="B16" s="4" t="s">
        <v>145</v>
      </c>
      <c r="C16" s="4">
        <v>2318</v>
      </c>
      <c r="D16" s="4">
        <v>1083</v>
      </c>
      <c r="E16" s="4">
        <v>1235</v>
      </c>
    </row>
    <row r="17" spans="1:5" ht="15.75" x14ac:dyDescent="0.25">
      <c r="A17" s="4">
        <v>5</v>
      </c>
      <c r="B17" s="4" t="s">
        <v>978</v>
      </c>
      <c r="C17" s="4">
        <v>2146</v>
      </c>
      <c r="D17" s="4">
        <v>1014</v>
      </c>
      <c r="E17" s="4">
        <v>1132</v>
      </c>
    </row>
    <row r="18" spans="1:5" ht="15.75" x14ac:dyDescent="0.25">
      <c r="A18" s="4">
        <v>6</v>
      </c>
      <c r="B18" s="4" t="s">
        <v>979</v>
      </c>
      <c r="C18" s="4">
        <v>1243</v>
      </c>
      <c r="D18" s="4">
        <v>597</v>
      </c>
      <c r="E18" s="4">
        <v>646</v>
      </c>
    </row>
    <row r="19" spans="1:5" ht="15.75" x14ac:dyDescent="0.25">
      <c r="A19" s="4">
        <v>7</v>
      </c>
      <c r="B19" s="4" t="s">
        <v>980</v>
      </c>
      <c r="C19" s="4">
        <v>3890</v>
      </c>
      <c r="D19" s="4">
        <v>1887</v>
      </c>
      <c r="E19" s="4">
        <v>2003</v>
      </c>
    </row>
    <row r="20" spans="1:5" ht="15.75" x14ac:dyDescent="0.25">
      <c r="A20" s="4">
        <v>8</v>
      </c>
      <c r="B20" s="4" t="s">
        <v>981</v>
      </c>
      <c r="C20" s="4">
        <v>4227</v>
      </c>
      <c r="D20" s="4">
        <v>1962</v>
      </c>
      <c r="E20" s="4">
        <v>2265</v>
      </c>
    </row>
    <row r="21" spans="1:5" ht="15.75" x14ac:dyDescent="0.25">
      <c r="A21" s="4">
        <v>9</v>
      </c>
      <c r="B21" s="4" t="s">
        <v>982</v>
      </c>
      <c r="C21" s="4">
        <v>1890</v>
      </c>
      <c r="D21" s="4">
        <v>909</v>
      </c>
      <c r="E21" s="4">
        <v>981</v>
      </c>
    </row>
    <row r="22" spans="1:5" ht="15.75" x14ac:dyDescent="0.25">
      <c r="A22" s="4">
        <v>10</v>
      </c>
      <c r="B22" s="4" t="s">
        <v>983</v>
      </c>
      <c r="C22" s="4">
        <v>1955</v>
      </c>
      <c r="D22" s="4">
        <v>886</v>
      </c>
      <c r="E22" s="4">
        <v>1069</v>
      </c>
    </row>
    <row r="23" spans="1:5" ht="15.75" x14ac:dyDescent="0.25">
      <c r="A23" s="4">
        <v>11</v>
      </c>
      <c r="B23" s="4" t="s">
        <v>984</v>
      </c>
      <c r="C23" s="4">
        <v>1305</v>
      </c>
      <c r="D23" s="4">
        <v>573</v>
      </c>
      <c r="E23" s="4">
        <v>732</v>
      </c>
    </row>
    <row r="24" spans="1:5" ht="15.75" x14ac:dyDescent="0.25">
      <c r="A24" s="4">
        <v>12</v>
      </c>
      <c r="B24" s="4" t="s">
        <v>985</v>
      </c>
      <c r="C24" s="4">
        <v>1545</v>
      </c>
      <c r="D24" s="4">
        <v>732</v>
      </c>
      <c r="E24" s="4">
        <v>813</v>
      </c>
    </row>
    <row r="25" spans="1:5" ht="15.75" x14ac:dyDescent="0.25">
      <c r="A25" s="4">
        <v>13</v>
      </c>
      <c r="B25" s="4" t="s">
        <v>38</v>
      </c>
      <c r="C25" s="4">
        <v>2218</v>
      </c>
      <c r="D25" s="4">
        <v>970</v>
      </c>
      <c r="E25" s="4">
        <v>1248</v>
      </c>
    </row>
    <row r="26" spans="1:5" ht="15.75" x14ac:dyDescent="0.25">
      <c r="A26" s="4">
        <v>14</v>
      </c>
      <c r="B26" s="4" t="s">
        <v>986</v>
      </c>
      <c r="C26" s="4">
        <v>1601</v>
      </c>
      <c r="D26" s="4">
        <v>752</v>
      </c>
      <c r="E26" s="4">
        <v>849</v>
      </c>
    </row>
    <row r="27" spans="1:5" ht="15.75" x14ac:dyDescent="0.25">
      <c r="A27" s="4">
        <v>15</v>
      </c>
      <c r="B27" s="4" t="s">
        <v>987</v>
      </c>
      <c r="C27" s="4">
        <v>1128</v>
      </c>
      <c r="D27" s="4">
        <v>502</v>
      </c>
      <c r="E27" s="4">
        <v>626</v>
      </c>
    </row>
    <row r="28" spans="1:5" ht="15.75" x14ac:dyDescent="0.25">
      <c r="A28" s="4">
        <v>16</v>
      </c>
      <c r="B28" s="4" t="s">
        <v>988</v>
      </c>
      <c r="C28" s="4">
        <v>3163</v>
      </c>
      <c r="D28" s="4">
        <v>1383</v>
      </c>
      <c r="E28" s="4">
        <v>1780</v>
      </c>
    </row>
    <row r="29" spans="1:5" ht="15.75" x14ac:dyDescent="0.25">
      <c r="A29" s="4">
        <v>17</v>
      </c>
      <c r="B29" s="4" t="s">
        <v>989</v>
      </c>
      <c r="C29" s="4">
        <v>3434</v>
      </c>
      <c r="D29" s="4">
        <v>1512</v>
      </c>
      <c r="E29" s="4">
        <v>1922</v>
      </c>
    </row>
    <row r="30" spans="1:5" ht="15.75" x14ac:dyDescent="0.25">
      <c r="A30" s="4">
        <v>18</v>
      </c>
      <c r="B30" s="4" t="s">
        <v>990</v>
      </c>
      <c r="C30" s="4">
        <v>2898</v>
      </c>
      <c r="D30" s="4">
        <v>1306</v>
      </c>
      <c r="E30" s="4">
        <v>1592</v>
      </c>
    </row>
    <row r="31" spans="1:5" ht="15.75" x14ac:dyDescent="0.25">
      <c r="A31" s="4">
        <v>19</v>
      </c>
      <c r="B31" s="4" t="s">
        <v>991</v>
      </c>
      <c r="C31" s="4">
        <v>641</v>
      </c>
      <c r="D31" s="4">
        <v>288</v>
      </c>
      <c r="E31" s="4">
        <v>353</v>
      </c>
    </row>
    <row r="32" spans="1:5" ht="15.75" x14ac:dyDescent="0.25">
      <c r="A32" s="4">
        <v>20</v>
      </c>
      <c r="B32" s="4" t="s">
        <v>992</v>
      </c>
      <c r="C32" s="4">
        <v>2367</v>
      </c>
      <c r="D32" s="4">
        <v>1107</v>
      </c>
      <c r="E32" s="4">
        <v>1260</v>
      </c>
    </row>
    <row r="33" spans="1:5" ht="15.75" x14ac:dyDescent="0.25">
      <c r="A33" s="4">
        <v>21</v>
      </c>
      <c r="B33" s="4" t="s">
        <v>993</v>
      </c>
      <c r="C33" s="4">
        <v>2582</v>
      </c>
      <c r="D33" s="4">
        <v>1218</v>
      </c>
      <c r="E33" s="4">
        <v>1364</v>
      </c>
    </row>
    <row r="34" spans="1:5" ht="15.75" x14ac:dyDescent="0.25">
      <c r="A34" s="4">
        <v>22</v>
      </c>
      <c r="B34" s="4" t="s">
        <v>994</v>
      </c>
      <c r="C34" s="4">
        <v>4316</v>
      </c>
      <c r="D34" s="4">
        <v>2053</v>
      </c>
      <c r="E34" s="4">
        <v>2263</v>
      </c>
    </row>
    <row r="35" spans="1:5" ht="15.75" x14ac:dyDescent="0.25">
      <c r="A35" s="4">
        <v>23</v>
      </c>
      <c r="B35" s="4" t="s">
        <v>995</v>
      </c>
      <c r="C35" s="4">
        <v>2680</v>
      </c>
      <c r="D35" s="4">
        <v>1299</v>
      </c>
      <c r="E35" s="4">
        <v>1381</v>
      </c>
    </row>
    <row r="36" spans="1:5" ht="15.75" x14ac:dyDescent="0.25">
      <c r="A36" s="4">
        <v>24</v>
      </c>
      <c r="B36" s="4" t="s">
        <v>996</v>
      </c>
      <c r="C36" s="4">
        <v>3870</v>
      </c>
      <c r="D36" s="4">
        <v>1825</v>
      </c>
      <c r="E36" s="4">
        <v>2045</v>
      </c>
    </row>
    <row r="37" spans="1:5" ht="15.75" x14ac:dyDescent="0.25">
      <c r="A37" s="4">
        <v>25</v>
      </c>
      <c r="B37" s="4" t="s">
        <v>997</v>
      </c>
      <c r="C37" s="4">
        <v>2477</v>
      </c>
      <c r="D37" s="4">
        <v>1149</v>
      </c>
      <c r="E37" s="4">
        <v>1328</v>
      </c>
    </row>
    <row r="38" spans="1:5" ht="15.75" x14ac:dyDescent="0.25">
      <c r="A38" s="4">
        <v>26</v>
      </c>
      <c r="B38" s="4" t="s">
        <v>998</v>
      </c>
      <c r="C38" s="4">
        <v>2236</v>
      </c>
      <c r="D38" s="4">
        <v>1015</v>
      </c>
      <c r="E38" s="4">
        <v>1221</v>
      </c>
    </row>
    <row r="39" spans="1:5" ht="15.75" x14ac:dyDescent="0.25">
      <c r="A39" s="4">
        <v>27</v>
      </c>
      <c r="B39" s="4" t="s">
        <v>999</v>
      </c>
      <c r="C39" s="4">
        <v>4315</v>
      </c>
      <c r="D39" s="4">
        <v>2067</v>
      </c>
      <c r="E39" s="4">
        <v>2248</v>
      </c>
    </row>
    <row r="40" spans="1:5" ht="15.75" x14ac:dyDescent="0.25">
      <c r="A40" s="4">
        <v>28</v>
      </c>
      <c r="B40" s="4" t="s">
        <v>1000</v>
      </c>
      <c r="C40" s="4">
        <v>2837</v>
      </c>
      <c r="D40" s="4">
        <v>1339</v>
      </c>
      <c r="E40" s="4">
        <v>1498</v>
      </c>
    </row>
    <row r="41" spans="1:5" ht="15.75" x14ac:dyDescent="0.25">
      <c r="A41" s="4">
        <v>29</v>
      </c>
      <c r="B41" s="4" t="s">
        <v>1001</v>
      </c>
      <c r="C41" s="4">
        <v>1672</v>
      </c>
      <c r="D41" s="4">
        <v>772</v>
      </c>
      <c r="E41" s="4">
        <v>900</v>
      </c>
    </row>
    <row r="42" spans="1:5" ht="15.75" x14ac:dyDescent="0.25">
      <c r="A42" s="4">
        <v>30</v>
      </c>
      <c r="B42" s="4" t="s">
        <v>359</v>
      </c>
      <c r="C42" s="4">
        <v>1591</v>
      </c>
      <c r="D42" s="4">
        <v>694</v>
      </c>
      <c r="E42" s="4">
        <v>897</v>
      </c>
    </row>
    <row r="43" spans="1:5" ht="15.75" x14ac:dyDescent="0.25">
      <c r="A43" s="4">
        <v>31</v>
      </c>
      <c r="B43" s="4" t="s">
        <v>1002</v>
      </c>
      <c r="C43" s="4">
        <v>2448</v>
      </c>
      <c r="D43" s="4">
        <v>1170</v>
      </c>
      <c r="E43" s="4">
        <v>1278</v>
      </c>
    </row>
    <row r="44" spans="1:5" ht="15.75" x14ac:dyDescent="0.25">
      <c r="A44" s="4">
        <v>32</v>
      </c>
      <c r="B44" s="4" t="s">
        <v>598</v>
      </c>
      <c r="C44" s="4">
        <v>2331</v>
      </c>
      <c r="D44" s="4">
        <v>1108</v>
      </c>
      <c r="E44" s="4">
        <v>1223</v>
      </c>
    </row>
    <row r="45" spans="1:5" ht="15.75" x14ac:dyDescent="0.25">
      <c r="A45" s="4">
        <v>33</v>
      </c>
      <c r="B45" s="4" t="s">
        <v>1003</v>
      </c>
      <c r="C45" s="4">
        <v>3197</v>
      </c>
      <c r="D45" s="4">
        <v>1533</v>
      </c>
      <c r="E45" s="4">
        <v>1664</v>
      </c>
    </row>
    <row r="46" spans="1:5" ht="15.75" x14ac:dyDescent="0.25">
      <c r="A46" s="4">
        <v>34</v>
      </c>
      <c r="B46" s="4" t="s">
        <v>742</v>
      </c>
      <c r="C46" s="4">
        <v>2056</v>
      </c>
      <c r="D46" s="4">
        <v>956</v>
      </c>
      <c r="E46" s="4">
        <v>1100</v>
      </c>
    </row>
    <row r="47" spans="1:5" ht="15.75" x14ac:dyDescent="0.25">
      <c r="A47" s="4">
        <v>35</v>
      </c>
      <c r="B47" s="4" t="s">
        <v>1004</v>
      </c>
      <c r="C47" s="4">
        <v>2529</v>
      </c>
      <c r="D47" s="4">
        <v>1251</v>
      </c>
      <c r="E47" s="4">
        <v>1278</v>
      </c>
    </row>
    <row r="48" spans="1:5" ht="15.75" x14ac:dyDescent="0.25">
      <c r="A48" s="4">
        <v>36</v>
      </c>
      <c r="B48" s="4" t="s">
        <v>1005</v>
      </c>
      <c r="C48" s="4">
        <v>4072</v>
      </c>
      <c r="D48" s="4">
        <v>1975</v>
      </c>
      <c r="E48" s="4">
        <v>2097</v>
      </c>
    </row>
    <row r="49" spans="1:5" ht="15.75" x14ac:dyDescent="0.25">
      <c r="A49" s="4">
        <v>37</v>
      </c>
      <c r="B49" s="4" t="s">
        <v>1006</v>
      </c>
      <c r="C49" s="4">
        <v>1884</v>
      </c>
      <c r="D49" s="4">
        <v>948</v>
      </c>
      <c r="E49" s="4">
        <v>936</v>
      </c>
    </row>
    <row r="50" spans="1:5" ht="15.75" x14ac:dyDescent="0.25">
      <c r="A50" s="4">
        <v>38</v>
      </c>
      <c r="B50" s="4" t="s">
        <v>1007</v>
      </c>
      <c r="C50" s="4">
        <v>2110</v>
      </c>
      <c r="D50" s="4">
        <v>1054</v>
      </c>
      <c r="E50" s="4">
        <v>1056</v>
      </c>
    </row>
    <row r="51" spans="1:5" ht="15.75" x14ac:dyDescent="0.25">
      <c r="A51" s="4">
        <v>39</v>
      </c>
      <c r="B51" s="4" t="s">
        <v>1008</v>
      </c>
      <c r="C51" s="4">
        <v>1609</v>
      </c>
      <c r="D51" s="4">
        <v>846</v>
      </c>
      <c r="E51" s="4">
        <v>763</v>
      </c>
    </row>
    <row r="52" spans="1:5" ht="15.75" x14ac:dyDescent="0.25">
      <c r="A52" s="4">
        <v>40</v>
      </c>
      <c r="B52" s="4" t="s">
        <v>1009</v>
      </c>
      <c r="C52" s="4">
        <v>2954</v>
      </c>
      <c r="D52" s="4">
        <v>1400</v>
      </c>
      <c r="E52" s="4">
        <v>1554</v>
      </c>
    </row>
    <row r="53" spans="1:5" ht="15.75" x14ac:dyDescent="0.25">
      <c r="A53" s="4">
        <v>41</v>
      </c>
      <c r="B53" s="4" t="s">
        <v>1010</v>
      </c>
      <c r="C53" s="4">
        <v>2891</v>
      </c>
      <c r="D53" s="4">
        <v>1419</v>
      </c>
      <c r="E53" s="4">
        <v>1472</v>
      </c>
    </row>
    <row r="54" spans="1:5" ht="15.75" x14ac:dyDescent="0.25">
      <c r="A54" s="4">
        <v>42</v>
      </c>
      <c r="B54" s="4" t="s">
        <v>358</v>
      </c>
      <c r="C54" s="4">
        <v>1877</v>
      </c>
      <c r="D54" s="4">
        <v>928</v>
      </c>
      <c r="E54" s="4">
        <v>949</v>
      </c>
    </row>
    <row r="55" spans="1:5" ht="15.75" x14ac:dyDescent="0.25">
      <c r="A55" s="4">
        <v>43</v>
      </c>
      <c r="B55" s="4" t="s">
        <v>1011</v>
      </c>
      <c r="C55" s="4">
        <v>4155</v>
      </c>
      <c r="D55" s="4">
        <v>2018</v>
      </c>
      <c r="E55" s="4">
        <v>2137</v>
      </c>
    </row>
    <row r="56" spans="1:5" ht="15.75" x14ac:dyDescent="0.25">
      <c r="A56" s="4">
        <v>44</v>
      </c>
      <c r="B56" s="4" t="s">
        <v>1012</v>
      </c>
      <c r="C56" s="4">
        <v>3498</v>
      </c>
      <c r="D56" s="4">
        <v>1876</v>
      </c>
      <c r="E56" s="4">
        <v>1622</v>
      </c>
    </row>
    <row r="57" spans="1:5" ht="15.75" x14ac:dyDescent="0.25">
      <c r="A57" s="4">
        <v>45</v>
      </c>
      <c r="B57" s="4" t="s">
        <v>1013</v>
      </c>
      <c r="C57" s="4">
        <v>2542</v>
      </c>
      <c r="D57" s="4">
        <v>1276</v>
      </c>
      <c r="E57" s="4">
        <v>1266</v>
      </c>
    </row>
    <row r="58" spans="1:5" ht="15.75" x14ac:dyDescent="0.25">
      <c r="A58" s="6">
        <v>46</v>
      </c>
      <c r="B58" s="6" t="s">
        <v>1014</v>
      </c>
      <c r="C58" s="6">
        <v>1661</v>
      </c>
      <c r="D58" s="6">
        <v>722</v>
      </c>
      <c r="E58" s="6">
        <v>939</v>
      </c>
    </row>
    <row r="59" spans="1:5" ht="15.75" x14ac:dyDescent="0.25">
      <c r="A59" s="16"/>
      <c r="B59" s="16"/>
      <c r="C59" s="16"/>
      <c r="D59" s="16"/>
      <c r="E59" s="16"/>
    </row>
  </sheetData>
  <mergeCells count="4">
    <mergeCell ref="A4:A5"/>
    <mergeCell ref="B4:B5"/>
    <mergeCell ref="C4:E4"/>
    <mergeCell ref="A1:E1"/>
  </mergeCells>
  <hyperlinks>
    <hyperlink ref="A1:E1" location="'Lest of twonship'!A1" display="        Magway Region,Thayet District, Sinpaungwe` Township"/>
  </hyperlinks>
  <pageMargins left="0.75" right="0.5" top="0.5" bottom="0.2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"/>
  <sheetViews>
    <sheetView workbookViewId="0">
      <selection sqref="A1:E1"/>
    </sheetView>
  </sheetViews>
  <sheetFormatPr defaultRowHeight="15" x14ac:dyDescent="0.25"/>
  <cols>
    <col min="1" max="1" width="7.42578125" style="17" customWidth="1"/>
    <col min="2" max="2" width="34.5703125" bestFit="1" customWidth="1"/>
    <col min="3" max="5" width="15.7109375" customWidth="1"/>
  </cols>
  <sheetData>
    <row r="1" spans="1:5" ht="18.75" x14ac:dyDescent="0.3">
      <c r="A1" s="37" t="s">
        <v>1485</v>
      </c>
      <c r="B1" s="37"/>
      <c r="C1" s="37"/>
      <c r="D1" s="37"/>
      <c r="E1" s="37"/>
    </row>
    <row r="2" spans="1:5" ht="15.75" x14ac:dyDescent="0.25">
      <c r="E2" s="8" t="s">
        <v>1463</v>
      </c>
    </row>
    <row r="4" spans="1:5" ht="15.75" x14ac:dyDescent="0.25">
      <c r="A4" s="32" t="s">
        <v>1461</v>
      </c>
      <c r="B4" s="32" t="s">
        <v>1465</v>
      </c>
      <c r="C4" s="30" t="s">
        <v>1462</v>
      </c>
      <c r="D4" s="30"/>
      <c r="E4" s="30"/>
    </row>
    <row r="5" spans="1:5" ht="15.75" x14ac:dyDescent="0.25">
      <c r="A5" s="32"/>
      <c r="B5" s="32"/>
      <c r="C5" s="12" t="s">
        <v>0</v>
      </c>
      <c r="D5" s="12" t="s">
        <v>1</v>
      </c>
      <c r="E5" s="12" t="s">
        <v>2</v>
      </c>
    </row>
    <row r="6" spans="1:5" ht="20.25" customHeight="1" x14ac:dyDescent="0.25">
      <c r="A6" s="2"/>
      <c r="B6" s="3" t="s">
        <v>0</v>
      </c>
      <c r="C6" s="3">
        <v>290139</v>
      </c>
      <c r="D6" s="3">
        <v>130741</v>
      </c>
      <c r="E6" s="3">
        <v>159398</v>
      </c>
    </row>
    <row r="7" spans="1:5" ht="6" customHeight="1" x14ac:dyDescent="0.25">
      <c r="A7" s="4"/>
      <c r="B7" s="4"/>
      <c r="C7" s="4"/>
      <c r="D7" s="4"/>
      <c r="E7" s="4"/>
    </row>
    <row r="8" spans="1:5" ht="15.75" x14ac:dyDescent="0.25">
      <c r="A8" s="4"/>
      <c r="B8" s="20" t="s">
        <v>1460</v>
      </c>
      <c r="C8" s="5">
        <f>SUM(C9:C23)</f>
        <v>90842</v>
      </c>
      <c r="D8" s="5">
        <f t="shared" ref="D8:E8" si="0">SUM(D9:D23)</f>
        <v>41225</v>
      </c>
      <c r="E8" s="5">
        <f t="shared" si="0"/>
        <v>49617</v>
      </c>
    </row>
    <row r="9" spans="1:5" ht="15.75" x14ac:dyDescent="0.25">
      <c r="A9" s="18">
        <v>1</v>
      </c>
      <c r="B9" s="4" t="s">
        <v>121</v>
      </c>
      <c r="C9" s="4">
        <v>6758</v>
      </c>
      <c r="D9" s="4">
        <v>3377</v>
      </c>
      <c r="E9" s="4">
        <v>3381</v>
      </c>
    </row>
    <row r="10" spans="1:5" ht="15.75" x14ac:dyDescent="0.25">
      <c r="A10" s="18">
        <v>2</v>
      </c>
      <c r="B10" s="4" t="s">
        <v>122</v>
      </c>
      <c r="C10" s="4">
        <v>3372</v>
      </c>
      <c r="D10" s="4">
        <v>1407</v>
      </c>
      <c r="E10" s="4">
        <v>1965</v>
      </c>
    </row>
    <row r="11" spans="1:5" ht="15.75" x14ac:dyDescent="0.25">
      <c r="A11" s="18">
        <v>3</v>
      </c>
      <c r="B11" s="4" t="s">
        <v>123</v>
      </c>
      <c r="C11" s="4">
        <v>12515</v>
      </c>
      <c r="D11" s="4">
        <v>5367</v>
      </c>
      <c r="E11" s="4">
        <v>7148</v>
      </c>
    </row>
    <row r="12" spans="1:5" ht="15.75" x14ac:dyDescent="0.25">
      <c r="A12" s="18">
        <v>4</v>
      </c>
      <c r="B12" s="4" t="s">
        <v>124</v>
      </c>
      <c r="C12" s="4">
        <v>3354</v>
      </c>
      <c r="D12" s="4">
        <v>1382</v>
      </c>
      <c r="E12" s="4">
        <v>1972</v>
      </c>
    </row>
    <row r="13" spans="1:5" ht="15.75" x14ac:dyDescent="0.25">
      <c r="A13" s="18">
        <v>5</v>
      </c>
      <c r="B13" s="4" t="s">
        <v>125</v>
      </c>
      <c r="C13" s="4">
        <v>6241</v>
      </c>
      <c r="D13" s="4">
        <v>2761</v>
      </c>
      <c r="E13" s="4">
        <v>3480</v>
      </c>
    </row>
    <row r="14" spans="1:5" ht="15.75" x14ac:dyDescent="0.25">
      <c r="A14" s="18">
        <v>6</v>
      </c>
      <c r="B14" s="4" t="s">
        <v>126</v>
      </c>
      <c r="C14" s="4">
        <v>6064</v>
      </c>
      <c r="D14" s="4">
        <v>2718</v>
      </c>
      <c r="E14" s="4">
        <v>3346</v>
      </c>
    </row>
    <row r="15" spans="1:5" ht="15.75" x14ac:dyDescent="0.25">
      <c r="A15" s="18">
        <v>7</v>
      </c>
      <c r="B15" s="4" t="s">
        <v>127</v>
      </c>
      <c r="C15" s="4">
        <v>2855</v>
      </c>
      <c r="D15" s="4">
        <v>1240</v>
      </c>
      <c r="E15" s="4">
        <v>1615</v>
      </c>
    </row>
    <row r="16" spans="1:5" ht="15.75" x14ac:dyDescent="0.25">
      <c r="A16" s="18">
        <v>8</v>
      </c>
      <c r="B16" s="4" t="s">
        <v>128</v>
      </c>
      <c r="C16" s="4">
        <v>2794</v>
      </c>
      <c r="D16" s="4">
        <v>1273</v>
      </c>
      <c r="E16" s="4">
        <v>1521</v>
      </c>
    </row>
    <row r="17" spans="1:5" ht="15.75" x14ac:dyDescent="0.25">
      <c r="A17" s="18">
        <v>9</v>
      </c>
      <c r="B17" s="4" t="s">
        <v>129</v>
      </c>
      <c r="C17" s="4">
        <v>3053</v>
      </c>
      <c r="D17" s="4">
        <v>1305</v>
      </c>
      <c r="E17" s="4">
        <v>1748</v>
      </c>
    </row>
    <row r="18" spans="1:5" ht="15.75" x14ac:dyDescent="0.25">
      <c r="A18" s="18">
        <v>10</v>
      </c>
      <c r="B18" s="4" t="s">
        <v>130</v>
      </c>
      <c r="C18" s="4">
        <v>2903</v>
      </c>
      <c r="D18" s="4">
        <v>1470</v>
      </c>
      <c r="E18" s="4">
        <v>1433</v>
      </c>
    </row>
    <row r="19" spans="1:5" ht="15.75" x14ac:dyDescent="0.25">
      <c r="A19" s="18">
        <v>11</v>
      </c>
      <c r="B19" s="4" t="s">
        <v>131</v>
      </c>
      <c r="C19" s="4">
        <v>10240</v>
      </c>
      <c r="D19" s="4">
        <v>4616</v>
      </c>
      <c r="E19" s="4">
        <v>5624</v>
      </c>
    </row>
    <row r="20" spans="1:5" ht="15.75" x14ac:dyDescent="0.25">
      <c r="A20" s="18">
        <v>12</v>
      </c>
      <c r="B20" s="4" t="s">
        <v>132</v>
      </c>
      <c r="C20" s="4">
        <v>3587</v>
      </c>
      <c r="D20" s="4">
        <v>1667</v>
      </c>
      <c r="E20" s="4">
        <v>1920</v>
      </c>
    </row>
    <row r="21" spans="1:5" ht="15.75" x14ac:dyDescent="0.25">
      <c r="A21" s="18">
        <v>13</v>
      </c>
      <c r="B21" s="4" t="s">
        <v>133</v>
      </c>
      <c r="C21" s="4">
        <v>6094</v>
      </c>
      <c r="D21" s="4">
        <v>2957</v>
      </c>
      <c r="E21" s="4">
        <v>3137</v>
      </c>
    </row>
    <row r="22" spans="1:5" ht="15.75" x14ac:dyDescent="0.25">
      <c r="A22" s="18">
        <v>14</v>
      </c>
      <c r="B22" s="4" t="s">
        <v>134</v>
      </c>
      <c r="C22" s="4">
        <v>6463</v>
      </c>
      <c r="D22" s="4">
        <v>3025</v>
      </c>
      <c r="E22" s="4">
        <v>3438</v>
      </c>
    </row>
    <row r="23" spans="1:5" ht="15.75" x14ac:dyDescent="0.25">
      <c r="A23" s="18">
        <v>15</v>
      </c>
      <c r="B23" s="4" t="s">
        <v>1015</v>
      </c>
      <c r="C23" s="4">
        <v>14549</v>
      </c>
      <c r="D23" s="4">
        <v>6660</v>
      </c>
      <c r="E23" s="4">
        <v>7889</v>
      </c>
    </row>
    <row r="24" spans="1:5" ht="15.75" x14ac:dyDescent="0.25">
      <c r="A24" s="4"/>
      <c r="B24" s="20" t="s">
        <v>1464</v>
      </c>
      <c r="C24" s="5">
        <f>SUM(C25:C79)</f>
        <v>199297</v>
      </c>
      <c r="D24" s="5">
        <f t="shared" ref="D24:E24" si="1">SUM(D25:D79)</f>
        <v>89516</v>
      </c>
      <c r="E24" s="5">
        <f t="shared" si="1"/>
        <v>109781</v>
      </c>
    </row>
    <row r="25" spans="1:5" ht="15.75" x14ac:dyDescent="0.25">
      <c r="A25" s="18">
        <v>1</v>
      </c>
      <c r="B25" s="4" t="s">
        <v>25</v>
      </c>
      <c r="C25" s="4">
        <v>3211</v>
      </c>
      <c r="D25" s="4">
        <v>1456</v>
      </c>
      <c r="E25" s="4">
        <v>1755</v>
      </c>
    </row>
    <row r="26" spans="1:5" ht="15.75" x14ac:dyDescent="0.25">
      <c r="A26" s="18">
        <v>2</v>
      </c>
      <c r="B26" s="4" t="s">
        <v>1016</v>
      </c>
      <c r="C26" s="4">
        <v>1754</v>
      </c>
      <c r="D26" s="4">
        <v>803</v>
      </c>
      <c r="E26" s="4">
        <v>951</v>
      </c>
    </row>
    <row r="27" spans="1:5" ht="15.75" x14ac:dyDescent="0.25">
      <c r="A27" s="18">
        <v>3</v>
      </c>
      <c r="B27" s="4" t="s">
        <v>100</v>
      </c>
      <c r="C27" s="4">
        <v>10617</v>
      </c>
      <c r="D27" s="4">
        <v>4788</v>
      </c>
      <c r="E27" s="4">
        <v>5829</v>
      </c>
    </row>
    <row r="28" spans="1:5" ht="15.75" x14ac:dyDescent="0.25">
      <c r="A28" s="18">
        <v>4</v>
      </c>
      <c r="B28" s="4" t="s">
        <v>434</v>
      </c>
      <c r="C28" s="4">
        <v>2115</v>
      </c>
      <c r="D28" s="4">
        <v>970</v>
      </c>
      <c r="E28" s="4">
        <v>1145</v>
      </c>
    </row>
    <row r="29" spans="1:5" ht="15.75" x14ac:dyDescent="0.25">
      <c r="A29" s="18">
        <v>5</v>
      </c>
      <c r="B29" s="4" t="s">
        <v>287</v>
      </c>
      <c r="C29" s="4">
        <v>3036</v>
      </c>
      <c r="D29" s="4">
        <v>1285</v>
      </c>
      <c r="E29" s="4">
        <v>1751</v>
      </c>
    </row>
    <row r="30" spans="1:5" ht="15.75" x14ac:dyDescent="0.25">
      <c r="A30" s="18">
        <v>6</v>
      </c>
      <c r="B30" s="4" t="s">
        <v>1017</v>
      </c>
      <c r="C30" s="4">
        <v>2349</v>
      </c>
      <c r="D30" s="4">
        <v>1017</v>
      </c>
      <c r="E30" s="4">
        <v>1332</v>
      </c>
    </row>
    <row r="31" spans="1:5" ht="15.75" x14ac:dyDescent="0.25">
      <c r="A31" s="18">
        <v>7</v>
      </c>
      <c r="B31" s="4" t="s">
        <v>1018</v>
      </c>
      <c r="C31" s="4">
        <v>6274</v>
      </c>
      <c r="D31" s="4">
        <v>3036</v>
      </c>
      <c r="E31" s="4">
        <v>3238</v>
      </c>
    </row>
    <row r="32" spans="1:5" ht="15.75" x14ac:dyDescent="0.25">
      <c r="A32" s="18">
        <v>8</v>
      </c>
      <c r="B32" s="4" t="s">
        <v>1019</v>
      </c>
      <c r="C32" s="4">
        <v>1974</v>
      </c>
      <c r="D32" s="4">
        <v>846</v>
      </c>
      <c r="E32" s="4">
        <v>1128</v>
      </c>
    </row>
    <row r="33" spans="1:5" ht="15.75" x14ac:dyDescent="0.25">
      <c r="A33" s="18">
        <v>9</v>
      </c>
      <c r="B33" s="4" t="s">
        <v>1020</v>
      </c>
      <c r="C33" s="4">
        <v>6575</v>
      </c>
      <c r="D33" s="4">
        <v>3000</v>
      </c>
      <c r="E33" s="4">
        <v>3575</v>
      </c>
    </row>
    <row r="34" spans="1:5" ht="15.75" x14ac:dyDescent="0.25">
      <c r="A34" s="18">
        <v>10</v>
      </c>
      <c r="B34" s="4" t="s">
        <v>1021</v>
      </c>
      <c r="C34" s="4">
        <v>2518</v>
      </c>
      <c r="D34" s="4">
        <v>1099</v>
      </c>
      <c r="E34" s="4">
        <v>1419</v>
      </c>
    </row>
    <row r="35" spans="1:5" ht="15.75" x14ac:dyDescent="0.25">
      <c r="A35" s="18">
        <v>11</v>
      </c>
      <c r="B35" s="4" t="s">
        <v>1022</v>
      </c>
      <c r="C35" s="4">
        <v>296</v>
      </c>
      <c r="D35" s="4">
        <v>148</v>
      </c>
      <c r="E35" s="4">
        <v>148</v>
      </c>
    </row>
    <row r="36" spans="1:5" ht="15.75" x14ac:dyDescent="0.25">
      <c r="A36" s="18">
        <v>12</v>
      </c>
      <c r="B36" s="4" t="s">
        <v>1023</v>
      </c>
      <c r="C36" s="4">
        <v>2988</v>
      </c>
      <c r="D36" s="4">
        <v>1287</v>
      </c>
      <c r="E36" s="4">
        <v>1701</v>
      </c>
    </row>
    <row r="37" spans="1:5" ht="15.75" x14ac:dyDescent="0.25">
      <c r="A37" s="18">
        <v>13</v>
      </c>
      <c r="B37" s="4" t="s">
        <v>1024</v>
      </c>
      <c r="C37" s="4">
        <v>16637</v>
      </c>
      <c r="D37" s="4">
        <v>7762</v>
      </c>
      <c r="E37" s="4">
        <v>8875</v>
      </c>
    </row>
    <row r="38" spans="1:5" ht="15.75" x14ac:dyDescent="0.25">
      <c r="A38" s="18">
        <v>14</v>
      </c>
      <c r="B38" s="4" t="s">
        <v>1025</v>
      </c>
      <c r="C38" s="4">
        <v>1707</v>
      </c>
      <c r="D38" s="4">
        <v>758</v>
      </c>
      <c r="E38" s="4">
        <v>949</v>
      </c>
    </row>
    <row r="39" spans="1:5" ht="15.75" x14ac:dyDescent="0.25">
      <c r="A39" s="18">
        <v>15</v>
      </c>
      <c r="B39" s="4" t="s">
        <v>109</v>
      </c>
      <c r="C39" s="4">
        <v>3503</v>
      </c>
      <c r="D39" s="4">
        <v>1538</v>
      </c>
      <c r="E39" s="4">
        <v>1965</v>
      </c>
    </row>
    <row r="40" spans="1:5" ht="15.75" x14ac:dyDescent="0.25">
      <c r="A40" s="18">
        <v>16</v>
      </c>
      <c r="B40" s="4" t="s">
        <v>1026</v>
      </c>
      <c r="C40" s="4">
        <v>4456</v>
      </c>
      <c r="D40" s="4">
        <v>1922</v>
      </c>
      <c r="E40" s="4">
        <v>2534</v>
      </c>
    </row>
    <row r="41" spans="1:5" ht="15.75" x14ac:dyDescent="0.25">
      <c r="A41" s="18">
        <v>17</v>
      </c>
      <c r="B41" s="4" t="s">
        <v>1027</v>
      </c>
      <c r="C41" s="4">
        <v>3989</v>
      </c>
      <c r="D41" s="4">
        <v>1827</v>
      </c>
      <c r="E41" s="4">
        <v>2162</v>
      </c>
    </row>
    <row r="42" spans="1:5" ht="15.75" x14ac:dyDescent="0.25">
      <c r="A42" s="18">
        <v>18</v>
      </c>
      <c r="B42" s="4" t="s">
        <v>1028</v>
      </c>
      <c r="C42" s="4">
        <v>5981</v>
      </c>
      <c r="D42" s="4">
        <v>2769</v>
      </c>
      <c r="E42" s="4">
        <v>3212</v>
      </c>
    </row>
    <row r="43" spans="1:5" ht="15.75" x14ac:dyDescent="0.25">
      <c r="A43" s="18">
        <v>19</v>
      </c>
      <c r="B43" s="4" t="s">
        <v>1029</v>
      </c>
      <c r="C43" s="4">
        <v>2065</v>
      </c>
      <c r="D43" s="4">
        <v>925</v>
      </c>
      <c r="E43" s="4">
        <v>1140</v>
      </c>
    </row>
    <row r="44" spans="1:5" ht="15.75" x14ac:dyDescent="0.25">
      <c r="A44" s="18">
        <v>20</v>
      </c>
      <c r="B44" s="4" t="s">
        <v>1030</v>
      </c>
      <c r="C44" s="4">
        <v>5143</v>
      </c>
      <c r="D44" s="4">
        <v>2346</v>
      </c>
      <c r="E44" s="4">
        <v>2797</v>
      </c>
    </row>
    <row r="45" spans="1:5" ht="15.75" x14ac:dyDescent="0.25">
      <c r="A45" s="18">
        <v>21</v>
      </c>
      <c r="B45" s="4" t="s">
        <v>1031</v>
      </c>
      <c r="C45" s="4">
        <v>910</v>
      </c>
      <c r="D45" s="4">
        <v>396</v>
      </c>
      <c r="E45" s="4">
        <v>514</v>
      </c>
    </row>
    <row r="46" spans="1:5" ht="15.75" x14ac:dyDescent="0.25">
      <c r="A46" s="18">
        <v>22</v>
      </c>
      <c r="B46" s="4" t="s">
        <v>1032</v>
      </c>
      <c r="C46" s="4">
        <v>11375</v>
      </c>
      <c r="D46" s="4">
        <v>5491</v>
      </c>
      <c r="E46" s="4">
        <v>5884</v>
      </c>
    </row>
    <row r="47" spans="1:5" ht="15.75" x14ac:dyDescent="0.25">
      <c r="A47" s="18">
        <v>23</v>
      </c>
      <c r="B47" s="4" t="s">
        <v>1033</v>
      </c>
      <c r="C47" s="4">
        <v>1186</v>
      </c>
      <c r="D47" s="4">
        <v>502</v>
      </c>
      <c r="E47" s="4">
        <v>684</v>
      </c>
    </row>
    <row r="48" spans="1:5" ht="15.75" x14ac:dyDescent="0.25">
      <c r="A48" s="18">
        <v>24</v>
      </c>
      <c r="B48" s="4" t="s">
        <v>46</v>
      </c>
      <c r="C48" s="4">
        <v>2144</v>
      </c>
      <c r="D48" s="4">
        <v>893</v>
      </c>
      <c r="E48" s="4">
        <v>1251</v>
      </c>
    </row>
    <row r="49" spans="1:5" ht="15.75" x14ac:dyDescent="0.25">
      <c r="A49" s="18">
        <v>25</v>
      </c>
      <c r="B49" s="4" t="s">
        <v>215</v>
      </c>
      <c r="C49" s="4">
        <v>2905</v>
      </c>
      <c r="D49" s="4">
        <v>1244</v>
      </c>
      <c r="E49" s="4">
        <v>1661</v>
      </c>
    </row>
    <row r="50" spans="1:5" ht="15.75" x14ac:dyDescent="0.25">
      <c r="A50" s="18">
        <v>26</v>
      </c>
      <c r="B50" s="4" t="s">
        <v>1034</v>
      </c>
      <c r="C50" s="4">
        <v>2256</v>
      </c>
      <c r="D50" s="4">
        <v>961</v>
      </c>
      <c r="E50" s="4">
        <v>1295</v>
      </c>
    </row>
    <row r="51" spans="1:5" ht="15.75" x14ac:dyDescent="0.25">
      <c r="A51" s="18">
        <v>27</v>
      </c>
      <c r="B51" s="4" t="s">
        <v>1035</v>
      </c>
      <c r="C51" s="4">
        <v>2240</v>
      </c>
      <c r="D51" s="4">
        <v>972</v>
      </c>
      <c r="E51" s="4">
        <v>1268</v>
      </c>
    </row>
    <row r="52" spans="1:5" ht="15.75" x14ac:dyDescent="0.25">
      <c r="A52" s="18">
        <v>28</v>
      </c>
      <c r="B52" s="4" t="s">
        <v>1036</v>
      </c>
      <c r="C52" s="4">
        <v>1173</v>
      </c>
      <c r="D52" s="4">
        <v>523</v>
      </c>
      <c r="E52" s="4">
        <v>650</v>
      </c>
    </row>
    <row r="53" spans="1:5" ht="15.75" x14ac:dyDescent="0.25">
      <c r="A53" s="18">
        <v>29</v>
      </c>
      <c r="B53" s="4" t="s">
        <v>1037</v>
      </c>
      <c r="C53" s="4">
        <v>1511</v>
      </c>
      <c r="D53" s="4">
        <v>676</v>
      </c>
      <c r="E53" s="4">
        <v>835</v>
      </c>
    </row>
    <row r="54" spans="1:5" ht="15.75" x14ac:dyDescent="0.25">
      <c r="A54" s="18">
        <v>30</v>
      </c>
      <c r="B54" s="4" t="s">
        <v>1038</v>
      </c>
      <c r="C54" s="4">
        <v>5227</v>
      </c>
      <c r="D54" s="4">
        <v>2194</v>
      </c>
      <c r="E54" s="4">
        <v>3033</v>
      </c>
    </row>
    <row r="55" spans="1:5" ht="15.75" x14ac:dyDescent="0.25">
      <c r="A55" s="18">
        <v>31</v>
      </c>
      <c r="B55" s="4" t="s">
        <v>1039</v>
      </c>
      <c r="C55" s="4">
        <v>930</v>
      </c>
      <c r="D55" s="4">
        <v>394</v>
      </c>
      <c r="E55" s="4">
        <v>536</v>
      </c>
    </row>
    <row r="56" spans="1:5" ht="15.75" x14ac:dyDescent="0.25">
      <c r="A56" s="18">
        <v>32</v>
      </c>
      <c r="B56" s="4" t="s">
        <v>697</v>
      </c>
      <c r="C56" s="4">
        <v>5415</v>
      </c>
      <c r="D56" s="4">
        <v>2340</v>
      </c>
      <c r="E56" s="4">
        <v>3075</v>
      </c>
    </row>
    <row r="57" spans="1:5" ht="15.75" x14ac:dyDescent="0.25">
      <c r="A57" s="18">
        <v>33</v>
      </c>
      <c r="B57" s="4" t="s">
        <v>1040</v>
      </c>
      <c r="C57" s="4">
        <v>2337</v>
      </c>
      <c r="D57" s="4">
        <v>1061</v>
      </c>
      <c r="E57" s="4">
        <v>1276</v>
      </c>
    </row>
    <row r="58" spans="1:5" ht="15.75" x14ac:dyDescent="0.25">
      <c r="A58" s="18">
        <v>34</v>
      </c>
      <c r="B58" s="4" t="s">
        <v>1041</v>
      </c>
      <c r="C58" s="4">
        <v>1453</v>
      </c>
      <c r="D58" s="4">
        <v>635</v>
      </c>
      <c r="E58" s="4">
        <v>818</v>
      </c>
    </row>
    <row r="59" spans="1:5" ht="15.75" x14ac:dyDescent="0.25">
      <c r="A59" s="18">
        <v>35</v>
      </c>
      <c r="B59" s="4" t="s">
        <v>108</v>
      </c>
      <c r="C59" s="4">
        <v>4396</v>
      </c>
      <c r="D59" s="4">
        <v>1935</v>
      </c>
      <c r="E59" s="4">
        <v>2461</v>
      </c>
    </row>
    <row r="60" spans="1:5" ht="15.75" x14ac:dyDescent="0.25">
      <c r="A60" s="18">
        <v>36</v>
      </c>
      <c r="B60" s="4" t="s">
        <v>1042</v>
      </c>
      <c r="C60" s="4">
        <v>2862</v>
      </c>
      <c r="D60" s="4">
        <v>1271</v>
      </c>
      <c r="E60" s="4">
        <v>1591</v>
      </c>
    </row>
    <row r="61" spans="1:5" ht="15.75" x14ac:dyDescent="0.25">
      <c r="A61" s="18">
        <v>37</v>
      </c>
      <c r="B61" s="4" t="s">
        <v>544</v>
      </c>
      <c r="C61" s="4">
        <v>3331</v>
      </c>
      <c r="D61" s="4">
        <v>1435</v>
      </c>
      <c r="E61" s="4">
        <v>1896</v>
      </c>
    </row>
    <row r="62" spans="1:5" ht="15.75" x14ac:dyDescent="0.25">
      <c r="A62" s="18">
        <v>38</v>
      </c>
      <c r="B62" s="4" t="s">
        <v>1043</v>
      </c>
      <c r="C62" s="4">
        <v>710</v>
      </c>
      <c r="D62" s="4">
        <v>333</v>
      </c>
      <c r="E62" s="4">
        <v>377</v>
      </c>
    </row>
    <row r="63" spans="1:5" ht="15.75" x14ac:dyDescent="0.25">
      <c r="A63" s="18">
        <v>39</v>
      </c>
      <c r="B63" s="4" t="s">
        <v>1044</v>
      </c>
      <c r="C63" s="4">
        <v>1116</v>
      </c>
      <c r="D63" s="4">
        <v>523</v>
      </c>
      <c r="E63" s="4">
        <v>593</v>
      </c>
    </row>
    <row r="64" spans="1:5" ht="15.75" x14ac:dyDescent="0.25">
      <c r="A64" s="18">
        <v>40</v>
      </c>
      <c r="B64" s="4" t="s">
        <v>1045</v>
      </c>
      <c r="C64" s="4">
        <v>1932</v>
      </c>
      <c r="D64" s="4">
        <v>818</v>
      </c>
      <c r="E64" s="4">
        <v>1114</v>
      </c>
    </row>
    <row r="65" spans="1:5" ht="15.75" x14ac:dyDescent="0.25">
      <c r="A65" s="18">
        <v>41</v>
      </c>
      <c r="B65" s="4" t="s">
        <v>1046</v>
      </c>
      <c r="C65" s="4">
        <v>2074</v>
      </c>
      <c r="D65" s="4">
        <v>912</v>
      </c>
      <c r="E65" s="4">
        <v>1162</v>
      </c>
    </row>
    <row r="66" spans="1:5" ht="15.75" x14ac:dyDescent="0.25">
      <c r="A66" s="18">
        <v>42</v>
      </c>
      <c r="B66" s="4" t="s">
        <v>1047</v>
      </c>
      <c r="C66" s="4">
        <v>11518</v>
      </c>
      <c r="D66" s="4">
        <v>5156</v>
      </c>
      <c r="E66" s="4">
        <v>6362</v>
      </c>
    </row>
    <row r="67" spans="1:5" ht="15.75" x14ac:dyDescent="0.25">
      <c r="A67" s="18">
        <v>43</v>
      </c>
      <c r="B67" s="4" t="s">
        <v>1048</v>
      </c>
      <c r="C67" s="4">
        <v>3096</v>
      </c>
      <c r="D67" s="4">
        <v>1359</v>
      </c>
      <c r="E67" s="4">
        <v>1737</v>
      </c>
    </row>
    <row r="68" spans="1:5" ht="15.75" x14ac:dyDescent="0.25">
      <c r="A68" s="18">
        <v>44</v>
      </c>
      <c r="B68" s="4" t="s">
        <v>515</v>
      </c>
      <c r="C68" s="4">
        <v>1562</v>
      </c>
      <c r="D68" s="4">
        <v>701</v>
      </c>
      <c r="E68" s="4">
        <v>861</v>
      </c>
    </row>
    <row r="69" spans="1:5" ht="15.75" x14ac:dyDescent="0.25">
      <c r="A69" s="18">
        <v>45</v>
      </c>
      <c r="B69" s="4" t="s">
        <v>1049</v>
      </c>
      <c r="C69" s="4">
        <v>6220</v>
      </c>
      <c r="D69" s="4">
        <v>2830</v>
      </c>
      <c r="E69" s="4">
        <v>3390</v>
      </c>
    </row>
    <row r="70" spans="1:5" ht="15.75" x14ac:dyDescent="0.25">
      <c r="A70" s="18">
        <v>46</v>
      </c>
      <c r="B70" s="4" t="s">
        <v>1050</v>
      </c>
      <c r="C70" s="4">
        <v>1123</v>
      </c>
      <c r="D70" s="4">
        <v>458</v>
      </c>
      <c r="E70" s="4">
        <v>665</v>
      </c>
    </row>
    <row r="71" spans="1:5" ht="15.75" x14ac:dyDescent="0.25">
      <c r="A71" s="18">
        <v>47</v>
      </c>
      <c r="B71" s="4" t="s">
        <v>1051</v>
      </c>
      <c r="C71" s="4">
        <v>2195</v>
      </c>
      <c r="D71" s="4">
        <v>980</v>
      </c>
      <c r="E71" s="4">
        <v>1215</v>
      </c>
    </row>
    <row r="72" spans="1:5" ht="15.75" x14ac:dyDescent="0.25">
      <c r="A72" s="18">
        <v>48</v>
      </c>
      <c r="B72" s="4" t="s">
        <v>1052</v>
      </c>
      <c r="C72" s="4">
        <v>2374</v>
      </c>
      <c r="D72" s="4">
        <v>1097</v>
      </c>
      <c r="E72" s="4">
        <v>1277</v>
      </c>
    </row>
    <row r="73" spans="1:5" ht="15.75" x14ac:dyDescent="0.25">
      <c r="A73" s="18">
        <v>49</v>
      </c>
      <c r="B73" s="4" t="s">
        <v>1053</v>
      </c>
      <c r="C73" s="4">
        <v>313</v>
      </c>
      <c r="D73" s="4">
        <v>121</v>
      </c>
      <c r="E73" s="4">
        <v>192</v>
      </c>
    </row>
    <row r="74" spans="1:5" ht="15.75" x14ac:dyDescent="0.25">
      <c r="A74" s="18">
        <v>50</v>
      </c>
      <c r="B74" s="4" t="s">
        <v>1054</v>
      </c>
      <c r="C74" s="4">
        <v>1921</v>
      </c>
      <c r="D74" s="4">
        <v>839</v>
      </c>
      <c r="E74" s="4">
        <v>1082</v>
      </c>
    </row>
    <row r="75" spans="1:5" ht="15.75" x14ac:dyDescent="0.25">
      <c r="A75" s="18">
        <v>51</v>
      </c>
      <c r="B75" s="4" t="s">
        <v>675</v>
      </c>
      <c r="C75" s="4">
        <v>2097</v>
      </c>
      <c r="D75" s="4">
        <v>940</v>
      </c>
      <c r="E75" s="4">
        <v>1157</v>
      </c>
    </row>
    <row r="76" spans="1:5" ht="15.75" x14ac:dyDescent="0.25">
      <c r="A76" s="18">
        <v>52</v>
      </c>
      <c r="B76" s="4" t="s">
        <v>1055</v>
      </c>
      <c r="C76" s="4">
        <v>9910</v>
      </c>
      <c r="D76" s="4">
        <v>4416</v>
      </c>
      <c r="E76" s="4">
        <v>5494</v>
      </c>
    </row>
    <row r="77" spans="1:5" ht="15.75" x14ac:dyDescent="0.25">
      <c r="A77" s="18">
        <v>53</v>
      </c>
      <c r="B77" s="4" t="s">
        <v>35</v>
      </c>
      <c r="C77" s="4">
        <v>3875</v>
      </c>
      <c r="D77" s="4">
        <v>1850</v>
      </c>
      <c r="E77" s="4">
        <v>2025</v>
      </c>
    </row>
    <row r="78" spans="1:5" ht="15.75" x14ac:dyDescent="0.25">
      <c r="A78" s="18">
        <v>54</v>
      </c>
      <c r="B78" s="4" t="s">
        <v>1056</v>
      </c>
      <c r="C78" s="4">
        <v>1500</v>
      </c>
      <c r="D78" s="4">
        <v>668</v>
      </c>
      <c r="E78" s="4">
        <v>832</v>
      </c>
    </row>
    <row r="79" spans="1:5" ht="15.75" x14ac:dyDescent="0.25">
      <c r="A79" s="19">
        <v>55</v>
      </c>
      <c r="B79" s="6" t="s">
        <v>486</v>
      </c>
      <c r="C79" s="6">
        <v>6922</v>
      </c>
      <c r="D79" s="6">
        <v>3010</v>
      </c>
      <c r="E79" s="6">
        <v>3912</v>
      </c>
    </row>
  </sheetData>
  <mergeCells count="4">
    <mergeCell ref="A4:A5"/>
    <mergeCell ref="B4:B5"/>
    <mergeCell ref="C4:E4"/>
    <mergeCell ref="A1:E1"/>
  </mergeCells>
  <hyperlinks>
    <hyperlink ref="A1:E1" location="'Lest of twonship'!A1" display="        Magway Region, Pakokku District, Pakokku Township"/>
  </hyperlinks>
  <pageMargins left="0.75" right="0.5" top="0.5" bottom="0.2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"/>
  <sheetViews>
    <sheetView workbookViewId="0">
      <selection sqref="A1:E1"/>
    </sheetView>
  </sheetViews>
  <sheetFormatPr defaultRowHeight="15" x14ac:dyDescent="0.25"/>
  <cols>
    <col min="1" max="1" width="6.42578125" style="17" customWidth="1"/>
    <col min="2" max="2" width="34.28515625" bestFit="1" customWidth="1"/>
    <col min="3" max="5" width="15.7109375" customWidth="1"/>
  </cols>
  <sheetData>
    <row r="1" spans="1:5" ht="18.75" x14ac:dyDescent="0.3">
      <c r="A1" s="37" t="s">
        <v>1486</v>
      </c>
      <c r="B1" s="37"/>
      <c r="C1" s="37"/>
      <c r="D1" s="37"/>
      <c r="E1" s="37"/>
    </row>
    <row r="2" spans="1:5" ht="15.75" x14ac:dyDescent="0.25">
      <c r="E2" s="8" t="s">
        <v>1463</v>
      </c>
    </row>
    <row r="3" spans="1:5" ht="15" customHeight="1" x14ac:dyDescent="0.25"/>
    <row r="4" spans="1:5" ht="15.75" x14ac:dyDescent="0.25">
      <c r="A4" s="32" t="s">
        <v>1461</v>
      </c>
      <c r="B4" s="32" t="s">
        <v>1465</v>
      </c>
      <c r="C4" s="30" t="s">
        <v>1462</v>
      </c>
      <c r="D4" s="30"/>
      <c r="E4" s="30"/>
    </row>
    <row r="5" spans="1:5" ht="15.75" x14ac:dyDescent="0.25">
      <c r="A5" s="32"/>
      <c r="B5" s="32"/>
      <c r="C5" s="12" t="s">
        <v>0</v>
      </c>
      <c r="D5" s="12" t="s">
        <v>1</v>
      </c>
      <c r="E5" s="12" t="s">
        <v>2</v>
      </c>
    </row>
    <row r="6" spans="1:5" ht="19.5" customHeight="1" x14ac:dyDescent="0.25">
      <c r="A6" s="2"/>
      <c r="B6" s="3" t="s">
        <v>0</v>
      </c>
      <c r="C6" s="3">
        <v>215352</v>
      </c>
      <c r="D6" s="3">
        <v>94353</v>
      </c>
      <c r="E6" s="3">
        <v>120999</v>
      </c>
    </row>
    <row r="7" spans="1:5" ht="5.25" customHeight="1" x14ac:dyDescent="0.25">
      <c r="A7" s="4"/>
      <c r="B7" s="4"/>
      <c r="C7" s="4"/>
      <c r="D7" s="4"/>
      <c r="E7" s="4"/>
    </row>
    <row r="8" spans="1:5" ht="15.75" x14ac:dyDescent="0.25">
      <c r="A8" s="4"/>
      <c r="B8" s="20" t="s">
        <v>1460</v>
      </c>
      <c r="C8" s="5">
        <f>SUM(C9:C16)</f>
        <v>23329</v>
      </c>
      <c r="D8" s="5">
        <f t="shared" ref="D8:E8" si="0">SUM(D9:D16)</f>
        <v>10471</v>
      </c>
      <c r="E8" s="5">
        <f t="shared" si="0"/>
        <v>12858</v>
      </c>
    </row>
    <row r="9" spans="1:5" ht="15.75" x14ac:dyDescent="0.25">
      <c r="A9" s="18">
        <v>1</v>
      </c>
      <c r="B9" s="4" t="s">
        <v>121</v>
      </c>
      <c r="C9" s="4">
        <v>4379</v>
      </c>
      <c r="D9" s="4">
        <v>1981</v>
      </c>
      <c r="E9" s="4">
        <v>2398</v>
      </c>
    </row>
    <row r="10" spans="1:5" ht="15.75" x14ac:dyDescent="0.25">
      <c r="A10" s="18">
        <v>2</v>
      </c>
      <c r="B10" s="4" t="s">
        <v>122</v>
      </c>
      <c r="C10" s="4">
        <v>3142</v>
      </c>
      <c r="D10" s="4">
        <v>1426</v>
      </c>
      <c r="E10" s="4">
        <v>1716</v>
      </c>
    </row>
    <row r="11" spans="1:5" ht="15.75" x14ac:dyDescent="0.25">
      <c r="A11" s="18">
        <v>3</v>
      </c>
      <c r="B11" s="4" t="s">
        <v>123</v>
      </c>
      <c r="C11" s="4">
        <v>1073</v>
      </c>
      <c r="D11" s="4">
        <v>513</v>
      </c>
      <c r="E11" s="4">
        <v>560</v>
      </c>
    </row>
    <row r="12" spans="1:5" ht="15.75" x14ac:dyDescent="0.25">
      <c r="A12" s="18">
        <v>4</v>
      </c>
      <c r="B12" s="4" t="s">
        <v>124</v>
      </c>
      <c r="C12" s="4">
        <v>1064</v>
      </c>
      <c r="D12" s="4">
        <v>450</v>
      </c>
      <c r="E12" s="4">
        <v>614</v>
      </c>
    </row>
    <row r="13" spans="1:5" ht="15.75" x14ac:dyDescent="0.25">
      <c r="A13" s="18">
        <v>5</v>
      </c>
      <c r="B13" s="4" t="s">
        <v>125</v>
      </c>
      <c r="C13" s="4">
        <v>1335</v>
      </c>
      <c r="D13" s="4">
        <v>586</v>
      </c>
      <c r="E13" s="4">
        <v>749</v>
      </c>
    </row>
    <row r="14" spans="1:5" ht="15.75" x14ac:dyDescent="0.25">
      <c r="A14" s="18">
        <v>6</v>
      </c>
      <c r="B14" s="4" t="s">
        <v>126</v>
      </c>
      <c r="C14" s="4">
        <v>2698</v>
      </c>
      <c r="D14" s="4">
        <v>1228</v>
      </c>
      <c r="E14" s="4">
        <v>1470</v>
      </c>
    </row>
    <row r="15" spans="1:5" ht="15.75" x14ac:dyDescent="0.25">
      <c r="A15" s="18">
        <v>7</v>
      </c>
      <c r="B15" s="4" t="s">
        <v>127</v>
      </c>
      <c r="C15" s="4">
        <v>4602</v>
      </c>
      <c r="D15" s="4">
        <v>2049</v>
      </c>
      <c r="E15" s="4">
        <v>2553</v>
      </c>
    </row>
    <row r="16" spans="1:5" ht="15.75" x14ac:dyDescent="0.25">
      <c r="A16" s="18">
        <v>8</v>
      </c>
      <c r="B16" s="4" t="s">
        <v>128</v>
      </c>
      <c r="C16" s="4">
        <v>5036</v>
      </c>
      <c r="D16" s="4">
        <v>2238</v>
      </c>
      <c r="E16" s="4">
        <v>2798</v>
      </c>
    </row>
    <row r="17" spans="1:5" ht="15.75" x14ac:dyDescent="0.25">
      <c r="A17" s="4"/>
      <c r="B17" s="20" t="s">
        <v>1464</v>
      </c>
      <c r="C17" s="5">
        <f>SUM(C18:C98)</f>
        <v>192023</v>
      </c>
      <c r="D17" s="5">
        <f t="shared" ref="D17:E17" si="1">SUM(D18:D98)</f>
        <v>83882</v>
      </c>
      <c r="E17" s="5">
        <f t="shared" si="1"/>
        <v>108141</v>
      </c>
    </row>
    <row r="18" spans="1:5" ht="15.75" x14ac:dyDescent="0.25">
      <c r="A18" s="18">
        <v>1</v>
      </c>
      <c r="B18" s="4" t="s">
        <v>287</v>
      </c>
      <c r="C18" s="4">
        <v>861</v>
      </c>
      <c r="D18" s="4">
        <v>378</v>
      </c>
      <c r="E18" s="4">
        <v>483</v>
      </c>
    </row>
    <row r="19" spans="1:5" ht="15.75" x14ac:dyDescent="0.25">
      <c r="A19" s="18">
        <v>2</v>
      </c>
      <c r="B19" s="4" t="s">
        <v>1057</v>
      </c>
      <c r="C19" s="4">
        <v>3322</v>
      </c>
      <c r="D19" s="4">
        <v>1440</v>
      </c>
      <c r="E19" s="4">
        <v>1882</v>
      </c>
    </row>
    <row r="20" spans="1:5" ht="15.75" x14ac:dyDescent="0.25">
      <c r="A20" s="18">
        <v>3</v>
      </c>
      <c r="B20" s="4" t="s">
        <v>1058</v>
      </c>
      <c r="C20" s="4">
        <v>432</v>
      </c>
      <c r="D20" s="4">
        <v>200</v>
      </c>
      <c r="E20" s="4">
        <v>232</v>
      </c>
    </row>
    <row r="21" spans="1:5" ht="15.75" x14ac:dyDescent="0.25">
      <c r="A21" s="18">
        <v>4</v>
      </c>
      <c r="B21" s="4" t="s">
        <v>396</v>
      </c>
      <c r="C21" s="4">
        <v>2085</v>
      </c>
      <c r="D21" s="4">
        <v>943</v>
      </c>
      <c r="E21" s="4">
        <v>1142</v>
      </c>
    </row>
    <row r="22" spans="1:5" ht="15.75" x14ac:dyDescent="0.25">
      <c r="A22" s="18">
        <v>5</v>
      </c>
      <c r="B22" s="4" t="s">
        <v>1059</v>
      </c>
      <c r="C22" s="4">
        <v>909</v>
      </c>
      <c r="D22" s="4">
        <v>406</v>
      </c>
      <c r="E22" s="4">
        <v>503</v>
      </c>
    </row>
    <row r="23" spans="1:5" ht="15.75" x14ac:dyDescent="0.25">
      <c r="A23" s="18">
        <v>6</v>
      </c>
      <c r="B23" s="4" t="s">
        <v>1060</v>
      </c>
      <c r="C23" s="4">
        <v>885</v>
      </c>
      <c r="D23" s="4">
        <v>355</v>
      </c>
      <c r="E23" s="4">
        <v>530</v>
      </c>
    </row>
    <row r="24" spans="1:5" ht="15.75" x14ac:dyDescent="0.25">
      <c r="A24" s="18">
        <v>7</v>
      </c>
      <c r="B24" s="4" t="s">
        <v>1061</v>
      </c>
      <c r="C24" s="4">
        <v>1357</v>
      </c>
      <c r="D24" s="4">
        <v>622</v>
      </c>
      <c r="E24" s="4">
        <v>735</v>
      </c>
    </row>
    <row r="25" spans="1:5" ht="15.75" x14ac:dyDescent="0.25">
      <c r="A25" s="18">
        <v>8</v>
      </c>
      <c r="B25" s="4" t="s">
        <v>1062</v>
      </c>
      <c r="C25" s="4">
        <v>1241</v>
      </c>
      <c r="D25" s="4">
        <v>514</v>
      </c>
      <c r="E25" s="4">
        <v>727</v>
      </c>
    </row>
    <row r="26" spans="1:5" ht="15.75" x14ac:dyDescent="0.25">
      <c r="A26" s="18">
        <v>9</v>
      </c>
      <c r="B26" s="4" t="s">
        <v>1063</v>
      </c>
      <c r="C26" s="4">
        <v>3226</v>
      </c>
      <c r="D26" s="4">
        <v>1414</v>
      </c>
      <c r="E26" s="4">
        <v>1812</v>
      </c>
    </row>
    <row r="27" spans="1:5" ht="15.75" x14ac:dyDescent="0.25">
      <c r="A27" s="18">
        <v>10</v>
      </c>
      <c r="B27" s="4" t="s">
        <v>1064</v>
      </c>
      <c r="C27" s="4">
        <v>2093</v>
      </c>
      <c r="D27" s="4">
        <v>968</v>
      </c>
      <c r="E27" s="4">
        <v>1125</v>
      </c>
    </row>
    <row r="28" spans="1:5" ht="15.75" x14ac:dyDescent="0.25">
      <c r="A28" s="18">
        <v>11</v>
      </c>
      <c r="B28" s="4" t="s">
        <v>1065</v>
      </c>
      <c r="C28" s="4">
        <v>1626</v>
      </c>
      <c r="D28" s="4">
        <v>766</v>
      </c>
      <c r="E28" s="4">
        <v>860</v>
      </c>
    </row>
    <row r="29" spans="1:5" ht="15.75" x14ac:dyDescent="0.25">
      <c r="A29" s="18">
        <v>12</v>
      </c>
      <c r="B29" s="4" t="s">
        <v>1066</v>
      </c>
      <c r="C29" s="4">
        <v>2890</v>
      </c>
      <c r="D29" s="4">
        <v>1269</v>
      </c>
      <c r="E29" s="4">
        <v>1621</v>
      </c>
    </row>
    <row r="30" spans="1:5" ht="15.75" x14ac:dyDescent="0.25">
      <c r="A30" s="18">
        <v>13</v>
      </c>
      <c r="B30" s="4" t="s">
        <v>1067</v>
      </c>
      <c r="C30" s="4">
        <v>3064</v>
      </c>
      <c r="D30" s="4">
        <v>1346</v>
      </c>
      <c r="E30" s="4">
        <v>1718</v>
      </c>
    </row>
    <row r="31" spans="1:5" ht="15.75" x14ac:dyDescent="0.25">
      <c r="A31" s="18">
        <v>14</v>
      </c>
      <c r="B31" s="4" t="s">
        <v>75</v>
      </c>
      <c r="C31" s="4">
        <v>997</v>
      </c>
      <c r="D31" s="4">
        <v>447</v>
      </c>
      <c r="E31" s="4">
        <v>550</v>
      </c>
    </row>
    <row r="32" spans="1:5" ht="15.75" x14ac:dyDescent="0.25">
      <c r="A32" s="18">
        <v>15</v>
      </c>
      <c r="B32" s="4" t="s">
        <v>218</v>
      </c>
      <c r="C32" s="4">
        <v>2190</v>
      </c>
      <c r="D32" s="4">
        <v>874</v>
      </c>
      <c r="E32" s="4">
        <v>1316</v>
      </c>
    </row>
    <row r="33" spans="1:5" ht="15.75" x14ac:dyDescent="0.25">
      <c r="A33" s="18">
        <v>16</v>
      </c>
      <c r="B33" s="4" t="s">
        <v>1068</v>
      </c>
      <c r="C33" s="4">
        <v>5191</v>
      </c>
      <c r="D33" s="4">
        <v>2191</v>
      </c>
      <c r="E33" s="4">
        <v>3000</v>
      </c>
    </row>
    <row r="34" spans="1:5" ht="15.75" x14ac:dyDescent="0.25">
      <c r="A34" s="18">
        <v>17</v>
      </c>
      <c r="B34" s="4" t="s">
        <v>1069</v>
      </c>
      <c r="C34" s="4">
        <v>2288</v>
      </c>
      <c r="D34" s="4">
        <v>1024</v>
      </c>
      <c r="E34" s="4">
        <v>1264</v>
      </c>
    </row>
    <row r="35" spans="1:5" ht="15.75" x14ac:dyDescent="0.25">
      <c r="A35" s="18">
        <v>18</v>
      </c>
      <c r="B35" s="4" t="s">
        <v>734</v>
      </c>
      <c r="C35" s="4">
        <v>4780</v>
      </c>
      <c r="D35" s="4">
        <v>2123</v>
      </c>
      <c r="E35" s="4">
        <v>2657</v>
      </c>
    </row>
    <row r="36" spans="1:5" ht="15.75" x14ac:dyDescent="0.25">
      <c r="A36" s="18">
        <v>19</v>
      </c>
      <c r="B36" s="4" t="s">
        <v>1070</v>
      </c>
      <c r="C36" s="4">
        <v>1658</v>
      </c>
      <c r="D36" s="4">
        <v>751</v>
      </c>
      <c r="E36" s="4">
        <v>907</v>
      </c>
    </row>
    <row r="37" spans="1:5" ht="15.75" x14ac:dyDescent="0.25">
      <c r="A37" s="18">
        <v>20</v>
      </c>
      <c r="B37" s="4" t="s">
        <v>1071</v>
      </c>
      <c r="C37" s="4">
        <v>1868</v>
      </c>
      <c r="D37" s="4">
        <v>843</v>
      </c>
      <c r="E37" s="4">
        <v>1025</v>
      </c>
    </row>
    <row r="38" spans="1:5" ht="15.75" x14ac:dyDescent="0.25">
      <c r="A38" s="18">
        <v>21</v>
      </c>
      <c r="B38" s="4" t="s">
        <v>1072</v>
      </c>
      <c r="C38" s="4">
        <v>2380</v>
      </c>
      <c r="D38" s="4">
        <v>1001</v>
      </c>
      <c r="E38" s="4">
        <v>1379</v>
      </c>
    </row>
    <row r="39" spans="1:5" ht="15.75" x14ac:dyDescent="0.25">
      <c r="A39" s="18">
        <v>22</v>
      </c>
      <c r="B39" s="4" t="s">
        <v>308</v>
      </c>
      <c r="C39" s="4">
        <v>4470</v>
      </c>
      <c r="D39" s="4">
        <v>2029</v>
      </c>
      <c r="E39" s="4">
        <v>2441</v>
      </c>
    </row>
    <row r="40" spans="1:5" ht="15.75" x14ac:dyDescent="0.25">
      <c r="A40" s="18">
        <v>23</v>
      </c>
      <c r="B40" s="4" t="s">
        <v>1073</v>
      </c>
      <c r="C40" s="4">
        <v>3002</v>
      </c>
      <c r="D40" s="4">
        <v>1362</v>
      </c>
      <c r="E40" s="4">
        <v>1640</v>
      </c>
    </row>
    <row r="41" spans="1:5" ht="15.75" x14ac:dyDescent="0.25">
      <c r="A41" s="18">
        <v>24</v>
      </c>
      <c r="B41" s="4" t="s">
        <v>346</v>
      </c>
      <c r="C41" s="4">
        <v>2920</v>
      </c>
      <c r="D41" s="4">
        <v>1285</v>
      </c>
      <c r="E41" s="4">
        <v>1635</v>
      </c>
    </row>
    <row r="42" spans="1:5" ht="15.75" x14ac:dyDescent="0.25">
      <c r="A42" s="18">
        <v>25</v>
      </c>
      <c r="B42" s="4" t="s">
        <v>1074</v>
      </c>
      <c r="C42" s="4">
        <v>2257</v>
      </c>
      <c r="D42" s="4">
        <v>981</v>
      </c>
      <c r="E42" s="4">
        <v>1276</v>
      </c>
    </row>
    <row r="43" spans="1:5" ht="15.75" x14ac:dyDescent="0.25">
      <c r="A43" s="18">
        <v>26</v>
      </c>
      <c r="B43" s="4" t="s">
        <v>1075</v>
      </c>
      <c r="C43" s="4">
        <v>3474</v>
      </c>
      <c r="D43" s="4">
        <v>1519</v>
      </c>
      <c r="E43" s="4">
        <v>1955</v>
      </c>
    </row>
    <row r="44" spans="1:5" ht="15.75" x14ac:dyDescent="0.25">
      <c r="A44" s="18">
        <v>27</v>
      </c>
      <c r="B44" s="4" t="s">
        <v>1076</v>
      </c>
      <c r="C44" s="4">
        <v>3009</v>
      </c>
      <c r="D44" s="4">
        <v>1354</v>
      </c>
      <c r="E44" s="4">
        <v>1655</v>
      </c>
    </row>
    <row r="45" spans="1:5" ht="15.75" x14ac:dyDescent="0.25">
      <c r="A45" s="18">
        <v>28</v>
      </c>
      <c r="B45" s="4" t="s">
        <v>1077</v>
      </c>
      <c r="C45" s="4">
        <v>1774</v>
      </c>
      <c r="D45" s="4">
        <v>757</v>
      </c>
      <c r="E45" s="4">
        <v>1017</v>
      </c>
    </row>
    <row r="46" spans="1:5" ht="15.75" x14ac:dyDescent="0.25">
      <c r="A46" s="18">
        <v>29</v>
      </c>
      <c r="B46" s="4" t="s">
        <v>1078</v>
      </c>
      <c r="C46" s="4">
        <v>2127</v>
      </c>
      <c r="D46" s="4">
        <v>996</v>
      </c>
      <c r="E46" s="4">
        <v>1131</v>
      </c>
    </row>
    <row r="47" spans="1:5" ht="15.75" x14ac:dyDescent="0.25">
      <c r="A47" s="18">
        <v>30</v>
      </c>
      <c r="B47" s="4" t="s">
        <v>1079</v>
      </c>
      <c r="C47" s="4">
        <v>3219</v>
      </c>
      <c r="D47" s="4">
        <v>1453</v>
      </c>
      <c r="E47" s="4">
        <v>1766</v>
      </c>
    </row>
    <row r="48" spans="1:5" ht="15.75" x14ac:dyDescent="0.25">
      <c r="A48" s="18">
        <v>31</v>
      </c>
      <c r="B48" s="4" t="s">
        <v>1080</v>
      </c>
      <c r="C48" s="4">
        <v>3784</v>
      </c>
      <c r="D48" s="4">
        <v>1697</v>
      </c>
      <c r="E48" s="4">
        <v>2087</v>
      </c>
    </row>
    <row r="49" spans="1:5" ht="15.75" x14ac:dyDescent="0.25">
      <c r="A49" s="18">
        <v>32</v>
      </c>
      <c r="B49" s="4" t="s">
        <v>1081</v>
      </c>
      <c r="C49" s="4">
        <v>3184</v>
      </c>
      <c r="D49" s="4">
        <v>1344</v>
      </c>
      <c r="E49" s="4">
        <v>1840</v>
      </c>
    </row>
    <row r="50" spans="1:5" ht="15.75" x14ac:dyDescent="0.25">
      <c r="A50" s="18">
        <v>33</v>
      </c>
      <c r="B50" s="4" t="s">
        <v>1082</v>
      </c>
      <c r="C50" s="4">
        <v>8029</v>
      </c>
      <c r="D50" s="4">
        <v>3596</v>
      </c>
      <c r="E50" s="4">
        <v>4433</v>
      </c>
    </row>
    <row r="51" spans="1:5" ht="15.75" x14ac:dyDescent="0.25">
      <c r="A51" s="18">
        <v>34</v>
      </c>
      <c r="B51" s="4" t="s">
        <v>1083</v>
      </c>
      <c r="C51" s="4">
        <v>2360</v>
      </c>
      <c r="D51" s="4">
        <v>1019</v>
      </c>
      <c r="E51" s="4">
        <v>1341</v>
      </c>
    </row>
    <row r="52" spans="1:5" ht="15.75" x14ac:dyDescent="0.25">
      <c r="A52" s="18">
        <v>35</v>
      </c>
      <c r="B52" s="4" t="s">
        <v>1084</v>
      </c>
      <c r="C52" s="4">
        <v>2128</v>
      </c>
      <c r="D52" s="4">
        <v>936</v>
      </c>
      <c r="E52" s="4">
        <v>1192</v>
      </c>
    </row>
    <row r="53" spans="1:5" ht="15.75" x14ac:dyDescent="0.25">
      <c r="A53" s="18">
        <v>36</v>
      </c>
      <c r="B53" s="4" t="s">
        <v>1085</v>
      </c>
      <c r="C53" s="4">
        <v>1948</v>
      </c>
      <c r="D53" s="4">
        <v>771</v>
      </c>
      <c r="E53" s="4">
        <v>1177</v>
      </c>
    </row>
    <row r="54" spans="1:5" ht="15.75" x14ac:dyDescent="0.25">
      <c r="A54" s="18">
        <v>37</v>
      </c>
      <c r="B54" s="4" t="s">
        <v>1086</v>
      </c>
      <c r="C54" s="4">
        <v>1371</v>
      </c>
      <c r="D54" s="4">
        <v>636</v>
      </c>
      <c r="E54" s="4">
        <v>735</v>
      </c>
    </row>
    <row r="55" spans="1:5" ht="15.75" x14ac:dyDescent="0.25">
      <c r="A55" s="18">
        <v>38</v>
      </c>
      <c r="B55" s="4" t="s">
        <v>1087</v>
      </c>
      <c r="C55" s="4">
        <v>1980</v>
      </c>
      <c r="D55" s="4">
        <v>945</v>
      </c>
      <c r="E55" s="4">
        <v>1035</v>
      </c>
    </row>
    <row r="56" spans="1:5" ht="15.75" x14ac:dyDescent="0.25">
      <c r="A56" s="18">
        <v>39</v>
      </c>
      <c r="B56" s="4" t="s">
        <v>1088</v>
      </c>
      <c r="C56" s="4">
        <v>4338</v>
      </c>
      <c r="D56" s="4">
        <v>1770</v>
      </c>
      <c r="E56" s="4">
        <v>2568</v>
      </c>
    </row>
    <row r="57" spans="1:5" ht="15.75" x14ac:dyDescent="0.25">
      <c r="A57" s="18">
        <v>40</v>
      </c>
      <c r="B57" s="4" t="s">
        <v>1089</v>
      </c>
      <c r="C57" s="4">
        <v>1560</v>
      </c>
      <c r="D57" s="4">
        <v>640</v>
      </c>
      <c r="E57" s="4">
        <v>920</v>
      </c>
    </row>
    <row r="58" spans="1:5" ht="15.75" x14ac:dyDescent="0.25">
      <c r="A58" s="18">
        <v>41</v>
      </c>
      <c r="B58" s="4" t="s">
        <v>1090</v>
      </c>
      <c r="C58" s="4">
        <v>2518</v>
      </c>
      <c r="D58" s="4">
        <v>1157</v>
      </c>
      <c r="E58" s="4">
        <v>1361</v>
      </c>
    </row>
    <row r="59" spans="1:5" ht="15.75" x14ac:dyDescent="0.25">
      <c r="A59" s="18">
        <v>42</v>
      </c>
      <c r="B59" s="4" t="s">
        <v>1012</v>
      </c>
      <c r="C59" s="4">
        <v>3863</v>
      </c>
      <c r="D59" s="4">
        <v>1651</v>
      </c>
      <c r="E59" s="4">
        <v>2212</v>
      </c>
    </row>
    <row r="60" spans="1:5" ht="15.75" x14ac:dyDescent="0.25">
      <c r="A60" s="18">
        <v>43</v>
      </c>
      <c r="B60" s="4" t="s">
        <v>1091</v>
      </c>
      <c r="C60" s="4">
        <v>3079</v>
      </c>
      <c r="D60" s="4">
        <v>1441</v>
      </c>
      <c r="E60" s="4">
        <v>1638</v>
      </c>
    </row>
    <row r="61" spans="1:5" ht="15.75" x14ac:dyDescent="0.25">
      <c r="A61" s="18">
        <v>44</v>
      </c>
      <c r="B61" s="4" t="s">
        <v>1092</v>
      </c>
      <c r="C61" s="4">
        <v>1559</v>
      </c>
      <c r="D61" s="4">
        <v>669</v>
      </c>
      <c r="E61" s="4">
        <v>890</v>
      </c>
    </row>
    <row r="62" spans="1:5" ht="15.75" x14ac:dyDescent="0.25">
      <c r="A62" s="18">
        <v>45</v>
      </c>
      <c r="B62" s="4" t="s">
        <v>568</v>
      </c>
      <c r="C62" s="4">
        <v>1201</v>
      </c>
      <c r="D62" s="4">
        <v>480</v>
      </c>
      <c r="E62" s="4">
        <v>721</v>
      </c>
    </row>
    <row r="63" spans="1:5" ht="15.75" x14ac:dyDescent="0.25">
      <c r="A63" s="18">
        <v>46</v>
      </c>
      <c r="B63" s="4" t="s">
        <v>148</v>
      </c>
      <c r="C63" s="4">
        <v>2944</v>
      </c>
      <c r="D63" s="4">
        <v>1341</v>
      </c>
      <c r="E63" s="4">
        <v>1603</v>
      </c>
    </row>
    <row r="64" spans="1:5" ht="15.75" x14ac:dyDescent="0.25">
      <c r="A64" s="18">
        <v>47</v>
      </c>
      <c r="B64" s="4" t="s">
        <v>1093</v>
      </c>
      <c r="C64" s="4">
        <v>4539</v>
      </c>
      <c r="D64" s="4">
        <v>1995</v>
      </c>
      <c r="E64" s="4">
        <v>2544</v>
      </c>
    </row>
    <row r="65" spans="1:5" ht="15.75" x14ac:dyDescent="0.25">
      <c r="A65" s="18">
        <v>48</v>
      </c>
      <c r="B65" s="4" t="s">
        <v>1094</v>
      </c>
      <c r="C65" s="4">
        <v>1545</v>
      </c>
      <c r="D65" s="4">
        <v>667</v>
      </c>
      <c r="E65" s="4">
        <v>878</v>
      </c>
    </row>
    <row r="66" spans="1:5" ht="18" customHeight="1" x14ac:dyDescent="0.25">
      <c r="A66" s="18">
        <v>49</v>
      </c>
      <c r="B66" s="4" t="s">
        <v>277</v>
      </c>
      <c r="C66" s="4">
        <v>1592</v>
      </c>
      <c r="D66" s="4">
        <v>714</v>
      </c>
      <c r="E66" s="4">
        <v>878</v>
      </c>
    </row>
    <row r="67" spans="1:5" ht="15.75" x14ac:dyDescent="0.25">
      <c r="A67" s="18">
        <v>50</v>
      </c>
      <c r="B67" s="4" t="s">
        <v>1095</v>
      </c>
      <c r="C67" s="4">
        <v>2145</v>
      </c>
      <c r="D67" s="4">
        <v>928</v>
      </c>
      <c r="E67" s="4">
        <v>1217</v>
      </c>
    </row>
    <row r="68" spans="1:5" ht="15.75" x14ac:dyDescent="0.25">
      <c r="A68" s="18">
        <v>51</v>
      </c>
      <c r="B68" s="4" t="s">
        <v>1096</v>
      </c>
      <c r="C68" s="4">
        <v>2442</v>
      </c>
      <c r="D68" s="4">
        <v>1026</v>
      </c>
      <c r="E68" s="4">
        <v>1416</v>
      </c>
    </row>
    <row r="69" spans="1:5" ht="15.75" x14ac:dyDescent="0.25">
      <c r="A69" s="18">
        <v>52</v>
      </c>
      <c r="B69" s="4" t="s">
        <v>1097</v>
      </c>
      <c r="C69" s="4">
        <v>1392</v>
      </c>
      <c r="D69" s="4">
        <v>571</v>
      </c>
      <c r="E69" s="4">
        <v>821</v>
      </c>
    </row>
    <row r="70" spans="1:5" ht="15.75" x14ac:dyDescent="0.25">
      <c r="A70" s="18">
        <v>53</v>
      </c>
      <c r="B70" s="4" t="s">
        <v>1098</v>
      </c>
      <c r="C70" s="4">
        <v>1523</v>
      </c>
      <c r="D70" s="4">
        <v>646</v>
      </c>
      <c r="E70" s="4">
        <v>877</v>
      </c>
    </row>
    <row r="71" spans="1:5" ht="15.75" x14ac:dyDescent="0.25">
      <c r="A71" s="18">
        <v>54</v>
      </c>
      <c r="B71" s="4" t="s">
        <v>1099</v>
      </c>
      <c r="C71" s="4">
        <v>974</v>
      </c>
      <c r="D71" s="4">
        <v>423</v>
      </c>
      <c r="E71" s="4">
        <v>551</v>
      </c>
    </row>
    <row r="72" spans="1:5" ht="15.75" x14ac:dyDescent="0.25">
      <c r="A72" s="18">
        <v>55</v>
      </c>
      <c r="B72" s="4" t="s">
        <v>1100</v>
      </c>
      <c r="C72" s="4">
        <v>1089</v>
      </c>
      <c r="D72" s="4">
        <v>474</v>
      </c>
      <c r="E72" s="4">
        <v>615</v>
      </c>
    </row>
    <row r="73" spans="1:5" ht="15.75" x14ac:dyDescent="0.25">
      <c r="A73" s="18">
        <v>56</v>
      </c>
      <c r="B73" s="4" t="s">
        <v>1101</v>
      </c>
      <c r="C73" s="4">
        <v>556</v>
      </c>
      <c r="D73" s="4">
        <v>233</v>
      </c>
      <c r="E73" s="4">
        <v>323</v>
      </c>
    </row>
    <row r="74" spans="1:5" ht="15.75" x14ac:dyDescent="0.25">
      <c r="A74" s="18">
        <v>57</v>
      </c>
      <c r="B74" s="4" t="s">
        <v>1102</v>
      </c>
      <c r="C74" s="4">
        <v>754</v>
      </c>
      <c r="D74" s="4">
        <v>329</v>
      </c>
      <c r="E74" s="4">
        <v>425</v>
      </c>
    </row>
    <row r="75" spans="1:5" ht="15.75" x14ac:dyDescent="0.25">
      <c r="A75" s="18">
        <v>58</v>
      </c>
      <c r="B75" s="4" t="s">
        <v>1103</v>
      </c>
      <c r="C75" s="4">
        <v>1806</v>
      </c>
      <c r="D75" s="4">
        <v>757</v>
      </c>
      <c r="E75" s="4">
        <v>1049</v>
      </c>
    </row>
    <row r="76" spans="1:5" ht="15.75" x14ac:dyDescent="0.25">
      <c r="A76" s="18">
        <v>59</v>
      </c>
      <c r="B76" s="4" t="s">
        <v>1104</v>
      </c>
      <c r="C76" s="4">
        <v>2440</v>
      </c>
      <c r="D76" s="4">
        <v>1023</v>
      </c>
      <c r="E76" s="4">
        <v>1417</v>
      </c>
    </row>
    <row r="77" spans="1:5" ht="15.75" x14ac:dyDescent="0.25">
      <c r="A77" s="18">
        <v>60</v>
      </c>
      <c r="B77" s="4" t="s">
        <v>1105</v>
      </c>
      <c r="C77" s="4">
        <v>1509</v>
      </c>
      <c r="D77" s="4">
        <v>669</v>
      </c>
      <c r="E77" s="4">
        <v>840</v>
      </c>
    </row>
    <row r="78" spans="1:5" ht="15.75" x14ac:dyDescent="0.25">
      <c r="A78" s="18">
        <v>61</v>
      </c>
      <c r="B78" s="4" t="s">
        <v>1106</v>
      </c>
      <c r="C78" s="4">
        <v>3098</v>
      </c>
      <c r="D78" s="4">
        <v>1372</v>
      </c>
      <c r="E78" s="4">
        <v>1726</v>
      </c>
    </row>
    <row r="79" spans="1:5" ht="15.75" x14ac:dyDescent="0.25">
      <c r="A79" s="18">
        <v>62</v>
      </c>
      <c r="B79" s="4" t="s">
        <v>1107</v>
      </c>
      <c r="C79" s="4">
        <v>555</v>
      </c>
      <c r="D79" s="4">
        <v>246</v>
      </c>
      <c r="E79" s="4">
        <v>309</v>
      </c>
    </row>
    <row r="80" spans="1:5" ht="15.75" x14ac:dyDescent="0.25">
      <c r="A80" s="18">
        <v>63</v>
      </c>
      <c r="B80" s="4" t="s">
        <v>1108</v>
      </c>
      <c r="C80" s="4">
        <v>2765</v>
      </c>
      <c r="D80" s="4">
        <v>1243</v>
      </c>
      <c r="E80" s="4">
        <v>1522</v>
      </c>
    </row>
    <row r="81" spans="1:5" ht="15.75" x14ac:dyDescent="0.25">
      <c r="A81" s="18">
        <v>64</v>
      </c>
      <c r="B81" s="4" t="s">
        <v>1109</v>
      </c>
      <c r="C81" s="4">
        <v>2379</v>
      </c>
      <c r="D81" s="4">
        <v>1080</v>
      </c>
      <c r="E81" s="4">
        <v>1299</v>
      </c>
    </row>
    <row r="82" spans="1:5" ht="15.75" x14ac:dyDescent="0.25">
      <c r="A82" s="18">
        <v>65</v>
      </c>
      <c r="B82" s="4" t="s">
        <v>1110</v>
      </c>
      <c r="C82" s="4">
        <v>1105</v>
      </c>
      <c r="D82" s="4">
        <v>495</v>
      </c>
      <c r="E82" s="4">
        <v>610</v>
      </c>
    </row>
    <row r="83" spans="1:5" ht="15.75" x14ac:dyDescent="0.25">
      <c r="A83" s="18">
        <v>66</v>
      </c>
      <c r="B83" s="4" t="s">
        <v>1111</v>
      </c>
      <c r="C83" s="4">
        <v>1738</v>
      </c>
      <c r="D83" s="4">
        <v>769</v>
      </c>
      <c r="E83" s="4">
        <v>969</v>
      </c>
    </row>
    <row r="84" spans="1:5" ht="15.75" x14ac:dyDescent="0.25">
      <c r="A84" s="18">
        <v>67</v>
      </c>
      <c r="B84" s="4" t="s">
        <v>1112</v>
      </c>
      <c r="C84" s="4">
        <v>5023</v>
      </c>
      <c r="D84" s="4">
        <v>2248</v>
      </c>
      <c r="E84" s="4">
        <v>2775</v>
      </c>
    </row>
    <row r="85" spans="1:5" ht="15.75" x14ac:dyDescent="0.25">
      <c r="A85" s="18">
        <v>68</v>
      </c>
      <c r="B85" s="4" t="s">
        <v>1113</v>
      </c>
      <c r="C85" s="4">
        <v>2614</v>
      </c>
      <c r="D85" s="4">
        <v>1144</v>
      </c>
      <c r="E85" s="4">
        <v>1470</v>
      </c>
    </row>
    <row r="86" spans="1:5" ht="15.75" x14ac:dyDescent="0.25">
      <c r="A86" s="18">
        <v>69</v>
      </c>
      <c r="B86" s="4" t="s">
        <v>66</v>
      </c>
      <c r="C86" s="4">
        <v>1055</v>
      </c>
      <c r="D86" s="4">
        <v>471</v>
      </c>
      <c r="E86" s="4">
        <v>584</v>
      </c>
    </row>
    <row r="87" spans="1:5" ht="15.75" x14ac:dyDescent="0.25">
      <c r="A87" s="18">
        <v>70</v>
      </c>
      <c r="B87" s="4" t="s">
        <v>1114</v>
      </c>
      <c r="C87" s="4">
        <v>912</v>
      </c>
      <c r="D87" s="4">
        <v>414</v>
      </c>
      <c r="E87" s="4">
        <v>498</v>
      </c>
    </row>
    <row r="88" spans="1:5" ht="15.75" x14ac:dyDescent="0.25">
      <c r="A88" s="18">
        <v>71</v>
      </c>
      <c r="B88" s="4" t="s">
        <v>624</v>
      </c>
      <c r="C88" s="4">
        <v>4327</v>
      </c>
      <c r="D88" s="4">
        <v>1819</v>
      </c>
      <c r="E88" s="4">
        <v>2508</v>
      </c>
    </row>
    <row r="89" spans="1:5" ht="15.75" x14ac:dyDescent="0.25">
      <c r="A89" s="18">
        <v>72</v>
      </c>
      <c r="B89" s="4" t="s">
        <v>1115</v>
      </c>
      <c r="C89" s="4">
        <v>2087</v>
      </c>
      <c r="D89" s="4">
        <v>851</v>
      </c>
      <c r="E89" s="4">
        <v>1236</v>
      </c>
    </row>
    <row r="90" spans="1:5" ht="15.75" x14ac:dyDescent="0.25">
      <c r="A90" s="18">
        <v>73</v>
      </c>
      <c r="B90" s="4" t="s">
        <v>1116</v>
      </c>
      <c r="C90" s="4">
        <v>2736</v>
      </c>
      <c r="D90" s="4">
        <v>1188</v>
      </c>
      <c r="E90" s="4">
        <v>1548</v>
      </c>
    </row>
    <row r="91" spans="1:5" ht="15.75" x14ac:dyDescent="0.25">
      <c r="A91" s="18">
        <v>74</v>
      </c>
      <c r="B91" s="4" t="s">
        <v>1117</v>
      </c>
      <c r="C91" s="4">
        <v>4004</v>
      </c>
      <c r="D91" s="4">
        <v>1670</v>
      </c>
      <c r="E91" s="4">
        <v>2334</v>
      </c>
    </row>
    <row r="92" spans="1:5" ht="15.75" x14ac:dyDescent="0.25">
      <c r="A92" s="18">
        <v>75</v>
      </c>
      <c r="B92" s="4" t="s">
        <v>1118</v>
      </c>
      <c r="C92" s="4">
        <v>6289</v>
      </c>
      <c r="D92" s="4">
        <v>2694</v>
      </c>
      <c r="E92" s="4">
        <v>3595</v>
      </c>
    </row>
    <row r="93" spans="1:5" ht="15.75" x14ac:dyDescent="0.25">
      <c r="A93" s="18">
        <v>76</v>
      </c>
      <c r="B93" s="4" t="s">
        <v>1119</v>
      </c>
      <c r="C93" s="4">
        <v>1413</v>
      </c>
      <c r="D93" s="4">
        <v>596</v>
      </c>
      <c r="E93" s="4">
        <v>817</v>
      </c>
    </row>
    <row r="94" spans="1:5" ht="15.75" x14ac:dyDescent="0.25">
      <c r="A94" s="18">
        <v>77</v>
      </c>
      <c r="B94" s="4" t="s">
        <v>1120</v>
      </c>
      <c r="C94" s="4">
        <v>1302</v>
      </c>
      <c r="D94" s="4">
        <v>540</v>
      </c>
      <c r="E94" s="4">
        <v>762</v>
      </c>
    </row>
    <row r="95" spans="1:5" ht="15.75" x14ac:dyDescent="0.25">
      <c r="A95" s="18">
        <v>78</v>
      </c>
      <c r="B95" s="4" t="s">
        <v>413</v>
      </c>
      <c r="C95" s="4">
        <v>2423</v>
      </c>
      <c r="D95" s="4">
        <v>1069</v>
      </c>
      <c r="E95" s="4">
        <v>1354</v>
      </c>
    </row>
    <row r="96" spans="1:5" ht="15.75" x14ac:dyDescent="0.25">
      <c r="A96" s="18">
        <v>79</v>
      </c>
      <c r="B96" s="4" t="s">
        <v>1121</v>
      </c>
      <c r="C96" s="4">
        <v>1219</v>
      </c>
      <c r="D96" s="4">
        <v>443</v>
      </c>
      <c r="E96" s="4">
        <v>776</v>
      </c>
    </row>
    <row r="97" spans="1:5" ht="15.75" x14ac:dyDescent="0.25">
      <c r="A97" s="18">
        <v>80</v>
      </c>
      <c r="B97" s="4" t="s">
        <v>1122</v>
      </c>
      <c r="C97" s="4">
        <v>919</v>
      </c>
      <c r="D97" s="4">
        <v>309</v>
      </c>
      <c r="E97" s="4">
        <v>610</v>
      </c>
    </row>
    <row r="98" spans="1:5" ht="15.75" x14ac:dyDescent="0.25">
      <c r="A98" s="19">
        <v>81</v>
      </c>
      <c r="B98" s="6" t="s">
        <v>418</v>
      </c>
      <c r="C98" s="6">
        <v>2313</v>
      </c>
      <c r="D98" s="6">
        <v>1062</v>
      </c>
      <c r="E98" s="6">
        <v>1251</v>
      </c>
    </row>
  </sheetData>
  <mergeCells count="4">
    <mergeCell ref="A4:A5"/>
    <mergeCell ref="B4:B5"/>
    <mergeCell ref="C4:E4"/>
    <mergeCell ref="A1:E1"/>
  </mergeCells>
  <hyperlinks>
    <hyperlink ref="A1:E1" location="'Lest of twonship'!A1" display="        Magway Region, Pakokku District, Yesagyo Township"/>
  </hyperlinks>
  <pageMargins left="0.75" right="0.5" top="0.5" bottom="0.2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workbookViewId="0">
      <selection sqref="A1:E1"/>
    </sheetView>
  </sheetViews>
  <sheetFormatPr defaultRowHeight="15" x14ac:dyDescent="0.25"/>
  <cols>
    <col min="1" max="1" width="6.85546875" customWidth="1"/>
    <col min="2" max="2" width="28.140625" bestFit="1" customWidth="1"/>
    <col min="3" max="5" width="15.7109375" customWidth="1"/>
  </cols>
  <sheetData>
    <row r="1" spans="1:5" s="38" customFormat="1" ht="18.75" x14ac:dyDescent="0.3">
      <c r="A1" s="37" t="s">
        <v>1487</v>
      </c>
      <c r="B1" s="37"/>
      <c r="C1" s="37"/>
      <c r="D1" s="37"/>
      <c r="E1" s="37"/>
    </row>
    <row r="2" spans="1:5" ht="15.75" x14ac:dyDescent="0.25">
      <c r="E2" s="8" t="s">
        <v>1463</v>
      </c>
    </row>
    <row r="4" spans="1:5" ht="15.75" x14ac:dyDescent="0.25">
      <c r="A4" s="32" t="s">
        <v>1461</v>
      </c>
      <c r="B4" s="32" t="s">
        <v>1465</v>
      </c>
      <c r="C4" s="30" t="s">
        <v>1462</v>
      </c>
      <c r="D4" s="30"/>
      <c r="E4" s="30"/>
    </row>
    <row r="5" spans="1:5" ht="15.75" x14ac:dyDescent="0.25">
      <c r="A5" s="32"/>
      <c r="B5" s="32"/>
      <c r="C5" s="12" t="s">
        <v>0</v>
      </c>
      <c r="D5" s="12" t="s">
        <v>1</v>
      </c>
      <c r="E5" s="12" t="s">
        <v>2</v>
      </c>
    </row>
    <row r="6" spans="1:5" ht="15.75" x14ac:dyDescent="0.25">
      <c r="A6" s="2"/>
      <c r="B6" s="3" t="s">
        <v>0</v>
      </c>
      <c r="C6" s="3">
        <v>225771</v>
      </c>
      <c r="D6" s="3">
        <v>100854</v>
      </c>
      <c r="E6" s="3">
        <v>124917</v>
      </c>
    </row>
    <row r="7" spans="1:5" ht="11.25" customHeight="1" x14ac:dyDescent="0.25">
      <c r="A7" s="4"/>
      <c r="B7" s="4"/>
      <c r="C7" s="4"/>
      <c r="D7" s="4"/>
      <c r="E7" s="4"/>
    </row>
    <row r="8" spans="1:5" ht="15.75" x14ac:dyDescent="0.25">
      <c r="A8" s="4"/>
      <c r="B8" s="20" t="s">
        <v>1460</v>
      </c>
      <c r="C8" s="5">
        <f>SUM(C9:C11)</f>
        <v>7706</v>
      </c>
      <c r="D8" s="5">
        <f t="shared" ref="D8:E8" si="0">SUM(D9:D11)</f>
        <v>3486</v>
      </c>
      <c r="E8" s="5">
        <f t="shared" si="0"/>
        <v>4220</v>
      </c>
    </row>
    <row r="9" spans="1:5" ht="15.75" x14ac:dyDescent="0.25">
      <c r="A9" s="4">
        <v>1</v>
      </c>
      <c r="B9" s="4" t="s">
        <v>121</v>
      </c>
      <c r="C9" s="4">
        <v>2846</v>
      </c>
      <c r="D9" s="4">
        <v>1268</v>
      </c>
      <c r="E9" s="4">
        <v>1578</v>
      </c>
    </row>
    <row r="10" spans="1:5" ht="15.75" x14ac:dyDescent="0.25">
      <c r="A10" s="4">
        <v>2</v>
      </c>
      <c r="B10" s="4" t="s">
        <v>122</v>
      </c>
      <c r="C10" s="4">
        <v>1770</v>
      </c>
      <c r="D10" s="4">
        <v>812</v>
      </c>
      <c r="E10" s="4">
        <v>958</v>
      </c>
    </row>
    <row r="11" spans="1:5" ht="15.75" x14ac:dyDescent="0.25">
      <c r="A11" s="4">
        <v>3</v>
      </c>
      <c r="B11" s="4" t="s">
        <v>123</v>
      </c>
      <c r="C11" s="4">
        <v>3090</v>
      </c>
      <c r="D11" s="4">
        <v>1406</v>
      </c>
      <c r="E11" s="4">
        <v>1684</v>
      </c>
    </row>
    <row r="12" spans="1:5" ht="15.75" x14ac:dyDescent="0.25">
      <c r="A12" s="4"/>
      <c r="B12" s="20" t="s">
        <v>1464</v>
      </c>
      <c r="C12" s="5">
        <f>SUM(C13:C93)</f>
        <v>218065</v>
      </c>
      <c r="D12" s="5">
        <f t="shared" ref="D12:E12" si="1">SUM(D13:D93)</f>
        <v>97368</v>
      </c>
      <c r="E12" s="5">
        <f t="shared" si="1"/>
        <v>120697</v>
      </c>
    </row>
    <row r="13" spans="1:5" ht="15.75" x14ac:dyDescent="0.25">
      <c r="A13" s="4">
        <v>1</v>
      </c>
      <c r="B13" s="4" t="s">
        <v>1123</v>
      </c>
      <c r="C13" s="4">
        <v>2221</v>
      </c>
      <c r="D13" s="4">
        <v>996</v>
      </c>
      <c r="E13" s="4">
        <v>1225</v>
      </c>
    </row>
    <row r="14" spans="1:5" ht="15.75" x14ac:dyDescent="0.25">
      <c r="A14" s="4">
        <v>2</v>
      </c>
      <c r="B14" s="4" t="s">
        <v>1124</v>
      </c>
      <c r="C14" s="4">
        <v>1000</v>
      </c>
      <c r="D14" s="4">
        <v>459</v>
      </c>
      <c r="E14" s="4">
        <v>541</v>
      </c>
    </row>
    <row r="15" spans="1:5" ht="15.75" x14ac:dyDescent="0.25">
      <c r="A15" s="4">
        <v>3</v>
      </c>
      <c r="B15" s="4" t="s">
        <v>1125</v>
      </c>
      <c r="C15" s="4">
        <v>791</v>
      </c>
      <c r="D15" s="4">
        <v>355</v>
      </c>
      <c r="E15" s="4">
        <v>436</v>
      </c>
    </row>
    <row r="16" spans="1:5" ht="15.75" x14ac:dyDescent="0.25">
      <c r="A16" s="4">
        <v>4</v>
      </c>
      <c r="B16" s="4" t="s">
        <v>1126</v>
      </c>
      <c r="C16" s="4">
        <v>2034</v>
      </c>
      <c r="D16" s="4">
        <v>899</v>
      </c>
      <c r="E16" s="4">
        <v>1135</v>
      </c>
    </row>
    <row r="17" spans="1:5" ht="15.75" x14ac:dyDescent="0.25">
      <c r="A17" s="4">
        <v>5</v>
      </c>
      <c r="B17" s="4" t="s">
        <v>644</v>
      </c>
      <c r="C17" s="4">
        <v>1001</v>
      </c>
      <c r="D17" s="4">
        <v>447</v>
      </c>
      <c r="E17" s="4">
        <v>554</v>
      </c>
    </row>
    <row r="18" spans="1:5" ht="15.75" x14ac:dyDescent="0.25">
      <c r="A18" s="4">
        <v>6</v>
      </c>
      <c r="B18" s="4" t="s">
        <v>1127</v>
      </c>
      <c r="C18" s="4">
        <v>2445</v>
      </c>
      <c r="D18" s="4">
        <v>1072</v>
      </c>
      <c r="E18" s="4">
        <v>1373</v>
      </c>
    </row>
    <row r="19" spans="1:5" ht="15.75" x14ac:dyDescent="0.25">
      <c r="A19" s="4">
        <v>7</v>
      </c>
      <c r="B19" s="4" t="s">
        <v>1128</v>
      </c>
      <c r="C19" s="4">
        <v>1242</v>
      </c>
      <c r="D19" s="4">
        <v>534</v>
      </c>
      <c r="E19" s="4">
        <v>708</v>
      </c>
    </row>
    <row r="20" spans="1:5" ht="15.75" x14ac:dyDescent="0.25">
      <c r="A20" s="4">
        <v>8</v>
      </c>
      <c r="B20" s="4" t="s">
        <v>1030</v>
      </c>
      <c r="C20" s="4">
        <v>941</v>
      </c>
      <c r="D20" s="4">
        <v>349</v>
      </c>
      <c r="E20" s="4">
        <v>592</v>
      </c>
    </row>
    <row r="21" spans="1:5" ht="15.75" x14ac:dyDescent="0.25">
      <c r="A21" s="4">
        <v>9</v>
      </c>
      <c r="B21" s="4" t="s">
        <v>1129</v>
      </c>
      <c r="C21" s="4">
        <v>3670</v>
      </c>
      <c r="D21" s="4">
        <v>1549</v>
      </c>
      <c r="E21" s="4">
        <v>2121</v>
      </c>
    </row>
    <row r="22" spans="1:5" ht="15.75" x14ac:dyDescent="0.25">
      <c r="A22" s="4">
        <v>10</v>
      </c>
      <c r="B22" s="4" t="s">
        <v>1130</v>
      </c>
      <c r="C22" s="4">
        <v>2296</v>
      </c>
      <c r="D22" s="4">
        <v>1061</v>
      </c>
      <c r="E22" s="4">
        <v>1235</v>
      </c>
    </row>
    <row r="23" spans="1:5" ht="15.75" x14ac:dyDescent="0.25">
      <c r="A23" s="4">
        <v>11</v>
      </c>
      <c r="B23" s="4" t="s">
        <v>1131</v>
      </c>
      <c r="C23" s="4">
        <v>2425</v>
      </c>
      <c r="D23" s="4">
        <v>1082</v>
      </c>
      <c r="E23" s="4">
        <v>1343</v>
      </c>
    </row>
    <row r="24" spans="1:5" ht="15.75" x14ac:dyDescent="0.25">
      <c r="A24" s="4">
        <v>12</v>
      </c>
      <c r="B24" s="4" t="s">
        <v>660</v>
      </c>
      <c r="C24" s="4">
        <v>2624</v>
      </c>
      <c r="D24" s="4">
        <v>1156</v>
      </c>
      <c r="E24" s="4">
        <v>1468</v>
      </c>
    </row>
    <row r="25" spans="1:5" ht="15.75" x14ac:dyDescent="0.25">
      <c r="A25" s="4">
        <v>13</v>
      </c>
      <c r="B25" s="4" t="s">
        <v>1132</v>
      </c>
      <c r="C25" s="4">
        <v>2384</v>
      </c>
      <c r="D25" s="4">
        <v>1056</v>
      </c>
      <c r="E25" s="4">
        <v>1328</v>
      </c>
    </row>
    <row r="26" spans="1:5" ht="15.75" x14ac:dyDescent="0.25">
      <c r="A26" s="4">
        <v>14</v>
      </c>
      <c r="B26" s="4" t="s">
        <v>1133</v>
      </c>
      <c r="C26" s="4">
        <v>1550</v>
      </c>
      <c r="D26" s="4">
        <v>732</v>
      </c>
      <c r="E26" s="4">
        <v>818</v>
      </c>
    </row>
    <row r="27" spans="1:5" ht="15.75" x14ac:dyDescent="0.25">
      <c r="A27" s="4">
        <v>15</v>
      </c>
      <c r="B27" s="4" t="s">
        <v>108</v>
      </c>
      <c r="C27" s="4">
        <v>2168</v>
      </c>
      <c r="D27" s="4">
        <v>914</v>
      </c>
      <c r="E27" s="4">
        <v>1254</v>
      </c>
    </row>
    <row r="28" spans="1:5" ht="15.75" x14ac:dyDescent="0.25">
      <c r="A28" s="4">
        <v>16</v>
      </c>
      <c r="B28" s="4" t="s">
        <v>1134</v>
      </c>
      <c r="C28" s="4">
        <v>2231</v>
      </c>
      <c r="D28" s="4">
        <v>1007</v>
      </c>
      <c r="E28" s="4">
        <v>1224</v>
      </c>
    </row>
    <row r="29" spans="1:5" ht="15.75" x14ac:dyDescent="0.25">
      <c r="A29" s="4">
        <v>17</v>
      </c>
      <c r="B29" s="4" t="s">
        <v>1135</v>
      </c>
      <c r="C29" s="4">
        <v>2160</v>
      </c>
      <c r="D29" s="4">
        <v>959</v>
      </c>
      <c r="E29" s="4">
        <v>1201</v>
      </c>
    </row>
    <row r="30" spans="1:5" ht="15.75" x14ac:dyDescent="0.25">
      <c r="A30" s="4">
        <v>18</v>
      </c>
      <c r="B30" s="4" t="s">
        <v>1136</v>
      </c>
      <c r="C30" s="4">
        <v>2456</v>
      </c>
      <c r="D30" s="4">
        <v>1099</v>
      </c>
      <c r="E30" s="4">
        <v>1357</v>
      </c>
    </row>
    <row r="31" spans="1:5" ht="15.75" x14ac:dyDescent="0.25">
      <c r="A31" s="4">
        <v>19</v>
      </c>
      <c r="B31" s="4" t="s">
        <v>1137</v>
      </c>
      <c r="C31" s="4">
        <v>912</v>
      </c>
      <c r="D31" s="4">
        <v>335</v>
      </c>
      <c r="E31" s="4">
        <v>577</v>
      </c>
    </row>
    <row r="32" spans="1:5" ht="15.75" x14ac:dyDescent="0.25">
      <c r="A32" s="4">
        <v>20</v>
      </c>
      <c r="B32" s="4" t="s">
        <v>1138</v>
      </c>
      <c r="C32" s="4">
        <v>1879</v>
      </c>
      <c r="D32" s="4">
        <v>837</v>
      </c>
      <c r="E32" s="4">
        <v>1042</v>
      </c>
    </row>
    <row r="33" spans="1:5" ht="15.75" x14ac:dyDescent="0.25">
      <c r="A33" s="4">
        <v>21</v>
      </c>
      <c r="B33" s="4" t="s">
        <v>1139</v>
      </c>
      <c r="C33" s="4">
        <v>4152</v>
      </c>
      <c r="D33" s="4">
        <v>1879</v>
      </c>
      <c r="E33" s="4">
        <v>2273</v>
      </c>
    </row>
    <row r="34" spans="1:5" ht="15.75" x14ac:dyDescent="0.25">
      <c r="A34" s="4">
        <v>22</v>
      </c>
      <c r="B34" s="4" t="s">
        <v>1140</v>
      </c>
      <c r="C34" s="4">
        <v>4744</v>
      </c>
      <c r="D34" s="4">
        <v>2171</v>
      </c>
      <c r="E34" s="4">
        <v>2573</v>
      </c>
    </row>
    <row r="35" spans="1:5" ht="15.75" x14ac:dyDescent="0.25">
      <c r="A35" s="4">
        <v>23</v>
      </c>
      <c r="B35" s="4" t="s">
        <v>1141</v>
      </c>
      <c r="C35" s="4">
        <v>3923</v>
      </c>
      <c r="D35" s="4">
        <v>1825</v>
      </c>
      <c r="E35" s="4">
        <v>2098</v>
      </c>
    </row>
    <row r="36" spans="1:5" ht="15.75" x14ac:dyDescent="0.25">
      <c r="A36" s="4">
        <v>24</v>
      </c>
      <c r="B36" s="4" t="s">
        <v>1142</v>
      </c>
      <c r="C36" s="4">
        <v>2275</v>
      </c>
      <c r="D36" s="4">
        <v>1004</v>
      </c>
      <c r="E36" s="4">
        <v>1271</v>
      </c>
    </row>
    <row r="37" spans="1:5" ht="15.75" x14ac:dyDescent="0.25">
      <c r="A37" s="4">
        <v>25</v>
      </c>
      <c r="B37" s="4" t="s">
        <v>337</v>
      </c>
      <c r="C37" s="4">
        <v>2604</v>
      </c>
      <c r="D37" s="4">
        <v>1234</v>
      </c>
      <c r="E37" s="4">
        <v>1370</v>
      </c>
    </row>
    <row r="38" spans="1:5" ht="15.75" x14ac:dyDescent="0.25">
      <c r="A38" s="4">
        <v>26</v>
      </c>
      <c r="B38" s="4" t="s">
        <v>1143</v>
      </c>
      <c r="C38" s="4">
        <v>1471</v>
      </c>
      <c r="D38" s="4">
        <v>594</v>
      </c>
      <c r="E38" s="4">
        <v>877</v>
      </c>
    </row>
    <row r="39" spans="1:5" ht="15.75" x14ac:dyDescent="0.25">
      <c r="A39" s="4">
        <v>27</v>
      </c>
      <c r="B39" s="4" t="s">
        <v>1144</v>
      </c>
      <c r="C39" s="4">
        <v>3176</v>
      </c>
      <c r="D39" s="4">
        <v>1331</v>
      </c>
      <c r="E39" s="4">
        <v>1845</v>
      </c>
    </row>
    <row r="40" spans="1:5" ht="15.75" x14ac:dyDescent="0.25">
      <c r="A40" s="4">
        <v>28</v>
      </c>
      <c r="B40" s="4" t="s">
        <v>1145</v>
      </c>
      <c r="C40" s="4">
        <v>2654</v>
      </c>
      <c r="D40" s="4">
        <v>1144</v>
      </c>
      <c r="E40" s="4">
        <v>1510</v>
      </c>
    </row>
    <row r="41" spans="1:5" ht="15.75" x14ac:dyDescent="0.25">
      <c r="A41" s="4">
        <v>29</v>
      </c>
      <c r="B41" s="4" t="s">
        <v>1146</v>
      </c>
      <c r="C41" s="4">
        <v>2365</v>
      </c>
      <c r="D41" s="4">
        <v>969</v>
      </c>
      <c r="E41" s="4">
        <v>1396</v>
      </c>
    </row>
    <row r="42" spans="1:5" ht="15.75" x14ac:dyDescent="0.25">
      <c r="A42" s="4">
        <v>30</v>
      </c>
      <c r="B42" s="4" t="s">
        <v>1147</v>
      </c>
      <c r="C42" s="4">
        <v>1236</v>
      </c>
      <c r="D42" s="4">
        <v>542</v>
      </c>
      <c r="E42" s="4">
        <v>694</v>
      </c>
    </row>
    <row r="43" spans="1:5" ht="15.75" x14ac:dyDescent="0.25">
      <c r="A43" s="4">
        <v>31</v>
      </c>
      <c r="B43" s="4" t="s">
        <v>1148</v>
      </c>
      <c r="C43" s="4">
        <v>2151</v>
      </c>
      <c r="D43" s="4">
        <v>959</v>
      </c>
      <c r="E43" s="4">
        <v>1192</v>
      </c>
    </row>
    <row r="44" spans="1:5" ht="15.75" x14ac:dyDescent="0.25">
      <c r="A44" s="4">
        <v>32</v>
      </c>
      <c r="B44" s="4" t="s">
        <v>1149</v>
      </c>
      <c r="C44" s="4">
        <v>4578</v>
      </c>
      <c r="D44" s="4">
        <v>2024</v>
      </c>
      <c r="E44" s="4">
        <v>2554</v>
      </c>
    </row>
    <row r="45" spans="1:5" ht="15.75" x14ac:dyDescent="0.25">
      <c r="A45" s="4">
        <v>33</v>
      </c>
      <c r="B45" s="4" t="s">
        <v>1150</v>
      </c>
      <c r="C45" s="4">
        <v>1254</v>
      </c>
      <c r="D45" s="4">
        <v>584</v>
      </c>
      <c r="E45" s="4">
        <v>670</v>
      </c>
    </row>
    <row r="46" spans="1:5" ht="15.75" x14ac:dyDescent="0.25">
      <c r="A46" s="4">
        <v>34</v>
      </c>
      <c r="B46" s="4" t="s">
        <v>778</v>
      </c>
      <c r="C46" s="4">
        <v>3053</v>
      </c>
      <c r="D46" s="4">
        <v>1439</v>
      </c>
      <c r="E46" s="4">
        <v>1614</v>
      </c>
    </row>
    <row r="47" spans="1:5" ht="15.75" x14ac:dyDescent="0.25">
      <c r="A47" s="4">
        <v>35</v>
      </c>
      <c r="B47" s="4" t="s">
        <v>1151</v>
      </c>
      <c r="C47" s="4">
        <v>2665</v>
      </c>
      <c r="D47" s="4">
        <v>1125</v>
      </c>
      <c r="E47" s="4">
        <v>1540</v>
      </c>
    </row>
    <row r="48" spans="1:5" ht="15.75" x14ac:dyDescent="0.25">
      <c r="A48" s="4">
        <v>36</v>
      </c>
      <c r="B48" s="4" t="s">
        <v>1152</v>
      </c>
      <c r="C48" s="4">
        <v>7454</v>
      </c>
      <c r="D48" s="4">
        <v>3292</v>
      </c>
      <c r="E48" s="4">
        <v>4162</v>
      </c>
    </row>
    <row r="49" spans="1:5" ht="15.75" x14ac:dyDescent="0.25">
      <c r="A49" s="4">
        <v>37</v>
      </c>
      <c r="B49" s="4" t="s">
        <v>1153</v>
      </c>
      <c r="C49" s="4">
        <v>4375</v>
      </c>
      <c r="D49" s="4">
        <v>2028</v>
      </c>
      <c r="E49" s="4">
        <v>2347</v>
      </c>
    </row>
    <row r="50" spans="1:5" ht="15.75" x14ac:dyDescent="0.25">
      <c r="A50" s="4">
        <v>38</v>
      </c>
      <c r="B50" s="4" t="s">
        <v>22</v>
      </c>
      <c r="C50" s="4">
        <v>1957</v>
      </c>
      <c r="D50" s="4">
        <v>887</v>
      </c>
      <c r="E50" s="4">
        <v>1070</v>
      </c>
    </row>
    <row r="51" spans="1:5" ht="15.75" x14ac:dyDescent="0.25">
      <c r="A51" s="4">
        <v>39</v>
      </c>
      <c r="B51" s="4" t="s">
        <v>1154</v>
      </c>
      <c r="C51" s="4">
        <v>2298</v>
      </c>
      <c r="D51" s="4">
        <v>1051</v>
      </c>
      <c r="E51" s="4">
        <v>1247</v>
      </c>
    </row>
    <row r="52" spans="1:5" ht="15.75" x14ac:dyDescent="0.25">
      <c r="A52" s="4">
        <v>40</v>
      </c>
      <c r="B52" s="4" t="s">
        <v>1155</v>
      </c>
      <c r="C52" s="4">
        <v>4179</v>
      </c>
      <c r="D52" s="4">
        <v>1794</v>
      </c>
      <c r="E52" s="4">
        <v>2385</v>
      </c>
    </row>
    <row r="53" spans="1:5" ht="15.75" x14ac:dyDescent="0.25">
      <c r="A53" s="4">
        <v>41</v>
      </c>
      <c r="B53" s="4" t="s">
        <v>1156</v>
      </c>
      <c r="C53" s="4">
        <v>7678</v>
      </c>
      <c r="D53" s="4">
        <v>3804</v>
      </c>
      <c r="E53" s="4">
        <v>3874</v>
      </c>
    </row>
    <row r="54" spans="1:5" ht="15.75" x14ac:dyDescent="0.25">
      <c r="A54" s="4">
        <v>42</v>
      </c>
      <c r="B54" s="4" t="s">
        <v>114</v>
      </c>
      <c r="C54" s="4">
        <v>6593</v>
      </c>
      <c r="D54" s="4">
        <v>3039</v>
      </c>
      <c r="E54" s="4">
        <v>3554</v>
      </c>
    </row>
    <row r="55" spans="1:5" ht="15.75" x14ac:dyDescent="0.25">
      <c r="A55" s="4">
        <v>43</v>
      </c>
      <c r="B55" s="4" t="s">
        <v>1157</v>
      </c>
      <c r="C55" s="4">
        <v>4386</v>
      </c>
      <c r="D55" s="4">
        <v>1986</v>
      </c>
      <c r="E55" s="4">
        <v>2400</v>
      </c>
    </row>
    <row r="56" spans="1:5" ht="15.75" x14ac:dyDescent="0.25">
      <c r="A56" s="4">
        <v>44</v>
      </c>
      <c r="B56" s="4" t="s">
        <v>1158</v>
      </c>
      <c r="C56" s="4">
        <v>4049</v>
      </c>
      <c r="D56" s="4">
        <v>1748</v>
      </c>
      <c r="E56" s="4">
        <v>2301</v>
      </c>
    </row>
    <row r="57" spans="1:5" ht="15.75" x14ac:dyDescent="0.25">
      <c r="A57" s="4">
        <v>45</v>
      </c>
      <c r="B57" s="4" t="s">
        <v>1159</v>
      </c>
      <c r="C57" s="4">
        <v>3252</v>
      </c>
      <c r="D57" s="4">
        <v>1479</v>
      </c>
      <c r="E57" s="4">
        <v>1773</v>
      </c>
    </row>
    <row r="58" spans="1:5" ht="15.75" x14ac:dyDescent="0.25">
      <c r="A58" s="4">
        <v>46</v>
      </c>
      <c r="B58" s="4" t="s">
        <v>1160</v>
      </c>
      <c r="C58" s="4">
        <v>3959</v>
      </c>
      <c r="D58" s="4">
        <v>1836</v>
      </c>
      <c r="E58" s="4">
        <v>2123</v>
      </c>
    </row>
    <row r="59" spans="1:5" ht="15.75" x14ac:dyDescent="0.25">
      <c r="A59" s="4">
        <v>47</v>
      </c>
      <c r="B59" s="4" t="s">
        <v>1161</v>
      </c>
      <c r="C59" s="4">
        <v>6109</v>
      </c>
      <c r="D59" s="4">
        <v>2941</v>
      </c>
      <c r="E59" s="4">
        <v>3168</v>
      </c>
    </row>
    <row r="60" spans="1:5" ht="15.75" x14ac:dyDescent="0.25">
      <c r="A60" s="4">
        <v>48</v>
      </c>
      <c r="B60" s="4" t="s">
        <v>917</v>
      </c>
      <c r="C60" s="4">
        <v>3512</v>
      </c>
      <c r="D60" s="4">
        <v>1586</v>
      </c>
      <c r="E60" s="4">
        <v>1926</v>
      </c>
    </row>
    <row r="61" spans="1:5" ht="15.75" x14ac:dyDescent="0.25">
      <c r="A61" s="4">
        <v>49</v>
      </c>
      <c r="B61" s="4" t="s">
        <v>1162</v>
      </c>
      <c r="C61" s="4">
        <v>2271</v>
      </c>
      <c r="D61" s="4">
        <v>993</v>
      </c>
      <c r="E61" s="4">
        <v>1278</v>
      </c>
    </row>
    <row r="62" spans="1:5" ht="15.75" x14ac:dyDescent="0.25">
      <c r="A62" s="4">
        <v>50</v>
      </c>
      <c r="B62" s="4" t="s">
        <v>38</v>
      </c>
      <c r="C62" s="4">
        <v>6471</v>
      </c>
      <c r="D62" s="4">
        <v>2890</v>
      </c>
      <c r="E62" s="4">
        <v>3581</v>
      </c>
    </row>
    <row r="63" spans="1:5" ht="15.75" x14ac:dyDescent="0.25">
      <c r="A63" s="4">
        <v>51</v>
      </c>
      <c r="B63" s="4" t="s">
        <v>1163</v>
      </c>
      <c r="C63" s="4">
        <v>2705</v>
      </c>
      <c r="D63" s="4">
        <v>1204</v>
      </c>
      <c r="E63" s="4">
        <v>1501</v>
      </c>
    </row>
    <row r="64" spans="1:5" ht="15.75" x14ac:dyDescent="0.25">
      <c r="A64" s="4">
        <v>52</v>
      </c>
      <c r="B64" s="4" t="s">
        <v>1164</v>
      </c>
      <c r="C64" s="4">
        <v>1519</v>
      </c>
      <c r="D64" s="4">
        <v>678</v>
      </c>
      <c r="E64" s="4">
        <v>841</v>
      </c>
    </row>
    <row r="65" spans="1:5" ht="15.75" x14ac:dyDescent="0.25">
      <c r="A65" s="4">
        <v>53</v>
      </c>
      <c r="B65" s="4" t="s">
        <v>1165</v>
      </c>
      <c r="C65" s="4">
        <v>1429</v>
      </c>
      <c r="D65" s="4">
        <v>644</v>
      </c>
      <c r="E65" s="4">
        <v>785</v>
      </c>
    </row>
    <row r="66" spans="1:5" ht="15.75" x14ac:dyDescent="0.25">
      <c r="A66" s="4">
        <v>54</v>
      </c>
      <c r="B66" s="4" t="s">
        <v>1166</v>
      </c>
      <c r="C66" s="4">
        <v>914</v>
      </c>
      <c r="D66" s="4">
        <v>405</v>
      </c>
      <c r="E66" s="4">
        <v>509</v>
      </c>
    </row>
    <row r="67" spans="1:5" ht="15.75" x14ac:dyDescent="0.25">
      <c r="A67" s="4">
        <v>55</v>
      </c>
      <c r="B67" s="4" t="s">
        <v>1167</v>
      </c>
      <c r="C67" s="4">
        <v>2175</v>
      </c>
      <c r="D67" s="4">
        <v>898</v>
      </c>
      <c r="E67" s="4">
        <v>1277</v>
      </c>
    </row>
    <row r="68" spans="1:5" ht="15.75" x14ac:dyDescent="0.25">
      <c r="A68" s="4">
        <v>56</v>
      </c>
      <c r="B68" s="4" t="s">
        <v>1168</v>
      </c>
      <c r="C68" s="4">
        <v>1159</v>
      </c>
      <c r="D68" s="4">
        <v>478</v>
      </c>
      <c r="E68" s="4">
        <v>681</v>
      </c>
    </row>
    <row r="69" spans="1:5" ht="15.75" x14ac:dyDescent="0.25">
      <c r="A69" s="4">
        <v>57</v>
      </c>
      <c r="B69" s="4" t="s">
        <v>1169</v>
      </c>
      <c r="C69" s="4">
        <v>1261</v>
      </c>
      <c r="D69" s="4">
        <v>540</v>
      </c>
      <c r="E69" s="4">
        <v>721</v>
      </c>
    </row>
    <row r="70" spans="1:5" ht="15.75" x14ac:dyDescent="0.25">
      <c r="A70" s="4">
        <v>58</v>
      </c>
      <c r="B70" s="4" t="s">
        <v>1170</v>
      </c>
      <c r="C70" s="4">
        <v>5334</v>
      </c>
      <c r="D70" s="4">
        <v>2385</v>
      </c>
      <c r="E70" s="4">
        <v>2949</v>
      </c>
    </row>
    <row r="71" spans="1:5" ht="15.75" x14ac:dyDescent="0.25">
      <c r="A71" s="4">
        <v>59</v>
      </c>
      <c r="B71" s="4" t="s">
        <v>1171</v>
      </c>
      <c r="C71" s="4">
        <v>3986</v>
      </c>
      <c r="D71" s="4">
        <v>1826</v>
      </c>
      <c r="E71" s="4">
        <v>2160</v>
      </c>
    </row>
    <row r="72" spans="1:5" ht="15.75" x14ac:dyDescent="0.25">
      <c r="A72" s="4">
        <v>60</v>
      </c>
      <c r="B72" s="4" t="s">
        <v>1172</v>
      </c>
      <c r="C72" s="4">
        <v>3890</v>
      </c>
      <c r="D72" s="4">
        <v>1725</v>
      </c>
      <c r="E72" s="4">
        <v>2165</v>
      </c>
    </row>
    <row r="73" spans="1:5" ht="15.75" x14ac:dyDescent="0.25">
      <c r="A73" s="4">
        <v>61</v>
      </c>
      <c r="B73" s="4" t="s">
        <v>1173</v>
      </c>
      <c r="C73" s="4">
        <v>3337</v>
      </c>
      <c r="D73" s="4">
        <v>1483</v>
      </c>
      <c r="E73" s="4">
        <v>1854</v>
      </c>
    </row>
    <row r="74" spans="1:5" ht="15.75" x14ac:dyDescent="0.25">
      <c r="A74" s="4">
        <v>62</v>
      </c>
      <c r="B74" s="4" t="s">
        <v>1174</v>
      </c>
      <c r="C74" s="4">
        <v>1203</v>
      </c>
      <c r="D74" s="4">
        <v>549</v>
      </c>
      <c r="E74" s="4">
        <v>654</v>
      </c>
    </row>
    <row r="75" spans="1:5" ht="15.75" x14ac:dyDescent="0.25">
      <c r="A75" s="4">
        <v>63</v>
      </c>
      <c r="B75" s="4" t="s">
        <v>1175</v>
      </c>
      <c r="C75" s="4">
        <v>2273</v>
      </c>
      <c r="D75" s="4">
        <v>960</v>
      </c>
      <c r="E75" s="4">
        <v>1313</v>
      </c>
    </row>
    <row r="76" spans="1:5" ht="15.75" x14ac:dyDescent="0.25">
      <c r="A76" s="4">
        <v>64</v>
      </c>
      <c r="B76" s="4" t="s">
        <v>1176</v>
      </c>
      <c r="C76" s="4">
        <v>1929</v>
      </c>
      <c r="D76" s="4">
        <v>905</v>
      </c>
      <c r="E76" s="4">
        <v>1024</v>
      </c>
    </row>
    <row r="77" spans="1:5" ht="15.75" x14ac:dyDescent="0.25">
      <c r="A77" s="4">
        <v>65</v>
      </c>
      <c r="B77" s="4" t="s">
        <v>1177</v>
      </c>
      <c r="C77" s="4">
        <v>1920</v>
      </c>
      <c r="D77" s="4">
        <v>829</v>
      </c>
      <c r="E77" s="4">
        <v>1091</v>
      </c>
    </row>
    <row r="78" spans="1:5" ht="15.75" x14ac:dyDescent="0.25">
      <c r="A78" s="4">
        <v>66</v>
      </c>
      <c r="B78" s="4" t="s">
        <v>1178</v>
      </c>
      <c r="C78" s="4">
        <v>1516</v>
      </c>
      <c r="D78" s="4">
        <v>649</v>
      </c>
      <c r="E78" s="4">
        <v>867</v>
      </c>
    </row>
    <row r="79" spans="1:5" ht="15.75" x14ac:dyDescent="0.25">
      <c r="A79" s="4">
        <v>67</v>
      </c>
      <c r="B79" s="4" t="s">
        <v>1179</v>
      </c>
      <c r="C79" s="4">
        <v>2894</v>
      </c>
      <c r="D79" s="4">
        <v>1220</v>
      </c>
      <c r="E79" s="4">
        <v>1674</v>
      </c>
    </row>
    <row r="80" spans="1:5" ht="15.75" x14ac:dyDescent="0.25">
      <c r="A80" s="4">
        <v>68</v>
      </c>
      <c r="B80" s="4" t="s">
        <v>1180</v>
      </c>
      <c r="C80" s="4">
        <v>2815</v>
      </c>
      <c r="D80" s="4">
        <v>1198</v>
      </c>
      <c r="E80" s="4">
        <v>1617</v>
      </c>
    </row>
    <row r="81" spans="1:5" ht="15.75" x14ac:dyDescent="0.25">
      <c r="A81" s="4">
        <v>69</v>
      </c>
      <c r="B81" s="4" t="s">
        <v>1181</v>
      </c>
      <c r="C81" s="4">
        <v>1651</v>
      </c>
      <c r="D81" s="4">
        <v>706</v>
      </c>
      <c r="E81" s="4">
        <v>945</v>
      </c>
    </row>
    <row r="82" spans="1:5" ht="15.75" x14ac:dyDescent="0.25">
      <c r="A82" s="4">
        <v>70</v>
      </c>
      <c r="B82" s="4" t="s">
        <v>1182</v>
      </c>
      <c r="C82" s="4">
        <v>1398</v>
      </c>
      <c r="D82" s="4">
        <v>626</v>
      </c>
      <c r="E82" s="4">
        <v>772</v>
      </c>
    </row>
    <row r="83" spans="1:5" ht="15.75" x14ac:dyDescent="0.25">
      <c r="A83" s="4">
        <v>71</v>
      </c>
      <c r="B83" s="4" t="s">
        <v>1183</v>
      </c>
      <c r="C83" s="4">
        <v>2288</v>
      </c>
      <c r="D83" s="4">
        <v>954</v>
      </c>
      <c r="E83" s="4">
        <v>1334</v>
      </c>
    </row>
    <row r="84" spans="1:5" ht="15.75" x14ac:dyDescent="0.25">
      <c r="A84" s="4">
        <v>72</v>
      </c>
      <c r="B84" s="4" t="s">
        <v>1184</v>
      </c>
      <c r="C84" s="4">
        <v>938</v>
      </c>
      <c r="D84" s="4">
        <v>493</v>
      </c>
      <c r="E84" s="4">
        <v>445</v>
      </c>
    </row>
    <row r="85" spans="1:5" ht="15.75" x14ac:dyDescent="0.25">
      <c r="A85" s="4">
        <v>73</v>
      </c>
      <c r="B85" s="4" t="s">
        <v>1185</v>
      </c>
      <c r="C85" s="4">
        <v>3390</v>
      </c>
      <c r="D85" s="4">
        <v>1454</v>
      </c>
      <c r="E85" s="4">
        <v>1936</v>
      </c>
    </row>
    <row r="86" spans="1:5" ht="15.75" x14ac:dyDescent="0.25">
      <c r="A86" s="4">
        <v>74</v>
      </c>
      <c r="B86" s="4" t="s">
        <v>1186</v>
      </c>
      <c r="C86" s="4">
        <v>2539</v>
      </c>
      <c r="D86" s="4">
        <v>1078</v>
      </c>
      <c r="E86" s="4">
        <v>1461</v>
      </c>
    </row>
    <row r="87" spans="1:5" ht="15.75" x14ac:dyDescent="0.25">
      <c r="A87" s="4">
        <v>75</v>
      </c>
      <c r="B87" s="4" t="s">
        <v>1187</v>
      </c>
      <c r="C87" s="4">
        <v>696</v>
      </c>
      <c r="D87" s="4">
        <v>311</v>
      </c>
      <c r="E87" s="4">
        <v>385</v>
      </c>
    </row>
    <row r="88" spans="1:5" ht="15.75" x14ac:dyDescent="0.25">
      <c r="A88" s="4">
        <v>76</v>
      </c>
      <c r="B88" s="4" t="s">
        <v>1188</v>
      </c>
      <c r="C88" s="4">
        <v>4698</v>
      </c>
      <c r="D88" s="4">
        <v>2162</v>
      </c>
      <c r="E88" s="4">
        <v>2536</v>
      </c>
    </row>
    <row r="89" spans="1:5" ht="15.75" x14ac:dyDescent="0.25">
      <c r="A89" s="4">
        <v>77</v>
      </c>
      <c r="B89" s="4" t="s">
        <v>282</v>
      </c>
      <c r="C89" s="4">
        <v>828</v>
      </c>
      <c r="D89" s="4">
        <v>359</v>
      </c>
      <c r="E89" s="4">
        <v>469</v>
      </c>
    </row>
    <row r="90" spans="1:5" ht="15.75" x14ac:dyDescent="0.25">
      <c r="A90" s="4">
        <v>78</v>
      </c>
      <c r="B90" s="4" t="s">
        <v>1189</v>
      </c>
      <c r="C90" s="4">
        <v>2620</v>
      </c>
      <c r="D90" s="4">
        <v>1162</v>
      </c>
      <c r="E90" s="4">
        <v>1458</v>
      </c>
    </row>
    <row r="91" spans="1:5" ht="15.75" x14ac:dyDescent="0.25">
      <c r="A91" s="4">
        <v>79</v>
      </c>
      <c r="B91" s="4" t="s">
        <v>1190</v>
      </c>
      <c r="C91" s="4">
        <v>1620</v>
      </c>
      <c r="D91" s="4">
        <v>660</v>
      </c>
      <c r="E91" s="4">
        <v>960</v>
      </c>
    </row>
    <row r="92" spans="1:5" ht="15.75" x14ac:dyDescent="0.25">
      <c r="A92" s="4">
        <v>80</v>
      </c>
      <c r="B92" s="4" t="s">
        <v>1191</v>
      </c>
      <c r="C92" s="4">
        <v>3166</v>
      </c>
      <c r="D92" s="4">
        <v>1435</v>
      </c>
      <c r="E92" s="4">
        <v>1731</v>
      </c>
    </row>
    <row r="93" spans="1:5" ht="15.75" x14ac:dyDescent="0.25">
      <c r="A93" s="6">
        <v>81</v>
      </c>
      <c r="B93" s="6" t="s">
        <v>1192</v>
      </c>
      <c r="C93" s="6">
        <v>700</v>
      </c>
      <c r="D93" s="6">
        <v>316</v>
      </c>
      <c r="E93" s="6">
        <v>384</v>
      </c>
    </row>
  </sheetData>
  <mergeCells count="4">
    <mergeCell ref="A4:A5"/>
    <mergeCell ref="B4:B5"/>
    <mergeCell ref="C4:E4"/>
    <mergeCell ref="A1:E1"/>
  </mergeCells>
  <hyperlinks>
    <hyperlink ref="A1:E1" location="'Lest of twonship'!A1" display="        Magway Region, Pakokku District, Myaing Township"/>
  </hyperlinks>
  <pageMargins left="0.75" right="0.5" top="0.5" bottom="0.2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workbookViewId="0">
      <selection sqref="A1:E1"/>
    </sheetView>
  </sheetViews>
  <sheetFormatPr defaultRowHeight="15" x14ac:dyDescent="0.25"/>
  <cols>
    <col min="1" max="1" width="6.28515625" customWidth="1"/>
    <col min="2" max="2" width="36.7109375" bestFit="1" customWidth="1"/>
    <col min="3" max="5" width="15.7109375" customWidth="1"/>
  </cols>
  <sheetData>
    <row r="1" spans="1:5" s="38" customFormat="1" ht="18.75" x14ac:dyDescent="0.3">
      <c r="A1" s="37" t="s">
        <v>1488</v>
      </c>
      <c r="B1" s="37"/>
      <c r="C1" s="37"/>
      <c r="D1" s="37"/>
      <c r="E1" s="37"/>
    </row>
    <row r="2" spans="1:5" ht="15.75" x14ac:dyDescent="0.25">
      <c r="E2" s="8" t="s">
        <v>1463</v>
      </c>
    </row>
    <row r="3" spans="1:5" ht="18" customHeight="1" x14ac:dyDescent="0.25"/>
    <row r="4" spans="1:5" ht="15.75" x14ac:dyDescent="0.25">
      <c r="A4" s="33" t="s">
        <v>1461</v>
      </c>
      <c r="B4" s="33" t="s">
        <v>1465</v>
      </c>
      <c r="C4" s="35" t="s">
        <v>1462</v>
      </c>
      <c r="D4" s="35"/>
      <c r="E4" s="35"/>
    </row>
    <row r="5" spans="1:5" ht="15.75" x14ac:dyDescent="0.25">
      <c r="A5" s="34"/>
      <c r="B5" s="34"/>
      <c r="C5" s="21" t="s">
        <v>0</v>
      </c>
      <c r="D5" s="21" t="s">
        <v>1</v>
      </c>
      <c r="E5" s="21" t="s">
        <v>2</v>
      </c>
    </row>
    <row r="6" spans="1:5" ht="15.75" x14ac:dyDescent="0.25">
      <c r="A6" s="4"/>
      <c r="B6" s="3" t="s">
        <v>0</v>
      </c>
      <c r="C6" s="5">
        <v>171514</v>
      </c>
      <c r="D6" s="5">
        <v>79030</v>
      </c>
      <c r="E6" s="5">
        <v>92484</v>
      </c>
    </row>
    <row r="7" spans="1:5" ht="9.75" customHeight="1" x14ac:dyDescent="0.25">
      <c r="A7" s="4"/>
      <c r="B7" s="4"/>
      <c r="C7" s="4"/>
      <c r="D7" s="4"/>
      <c r="E7" s="4"/>
    </row>
    <row r="8" spans="1:5" ht="15.75" x14ac:dyDescent="0.25">
      <c r="A8" s="4"/>
      <c r="B8" s="20" t="s">
        <v>1460</v>
      </c>
      <c r="C8" s="5">
        <f>SUM(C9:C12)</f>
        <v>7286</v>
      </c>
      <c r="D8" s="5">
        <f t="shared" ref="D8:E8" si="0">SUM(D9:D12)</f>
        <v>3255</v>
      </c>
      <c r="E8" s="5">
        <f t="shared" si="0"/>
        <v>4031</v>
      </c>
    </row>
    <row r="9" spans="1:5" ht="15.75" x14ac:dyDescent="0.25">
      <c r="A9" s="4">
        <v>1</v>
      </c>
      <c r="B9" s="4" t="s">
        <v>1193</v>
      </c>
      <c r="C9" s="4">
        <v>3102</v>
      </c>
      <c r="D9" s="4">
        <v>1441</v>
      </c>
      <c r="E9" s="4">
        <v>1661</v>
      </c>
    </row>
    <row r="10" spans="1:5" ht="15.75" x14ac:dyDescent="0.25">
      <c r="A10" s="4">
        <v>2</v>
      </c>
      <c r="B10" s="4" t="s">
        <v>1194</v>
      </c>
      <c r="C10" s="4">
        <v>1406</v>
      </c>
      <c r="D10" s="4">
        <v>598</v>
      </c>
      <c r="E10" s="4">
        <v>808</v>
      </c>
    </row>
    <row r="11" spans="1:5" ht="15.75" x14ac:dyDescent="0.25">
      <c r="A11" s="4">
        <v>3</v>
      </c>
      <c r="B11" s="4" t="s">
        <v>15</v>
      </c>
      <c r="C11" s="4">
        <v>1436</v>
      </c>
      <c r="D11" s="4">
        <v>610</v>
      </c>
      <c r="E11" s="4">
        <v>826</v>
      </c>
    </row>
    <row r="12" spans="1:5" ht="15.75" x14ac:dyDescent="0.25">
      <c r="A12" s="4">
        <v>4</v>
      </c>
      <c r="B12" s="4" t="s">
        <v>1195</v>
      </c>
      <c r="C12" s="4">
        <v>1342</v>
      </c>
      <c r="D12" s="4">
        <v>606</v>
      </c>
      <c r="E12" s="4">
        <v>736</v>
      </c>
    </row>
    <row r="13" spans="1:5" ht="15.75" x14ac:dyDescent="0.25">
      <c r="A13" s="4"/>
      <c r="B13" s="20" t="s">
        <v>1464</v>
      </c>
      <c r="C13" s="5">
        <f>SUM(C14:C81)</f>
        <v>164228</v>
      </c>
      <c r="D13" s="5">
        <f t="shared" ref="D13:E13" si="1">SUM(D14:D81)</f>
        <v>75775</v>
      </c>
      <c r="E13" s="5">
        <f t="shared" si="1"/>
        <v>88453</v>
      </c>
    </row>
    <row r="14" spans="1:5" ht="15.75" x14ac:dyDescent="0.25">
      <c r="A14" s="4">
        <v>1</v>
      </c>
      <c r="B14" s="4" t="s">
        <v>311</v>
      </c>
      <c r="C14" s="4">
        <v>2212</v>
      </c>
      <c r="D14" s="4">
        <v>1018</v>
      </c>
      <c r="E14" s="4">
        <v>1194</v>
      </c>
    </row>
    <row r="15" spans="1:5" ht="15.75" x14ac:dyDescent="0.25">
      <c r="A15" s="4">
        <v>2</v>
      </c>
      <c r="B15" s="4" t="s">
        <v>1196</v>
      </c>
      <c r="C15" s="4">
        <v>2598</v>
      </c>
      <c r="D15" s="4">
        <v>1217</v>
      </c>
      <c r="E15" s="4">
        <v>1381</v>
      </c>
    </row>
    <row r="16" spans="1:5" ht="15.75" x14ac:dyDescent="0.25">
      <c r="A16" s="4">
        <v>3</v>
      </c>
      <c r="B16" s="4" t="s">
        <v>1197</v>
      </c>
      <c r="C16" s="4">
        <v>2888</v>
      </c>
      <c r="D16" s="4">
        <v>1306</v>
      </c>
      <c r="E16" s="4">
        <v>1582</v>
      </c>
    </row>
    <row r="17" spans="1:5" ht="15.75" x14ac:dyDescent="0.25">
      <c r="A17" s="4">
        <v>4</v>
      </c>
      <c r="B17" s="4" t="s">
        <v>1198</v>
      </c>
      <c r="C17" s="4">
        <v>1772</v>
      </c>
      <c r="D17" s="4">
        <v>875</v>
      </c>
      <c r="E17" s="4">
        <v>897</v>
      </c>
    </row>
    <row r="18" spans="1:5" ht="15.75" x14ac:dyDescent="0.25">
      <c r="A18" s="4">
        <v>5</v>
      </c>
      <c r="B18" s="4" t="s">
        <v>1199</v>
      </c>
      <c r="C18" s="4">
        <v>2380</v>
      </c>
      <c r="D18" s="4">
        <v>1093</v>
      </c>
      <c r="E18" s="4">
        <v>1287</v>
      </c>
    </row>
    <row r="19" spans="1:5" ht="15.75" x14ac:dyDescent="0.25">
      <c r="A19" s="4">
        <v>6</v>
      </c>
      <c r="B19" s="4" t="s">
        <v>1200</v>
      </c>
      <c r="C19" s="4">
        <v>2672</v>
      </c>
      <c r="D19" s="4">
        <v>1246</v>
      </c>
      <c r="E19" s="4">
        <v>1426</v>
      </c>
    </row>
    <row r="20" spans="1:5" ht="15.75" x14ac:dyDescent="0.25">
      <c r="A20" s="4">
        <v>7</v>
      </c>
      <c r="B20" s="4" t="s">
        <v>1201</v>
      </c>
      <c r="C20" s="4">
        <v>2436</v>
      </c>
      <c r="D20" s="4">
        <v>1076</v>
      </c>
      <c r="E20" s="4">
        <v>1360</v>
      </c>
    </row>
    <row r="21" spans="1:5" ht="15.75" x14ac:dyDescent="0.25">
      <c r="A21" s="4">
        <v>8</v>
      </c>
      <c r="B21" s="4" t="s">
        <v>1202</v>
      </c>
      <c r="C21" s="4">
        <v>501</v>
      </c>
      <c r="D21" s="4">
        <v>236</v>
      </c>
      <c r="E21" s="4">
        <v>265</v>
      </c>
    </row>
    <row r="22" spans="1:5" ht="15.75" x14ac:dyDescent="0.25">
      <c r="A22" s="4">
        <v>9</v>
      </c>
      <c r="B22" s="4" t="s">
        <v>1203</v>
      </c>
      <c r="C22" s="4">
        <v>4805</v>
      </c>
      <c r="D22" s="4">
        <v>2155</v>
      </c>
      <c r="E22" s="4">
        <v>2650</v>
      </c>
    </row>
    <row r="23" spans="1:5" ht="15.75" x14ac:dyDescent="0.25">
      <c r="A23" s="4">
        <v>10</v>
      </c>
      <c r="B23" s="4" t="s">
        <v>1008</v>
      </c>
      <c r="C23" s="4">
        <v>429</v>
      </c>
      <c r="D23" s="4">
        <v>195</v>
      </c>
      <c r="E23" s="4">
        <v>234</v>
      </c>
    </row>
    <row r="24" spans="1:5" ht="15.75" x14ac:dyDescent="0.25">
      <c r="A24" s="4">
        <v>11</v>
      </c>
      <c r="B24" s="4" t="s">
        <v>1204</v>
      </c>
      <c r="C24" s="4">
        <v>2602</v>
      </c>
      <c r="D24" s="4">
        <v>1192</v>
      </c>
      <c r="E24" s="4">
        <v>1410</v>
      </c>
    </row>
    <row r="25" spans="1:5" ht="15.75" x14ac:dyDescent="0.25">
      <c r="A25" s="4">
        <v>12</v>
      </c>
      <c r="B25" s="4" t="s">
        <v>1205</v>
      </c>
      <c r="C25" s="4">
        <v>1103</v>
      </c>
      <c r="D25" s="4">
        <v>458</v>
      </c>
      <c r="E25" s="4">
        <v>645</v>
      </c>
    </row>
    <row r="26" spans="1:5" ht="15.75" x14ac:dyDescent="0.25">
      <c r="A26" s="4">
        <v>13</v>
      </c>
      <c r="B26" s="4" t="s">
        <v>1206</v>
      </c>
      <c r="C26" s="4">
        <v>2059</v>
      </c>
      <c r="D26" s="4">
        <v>942</v>
      </c>
      <c r="E26" s="4">
        <v>1117</v>
      </c>
    </row>
    <row r="27" spans="1:5" ht="15.75" x14ac:dyDescent="0.25">
      <c r="A27" s="4">
        <v>14</v>
      </c>
      <c r="B27" s="4" t="s">
        <v>64</v>
      </c>
      <c r="C27" s="4">
        <v>2005</v>
      </c>
      <c r="D27" s="4">
        <v>879</v>
      </c>
      <c r="E27" s="4">
        <v>1126</v>
      </c>
    </row>
    <row r="28" spans="1:5" ht="15.75" x14ac:dyDescent="0.25">
      <c r="A28" s="4">
        <v>15</v>
      </c>
      <c r="B28" s="4" t="s">
        <v>1207</v>
      </c>
      <c r="C28" s="4">
        <v>1663</v>
      </c>
      <c r="D28" s="4">
        <v>767</v>
      </c>
      <c r="E28" s="4">
        <v>896</v>
      </c>
    </row>
    <row r="29" spans="1:5" ht="15.75" x14ac:dyDescent="0.25">
      <c r="A29" s="4">
        <v>16</v>
      </c>
      <c r="B29" s="4" t="s">
        <v>1208</v>
      </c>
      <c r="C29" s="4">
        <v>358</v>
      </c>
      <c r="D29" s="4">
        <v>166</v>
      </c>
      <c r="E29" s="4">
        <v>192</v>
      </c>
    </row>
    <row r="30" spans="1:5" ht="15.75" x14ac:dyDescent="0.25">
      <c r="A30" s="4">
        <v>17</v>
      </c>
      <c r="B30" s="4" t="s">
        <v>1209</v>
      </c>
      <c r="C30" s="4">
        <v>2027</v>
      </c>
      <c r="D30" s="4">
        <v>991</v>
      </c>
      <c r="E30" s="4">
        <v>1036</v>
      </c>
    </row>
    <row r="31" spans="1:5" ht="15.75" x14ac:dyDescent="0.25">
      <c r="A31" s="4">
        <v>18</v>
      </c>
      <c r="B31" s="4" t="s">
        <v>1210</v>
      </c>
      <c r="C31" s="4">
        <v>578</v>
      </c>
      <c r="D31" s="4">
        <v>279</v>
      </c>
      <c r="E31" s="4">
        <v>299</v>
      </c>
    </row>
    <row r="32" spans="1:5" ht="15.75" x14ac:dyDescent="0.25">
      <c r="A32" s="4">
        <v>19</v>
      </c>
      <c r="B32" s="4" t="s">
        <v>1211</v>
      </c>
      <c r="C32" s="4">
        <v>1921</v>
      </c>
      <c r="D32" s="4">
        <v>891</v>
      </c>
      <c r="E32" s="4">
        <v>1030</v>
      </c>
    </row>
    <row r="33" spans="1:5" ht="15.75" x14ac:dyDescent="0.25">
      <c r="A33" s="4">
        <v>20</v>
      </c>
      <c r="B33" s="4" t="s">
        <v>1212</v>
      </c>
      <c r="C33" s="4">
        <v>1707</v>
      </c>
      <c r="D33" s="4">
        <v>818</v>
      </c>
      <c r="E33" s="4">
        <v>889</v>
      </c>
    </row>
    <row r="34" spans="1:5" ht="15.75" x14ac:dyDescent="0.25">
      <c r="A34" s="4">
        <v>21</v>
      </c>
      <c r="B34" s="4" t="s">
        <v>1213</v>
      </c>
      <c r="C34" s="4">
        <v>1651</v>
      </c>
      <c r="D34" s="4">
        <v>782</v>
      </c>
      <c r="E34" s="4">
        <v>869</v>
      </c>
    </row>
    <row r="35" spans="1:5" ht="15.75" x14ac:dyDescent="0.25">
      <c r="A35" s="4">
        <v>22</v>
      </c>
      <c r="B35" s="4" t="s">
        <v>1214</v>
      </c>
      <c r="C35" s="4">
        <v>2907</v>
      </c>
      <c r="D35" s="4">
        <v>1361</v>
      </c>
      <c r="E35" s="4">
        <v>1546</v>
      </c>
    </row>
    <row r="36" spans="1:5" ht="15.75" x14ac:dyDescent="0.25">
      <c r="A36" s="4">
        <v>23</v>
      </c>
      <c r="B36" s="4" t="s">
        <v>1215</v>
      </c>
      <c r="C36" s="4">
        <v>2717</v>
      </c>
      <c r="D36" s="4">
        <v>1160</v>
      </c>
      <c r="E36" s="4">
        <v>1557</v>
      </c>
    </row>
    <row r="37" spans="1:5" ht="15.75" x14ac:dyDescent="0.25">
      <c r="A37" s="4">
        <v>24</v>
      </c>
      <c r="B37" s="4" t="s">
        <v>1121</v>
      </c>
      <c r="C37" s="4">
        <v>3896</v>
      </c>
      <c r="D37" s="4">
        <v>1796</v>
      </c>
      <c r="E37" s="4">
        <v>2100</v>
      </c>
    </row>
    <row r="38" spans="1:5" ht="15.75" x14ac:dyDescent="0.25">
      <c r="A38" s="4">
        <v>25</v>
      </c>
      <c r="B38" s="4" t="s">
        <v>1216</v>
      </c>
      <c r="C38" s="4">
        <v>2404</v>
      </c>
      <c r="D38" s="4">
        <v>1106</v>
      </c>
      <c r="E38" s="4">
        <v>1298</v>
      </c>
    </row>
    <row r="39" spans="1:5" ht="15.75" x14ac:dyDescent="0.25">
      <c r="A39" s="4">
        <v>26</v>
      </c>
      <c r="B39" s="4" t="s">
        <v>1063</v>
      </c>
      <c r="C39" s="4">
        <v>3098</v>
      </c>
      <c r="D39" s="4">
        <v>1416</v>
      </c>
      <c r="E39" s="4">
        <v>1682</v>
      </c>
    </row>
    <row r="40" spans="1:5" ht="15.75" x14ac:dyDescent="0.25">
      <c r="A40" s="4">
        <v>27</v>
      </c>
      <c r="B40" s="4" t="s">
        <v>1217</v>
      </c>
      <c r="C40" s="4">
        <v>404</v>
      </c>
      <c r="D40" s="4">
        <v>200</v>
      </c>
      <c r="E40" s="4">
        <v>204</v>
      </c>
    </row>
    <row r="41" spans="1:5" ht="15.75" x14ac:dyDescent="0.25">
      <c r="A41" s="4">
        <v>28</v>
      </c>
      <c r="B41" s="4" t="s">
        <v>1218</v>
      </c>
      <c r="C41" s="4">
        <v>3336</v>
      </c>
      <c r="D41" s="4">
        <v>1468</v>
      </c>
      <c r="E41" s="4">
        <v>1868</v>
      </c>
    </row>
    <row r="42" spans="1:5" ht="15.75" x14ac:dyDescent="0.25">
      <c r="A42" s="4">
        <v>29</v>
      </c>
      <c r="B42" s="4" t="s">
        <v>1219</v>
      </c>
      <c r="C42" s="4">
        <v>1305</v>
      </c>
      <c r="D42" s="4">
        <v>592</v>
      </c>
      <c r="E42" s="4">
        <v>713</v>
      </c>
    </row>
    <row r="43" spans="1:5" ht="15.75" x14ac:dyDescent="0.25">
      <c r="A43" s="4">
        <v>30</v>
      </c>
      <c r="B43" s="4" t="s">
        <v>1220</v>
      </c>
      <c r="C43" s="4">
        <v>1709</v>
      </c>
      <c r="D43" s="4">
        <v>788</v>
      </c>
      <c r="E43" s="4">
        <v>921</v>
      </c>
    </row>
    <row r="44" spans="1:5" ht="15.75" x14ac:dyDescent="0.25">
      <c r="A44" s="4">
        <v>31</v>
      </c>
      <c r="B44" s="4" t="s">
        <v>1221</v>
      </c>
      <c r="C44" s="4">
        <v>1195</v>
      </c>
      <c r="D44" s="4">
        <v>577</v>
      </c>
      <c r="E44" s="4">
        <v>618</v>
      </c>
    </row>
    <row r="45" spans="1:5" ht="15.75" x14ac:dyDescent="0.25">
      <c r="A45" s="4">
        <v>32</v>
      </c>
      <c r="B45" s="4" t="s">
        <v>1222</v>
      </c>
      <c r="C45" s="4">
        <v>3629</v>
      </c>
      <c r="D45" s="4">
        <v>1674</v>
      </c>
      <c r="E45" s="4">
        <v>1955</v>
      </c>
    </row>
    <row r="46" spans="1:5" ht="15.75" x14ac:dyDescent="0.25">
      <c r="A46" s="4">
        <v>33</v>
      </c>
      <c r="B46" s="4" t="s">
        <v>1223</v>
      </c>
      <c r="C46" s="4">
        <v>657</v>
      </c>
      <c r="D46" s="4">
        <v>302</v>
      </c>
      <c r="E46" s="4">
        <v>355</v>
      </c>
    </row>
    <row r="47" spans="1:5" ht="15.75" x14ac:dyDescent="0.25">
      <c r="A47" s="4">
        <v>34</v>
      </c>
      <c r="B47" s="4" t="s">
        <v>1224</v>
      </c>
      <c r="C47" s="4">
        <v>5484</v>
      </c>
      <c r="D47" s="4">
        <v>2920</v>
      </c>
      <c r="E47" s="4">
        <v>2564</v>
      </c>
    </row>
    <row r="48" spans="1:5" ht="15.75" x14ac:dyDescent="0.25">
      <c r="A48" s="4">
        <v>35</v>
      </c>
      <c r="B48" s="4" t="s">
        <v>1225</v>
      </c>
      <c r="C48" s="4">
        <v>1502</v>
      </c>
      <c r="D48" s="4">
        <v>742</v>
      </c>
      <c r="E48" s="4">
        <v>760</v>
      </c>
    </row>
    <row r="49" spans="1:5" ht="15.75" x14ac:dyDescent="0.25">
      <c r="A49" s="4">
        <v>36</v>
      </c>
      <c r="B49" s="4" t="s">
        <v>1226</v>
      </c>
      <c r="C49" s="4">
        <v>3378</v>
      </c>
      <c r="D49" s="4">
        <v>1509</v>
      </c>
      <c r="E49" s="4">
        <v>1869</v>
      </c>
    </row>
    <row r="50" spans="1:5" ht="15.75" x14ac:dyDescent="0.25">
      <c r="A50" s="4">
        <v>37</v>
      </c>
      <c r="B50" s="4" t="s">
        <v>1227</v>
      </c>
      <c r="C50" s="4">
        <v>720</v>
      </c>
      <c r="D50" s="4">
        <v>377</v>
      </c>
      <c r="E50" s="4">
        <v>343</v>
      </c>
    </row>
    <row r="51" spans="1:5" ht="15.75" x14ac:dyDescent="0.25">
      <c r="A51" s="4">
        <v>38</v>
      </c>
      <c r="B51" s="4" t="s">
        <v>1228</v>
      </c>
      <c r="C51" s="4">
        <v>1965</v>
      </c>
      <c r="D51" s="4">
        <v>871</v>
      </c>
      <c r="E51" s="4">
        <v>1094</v>
      </c>
    </row>
    <row r="52" spans="1:5" ht="15.75" x14ac:dyDescent="0.25">
      <c r="A52" s="4">
        <v>39</v>
      </c>
      <c r="B52" s="4" t="s">
        <v>1229</v>
      </c>
      <c r="C52" s="4">
        <v>4490</v>
      </c>
      <c r="D52" s="4">
        <v>2050</v>
      </c>
      <c r="E52" s="4">
        <v>2440</v>
      </c>
    </row>
    <row r="53" spans="1:5" ht="15.75" x14ac:dyDescent="0.25">
      <c r="A53" s="4">
        <v>40</v>
      </c>
      <c r="B53" s="4" t="s">
        <v>1230</v>
      </c>
      <c r="C53" s="4">
        <v>2182</v>
      </c>
      <c r="D53" s="4">
        <v>1002</v>
      </c>
      <c r="E53" s="4">
        <v>1180</v>
      </c>
    </row>
    <row r="54" spans="1:5" ht="15.75" x14ac:dyDescent="0.25">
      <c r="A54" s="4">
        <v>41</v>
      </c>
      <c r="B54" s="4" t="s">
        <v>1231</v>
      </c>
      <c r="C54" s="4">
        <v>1586</v>
      </c>
      <c r="D54" s="4">
        <v>776</v>
      </c>
      <c r="E54" s="4">
        <v>810</v>
      </c>
    </row>
    <row r="55" spans="1:5" ht="15.75" x14ac:dyDescent="0.25">
      <c r="A55" s="4">
        <v>42</v>
      </c>
      <c r="B55" s="4" t="s">
        <v>1232</v>
      </c>
      <c r="C55" s="4">
        <v>2034</v>
      </c>
      <c r="D55" s="4">
        <v>1013</v>
      </c>
      <c r="E55" s="4">
        <v>1021</v>
      </c>
    </row>
    <row r="56" spans="1:5" ht="15.75" x14ac:dyDescent="0.25">
      <c r="A56" s="4">
        <v>43</v>
      </c>
      <c r="B56" s="4" t="s">
        <v>1233</v>
      </c>
      <c r="C56" s="4">
        <v>4354</v>
      </c>
      <c r="D56" s="4">
        <v>2102</v>
      </c>
      <c r="E56" s="4">
        <v>2252</v>
      </c>
    </row>
    <row r="57" spans="1:5" ht="15.75" x14ac:dyDescent="0.25">
      <c r="A57" s="4">
        <v>44</v>
      </c>
      <c r="B57" s="4" t="s">
        <v>1234</v>
      </c>
      <c r="C57" s="4">
        <v>6088</v>
      </c>
      <c r="D57" s="4">
        <v>2895</v>
      </c>
      <c r="E57" s="4">
        <v>3193</v>
      </c>
    </row>
    <row r="58" spans="1:5" ht="15.75" x14ac:dyDescent="0.25">
      <c r="A58" s="4">
        <v>45</v>
      </c>
      <c r="B58" s="4" t="s">
        <v>1235</v>
      </c>
      <c r="C58" s="4">
        <v>1222</v>
      </c>
      <c r="D58" s="4">
        <v>612</v>
      </c>
      <c r="E58" s="4">
        <v>610</v>
      </c>
    </row>
    <row r="59" spans="1:5" ht="15.75" x14ac:dyDescent="0.25">
      <c r="A59" s="4">
        <v>46</v>
      </c>
      <c r="B59" s="4" t="s">
        <v>1236</v>
      </c>
      <c r="C59" s="4">
        <v>1444</v>
      </c>
      <c r="D59" s="4">
        <v>736</v>
      </c>
      <c r="E59" s="4">
        <v>708</v>
      </c>
    </row>
    <row r="60" spans="1:5" ht="15.75" x14ac:dyDescent="0.25">
      <c r="A60" s="4">
        <v>47</v>
      </c>
      <c r="B60" s="4" t="s">
        <v>1237</v>
      </c>
      <c r="C60" s="4">
        <v>747</v>
      </c>
      <c r="D60" s="4">
        <v>353</v>
      </c>
      <c r="E60" s="4">
        <v>394</v>
      </c>
    </row>
    <row r="61" spans="1:5" ht="15.75" x14ac:dyDescent="0.25">
      <c r="A61" s="4">
        <v>48</v>
      </c>
      <c r="B61" s="4" t="s">
        <v>1238</v>
      </c>
      <c r="C61" s="4">
        <v>603</v>
      </c>
      <c r="D61" s="4">
        <v>342</v>
      </c>
      <c r="E61" s="4">
        <v>261</v>
      </c>
    </row>
    <row r="62" spans="1:5" ht="15.75" x14ac:dyDescent="0.25">
      <c r="A62" s="4">
        <v>49</v>
      </c>
      <c r="B62" s="4" t="s">
        <v>1239</v>
      </c>
      <c r="C62" s="4">
        <v>2791</v>
      </c>
      <c r="D62" s="4">
        <v>1384</v>
      </c>
      <c r="E62" s="4">
        <v>1407</v>
      </c>
    </row>
    <row r="63" spans="1:5" ht="15.75" x14ac:dyDescent="0.25">
      <c r="A63" s="4">
        <v>50</v>
      </c>
      <c r="B63" s="4" t="s">
        <v>1240</v>
      </c>
      <c r="C63" s="4">
        <v>9568</v>
      </c>
      <c r="D63" s="4">
        <v>4292</v>
      </c>
      <c r="E63" s="4">
        <v>5276</v>
      </c>
    </row>
    <row r="64" spans="1:5" ht="15.75" x14ac:dyDescent="0.25">
      <c r="A64" s="4">
        <v>51</v>
      </c>
      <c r="B64" s="4" t="s">
        <v>1241</v>
      </c>
      <c r="C64" s="4">
        <v>3094</v>
      </c>
      <c r="D64" s="4">
        <v>1275</v>
      </c>
      <c r="E64" s="4">
        <v>1819</v>
      </c>
    </row>
    <row r="65" spans="1:5" ht="15.75" x14ac:dyDescent="0.25">
      <c r="A65" s="4">
        <v>52</v>
      </c>
      <c r="B65" s="4" t="s">
        <v>1242</v>
      </c>
      <c r="C65" s="4">
        <v>1029</v>
      </c>
      <c r="D65" s="4">
        <v>462</v>
      </c>
      <c r="E65" s="4">
        <v>567</v>
      </c>
    </row>
    <row r="66" spans="1:5" ht="15.75" x14ac:dyDescent="0.25">
      <c r="A66" s="4">
        <v>53</v>
      </c>
      <c r="B66" s="4" t="s">
        <v>1243</v>
      </c>
      <c r="C66" s="4">
        <v>2541</v>
      </c>
      <c r="D66" s="4">
        <v>1089</v>
      </c>
      <c r="E66" s="4">
        <v>1452</v>
      </c>
    </row>
    <row r="67" spans="1:5" ht="15.75" x14ac:dyDescent="0.25">
      <c r="A67" s="4">
        <v>54</v>
      </c>
      <c r="B67" s="4" t="s">
        <v>1244</v>
      </c>
      <c r="C67" s="4">
        <v>2806</v>
      </c>
      <c r="D67" s="4">
        <v>1265</v>
      </c>
      <c r="E67" s="4">
        <v>1541</v>
      </c>
    </row>
    <row r="68" spans="1:5" ht="15.75" x14ac:dyDescent="0.25">
      <c r="A68" s="4">
        <v>55</v>
      </c>
      <c r="B68" s="4" t="s">
        <v>597</v>
      </c>
      <c r="C68" s="4">
        <v>2015</v>
      </c>
      <c r="D68" s="4">
        <v>893</v>
      </c>
      <c r="E68" s="4">
        <v>1122</v>
      </c>
    </row>
    <row r="69" spans="1:5" ht="15.75" x14ac:dyDescent="0.25">
      <c r="A69" s="4">
        <v>56</v>
      </c>
      <c r="B69" s="4" t="s">
        <v>359</v>
      </c>
      <c r="C69" s="4">
        <v>1514</v>
      </c>
      <c r="D69" s="4">
        <v>670</v>
      </c>
      <c r="E69" s="4">
        <v>844</v>
      </c>
    </row>
    <row r="70" spans="1:5" ht="15.75" x14ac:dyDescent="0.25">
      <c r="A70" s="4">
        <v>57</v>
      </c>
      <c r="B70" s="4" t="s">
        <v>1245</v>
      </c>
      <c r="C70" s="4">
        <v>1168</v>
      </c>
      <c r="D70" s="4">
        <v>524</v>
      </c>
      <c r="E70" s="4">
        <v>644</v>
      </c>
    </row>
    <row r="71" spans="1:5" ht="15.75" x14ac:dyDescent="0.25">
      <c r="A71" s="4">
        <v>58</v>
      </c>
      <c r="B71" s="4" t="s">
        <v>1246</v>
      </c>
      <c r="C71" s="4">
        <v>9818</v>
      </c>
      <c r="D71" s="4">
        <v>4563</v>
      </c>
      <c r="E71" s="4">
        <v>5255</v>
      </c>
    </row>
    <row r="72" spans="1:5" ht="15.75" x14ac:dyDescent="0.25">
      <c r="A72" s="4">
        <v>59</v>
      </c>
      <c r="B72" s="4" t="s">
        <v>1247</v>
      </c>
      <c r="C72" s="4">
        <v>1727</v>
      </c>
      <c r="D72" s="4">
        <v>761</v>
      </c>
      <c r="E72" s="4">
        <v>966</v>
      </c>
    </row>
    <row r="73" spans="1:5" ht="15.75" x14ac:dyDescent="0.25">
      <c r="A73" s="4">
        <v>60</v>
      </c>
      <c r="B73" s="4" t="s">
        <v>1248</v>
      </c>
      <c r="C73" s="4">
        <v>538</v>
      </c>
      <c r="D73" s="4">
        <v>259</v>
      </c>
      <c r="E73" s="4">
        <v>279</v>
      </c>
    </row>
    <row r="74" spans="1:5" ht="15.75" x14ac:dyDescent="0.25">
      <c r="A74" s="4">
        <v>61</v>
      </c>
      <c r="B74" s="4" t="s">
        <v>1182</v>
      </c>
      <c r="C74" s="4">
        <v>2485</v>
      </c>
      <c r="D74" s="4">
        <v>1111</v>
      </c>
      <c r="E74" s="4">
        <v>1374</v>
      </c>
    </row>
    <row r="75" spans="1:5" ht="15.75" x14ac:dyDescent="0.25">
      <c r="A75" s="4">
        <v>62</v>
      </c>
      <c r="B75" s="4" t="s">
        <v>1249</v>
      </c>
      <c r="C75" s="4">
        <v>2293</v>
      </c>
      <c r="D75" s="4">
        <v>1019</v>
      </c>
      <c r="E75" s="4">
        <v>1274</v>
      </c>
    </row>
    <row r="76" spans="1:5" ht="15.75" x14ac:dyDescent="0.25">
      <c r="A76" s="4">
        <v>63</v>
      </c>
      <c r="B76" s="4" t="s">
        <v>1250</v>
      </c>
      <c r="C76" s="4">
        <v>3553</v>
      </c>
      <c r="D76" s="4">
        <v>1520</v>
      </c>
      <c r="E76" s="4">
        <v>2033</v>
      </c>
    </row>
    <row r="77" spans="1:5" ht="15.75" x14ac:dyDescent="0.25">
      <c r="A77" s="4">
        <v>64</v>
      </c>
      <c r="B77" s="4" t="s">
        <v>1251</v>
      </c>
      <c r="C77" s="4">
        <v>3643</v>
      </c>
      <c r="D77" s="4">
        <v>1526</v>
      </c>
      <c r="E77" s="4">
        <v>2117</v>
      </c>
    </row>
    <row r="78" spans="1:5" ht="15.75" x14ac:dyDescent="0.25">
      <c r="A78" s="4">
        <v>65</v>
      </c>
      <c r="B78" s="4" t="s">
        <v>1252</v>
      </c>
      <c r="C78" s="4">
        <v>527</v>
      </c>
      <c r="D78" s="4">
        <v>224</v>
      </c>
      <c r="E78" s="4">
        <v>303</v>
      </c>
    </row>
    <row r="79" spans="1:5" ht="15.75" x14ac:dyDescent="0.25">
      <c r="A79" s="4">
        <v>66</v>
      </c>
      <c r="B79" s="4" t="s">
        <v>1253</v>
      </c>
      <c r="C79" s="4">
        <v>357</v>
      </c>
      <c r="D79" s="4">
        <v>170</v>
      </c>
      <c r="E79" s="4">
        <v>187</v>
      </c>
    </row>
    <row r="80" spans="1:5" ht="15.75" x14ac:dyDescent="0.25">
      <c r="A80" s="4">
        <v>67</v>
      </c>
      <c r="B80" s="4" t="s">
        <v>1254</v>
      </c>
      <c r="C80" s="4">
        <v>3246</v>
      </c>
      <c r="D80" s="4">
        <v>1346</v>
      </c>
      <c r="E80" s="4">
        <v>1900</v>
      </c>
    </row>
    <row r="81" spans="1:5" ht="15.75" x14ac:dyDescent="0.25">
      <c r="A81" s="6">
        <v>68</v>
      </c>
      <c r="B81" s="6" t="s">
        <v>1466</v>
      </c>
      <c r="C81" s="6">
        <v>4092</v>
      </c>
      <c r="D81" s="6">
        <v>2100</v>
      </c>
      <c r="E81" s="6">
        <v>1992</v>
      </c>
    </row>
  </sheetData>
  <mergeCells count="4">
    <mergeCell ref="A4:A5"/>
    <mergeCell ref="B4:B5"/>
    <mergeCell ref="C4:E4"/>
    <mergeCell ref="A1:E1"/>
  </mergeCells>
  <hyperlinks>
    <hyperlink ref="A1:E1" location="'Lest of twonship'!A1" display="        Magway Region, Pakokku District, Pauk Township"/>
  </hyperlinks>
  <pageMargins left="0.75" right="0.5" top="0.5" bottom="0.2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workbookViewId="0">
      <selection sqref="A1:E1"/>
    </sheetView>
  </sheetViews>
  <sheetFormatPr defaultRowHeight="15" x14ac:dyDescent="0.25"/>
  <cols>
    <col min="1" max="1" width="6.140625" style="17" customWidth="1"/>
    <col min="2" max="2" width="29.42578125" bestFit="1" customWidth="1"/>
    <col min="3" max="5" width="15.7109375" customWidth="1"/>
  </cols>
  <sheetData>
    <row r="1" spans="1:5" s="38" customFormat="1" ht="18.75" x14ac:dyDescent="0.3">
      <c r="A1" s="37" t="s">
        <v>1489</v>
      </c>
      <c r="B1" s="37"/>
      <c r="C1" s="37"/>
      <c r="D1" s="37"/>
      <c r="E1" s="37"/>
    </row>
    <row r="2" spans="1:5" ht="15.75" x14ac:dyDescent="0.25">
      <c r="E2" s="8" t="s">
        <v>1463</v>
      </c>
    </row>
    <row r="3" spans="1:5" ht="15.75" customHeight="1" x14ac:dyDescent="0.25"/>
    <row r="4" spans="1:5" ht="15.75" x14ac:dyDescent="0.25">
      <c r="A4" s="33" t="s">
        <v>1461</v>
      </c>
      <c r="B4" s="33" t="s">
        <v>1465</v>
      </c>
      <c r="C4" s="30" t="s">
        <v>1462</v>
      </c>
      <c r="D4" s="30"/>
      <c r="E4" s="30"/>
    </row>
    <row r="5" spans="1:5" ht="15.75" x14ac:dyDescent="0.25">
      <c r="A5" s="34"/>
      <c r="B5" s="34"/>
      <c r="C5" s="24" t="s">
        <v>0</v>
      </c>
      <c r="D5" s="24" t="s">
        <v>1</v>
      </c>
      <c r="E5" s="24" t="s">
        <v>2</v>
      </c>
    </row>
    <row r="6" spans="1:5" ht="15.75" x14ac:dyDescent="0.25">
      <c r="A6" s="4"/>
      <c r="B6" s="3" t="s">
        <v>0</v>
      </c>
      <c r="C6" s="10">
        <v>102769</v>
      </c>
      <c r="D6" s="10">
        <v>46909</v>
      </c>
      <c r="E6" s="10">
        <v>55860</v>
      </c>
    </row>
    <row r="7" spans="1:5" ht="13.5" customHeight="1" x14ac:dyDescent="0.25">
      <c r="A7" s="4"/>
      <c r="B7" s="4"/>
      <c r="C7" s="4"/>
      <c r="D7" s="4"/>
      <c r="E7" s="4"/>
    </row>
    <row r="8" spans="1:5" ht="15.75" x14ac:dyDescent="0.25">
      <c r="A8" s="4"/>
      <c r="B8" s="20" t="s">
        <v>1460</v>
      </c>
      <c r="C8" s="5">
        <f>SUM(C9:C12)</f>
        <v>9081</v>
      </c>
      <c r="D8" s="5">
        <f t="shared" ref="D8:E8" si="0">SUM(D9:D12)</f>
        <v>4063</v>
      </c>
      <c r="E8" s="5">
        <f t="shared" si="0"/>
        <v>5018</v>
      </c>
    </row>
    <row r="9" spans="1:5" ht="15.75" x14ac:dyDescent="0.25">
      <c r="A9" s="18">
        <v>1</v>
      </c>
      <c r="B9" s="4" t="s">
        <v>451</v>
      </c>
      <c r="C9" s="4">
        <v>3750</v>
      </c>
      <c r="D9" s="4">
        <v>1702</v>
      </c>
      <c r="E9" s="4">
        <v>2048</v>
      </c>
    </row>
    <row r="10" spans="1:5" ht="15.75" x14ac:dyDescent="0.25">
      <c r="A10" s="18">
        <v>2</v>
      </c>
      <c r="B10" s="4" t="s">
        <v>450</v>
      </c>
      <c r="C10" s="4">
        <v>1814</v>
      </c>
      <c r="D10" s="4">
        <v>825</v>
      </c>
      <c r="E10" s="4">
        <v>989</v>
      </c>
    </row>
    <row r="11" spans="1:5" ht="15.75" x14ac:dyDescent="0.25">
      <c r="A11" s="18">
        <v>3</v>
      </c>
      <c r="B11" s="4" t="s">
        <v>1255</v>
      </c>
      <c r="C11" s="4">
        <v>1811</v>
      </c>
      <c r="D11" s="4">
        <v>803</v>
      </c>
      <c r="E11" s="4">
        <v>1008</v>
      </c>
    </row>
    <row r="12" spans="1:5" ht="15.75" x14ac:dyDescent="0.25">
      <c r="A12" s="18">
        <v>4</v>
      </c>
      <c r="B12" s="4" t="s">
        <v>84</v>
      </c>
      <c r="C12" s="4">
        <v>1706</v>
      </c>
      <c r="D12" s="4">
        <v>733</v>
      </c>
      <c r="E12" s="4">
        <v>973</v>
      </c>
    </row>
    <row r="13" spans="1:5" ht="15.75" x14ac:dyDescent="0.25">
      <c r="A13" s="4"/>
      <c r="B13" s="20" t="s">
        <v>1464</v>
      </c>
      <c r="C13" s="5">
        <f>SUM(C14:C55)</f>
        <v>93688</v>
      </c>
      <c r="D13" s="5">
        <f t="shared" ref="D13:E13" si="1">SUM(D14:D55)</f>
        <v>42846</v>
      </c>
      <c r="E13" s="5">
        <f t="shared" si="1"/>
        <v>50842</v>
      </c>
    </row>
    <row r="14" spans="1:5" ht="15.75" x14ac:dyDescent="0.25">
      <c r="A14" s="18">
        <v>1</v>
      </c>
      <c r="B14" s="4" t="s">
        <v>1256</v>
      </c>
      <c r="C14" s="4">
        <v>3261</v>
      </c>
      <c r="D14" s="4">
        <v>1449</v>
      </c>
      <c r="E14" s="4">
        <v>1812</v>
      </c>
    </row>
    <row r="15" spans="1:5" ht="15.75" x14ac:dyDescent="0.25">
      <c r="A15" s="18">
        <v>2</v>
      </c>
      <c r="B15" s="4" t="s">
        <v>1257</v>
      </c>
      <c r="C15" s="4">
        <v>1177</v>
      </c>
      <c r="D15" s="4">
        <v>539</v>
      </c>
      <c r="E15" s="4">
        <v>638</v>
      </c>
    </row>
    <row r="16" spans="1:5" ht="15.75" x14ac:dyDescent="0.25">
      <c r="A16" s="18">
        <v>3</v>
      </c>
      <c r="B16" s="4" t="s">
        <v>1258</v>
      </c>
      <c r="C16" s="4">
        <v>2926</v>
      </c>
      <c r="D16" s="4">
        <v>1284</v>
      </c>
      <c r="E16" s="4">
        <v>1642</v>
      </c>
    </row>
    <row r="17" spans="1:5" ht="15.75" x14ac:dyDescent="0.25">
      <c r="A17" s="18">
        <v>4</v>
      </c>
      <c r="B17" s="4" t="s">
        <v>1259</v>
      </c>
      <c r="C17" s="4">
        <v>2905</v>
      </c>
      <c r="D17" s="4">
        <v>1267</v>
      </c>
      <c r="E17" s="4">
        <v>1638</v>
      </c>
    </row>
    <row r="18" spans="1:5" ht="15.75" x14ac:dyDescent="0.25">
      <c r="A18" s="18">
        <v>5</v>
      </c>
      <c r="B18" s="4" t="s">
        <v>337</v>
      </c>
      <c r="C18" s="4">
        <v>1573</v>
      </c>
      <c r="D18" s="4">
        <v>699</v>
      </c>
      <c r="E18" s="4">
        <v>874</v>
      </c>
    </row>
    <row r="19" spans="1:5" ht="15.75" x14ac:dyDescent="0.25">
      <c r="A19" s="18">
        <v>6</v>
      </c>
      <c r="B19" s="4" t="s">
        <v>174</v>
      </c>
      <c r="C19" s="4">
        <v>2497</v>
      </c>
      <c r="D19" s="4">
        <v>1095</v>
      </c>
      <c r="E19" s="4">
        <v>1402</v>
      </c>
    </row>
    <row r="20" spans="1:5" ht="15.75" x14ac:dyDescent="0.25">
      <c r="A20" s="18">
        <v>7</v>
      </c>
      <c r="B20" s="4" t="s">
        <v>1260</v>
      </c>
      <c r="C20" s="4">
        <v>1326</v>
      </c>
      <c r="D20" s="4">
        <v>619</v>
      </c>
      <c r="E20" s="4">
        <v>707</v>
      </c>
    </row>
    <row r="21" spans="1:5" ht="15.75" x14ac:dyDescent="0.25">
      <c r="A21" s="18">
        <v>8</v>
      </c>
      <c r="B21" s="4" t="s">
        <v>1261</v>
      </c>
      <c r="C21" s="4">
        <v>3680</v>
      </c>
      <c r="D21" s="4">
        <v>1637</v>
      </c>
      <c r="E21" s="4">
        <v>2043</v>
      </c>
    </row>
    <row r="22" spans="1:5" ht="15.75" x14ac:dyDescent="0.25">
      <c r="A22" s="18">
        <v>9</v>
      </c>
      <c r="B22" s="4" t="s">
        <v>347</v>
      </c>
      <c r="C22" s="4">
        <v>2834</v>
      </c>
      <c r="D22" s="4">
        <v>1300</v>
      </c>
      <c r="E22" s="4">
        <v>1534</v>
      </c>
    </row>
    <row r="23" spans="1:5" ht="15.75" x14ac:dyDescent="0.25">
      <c r="A23" s="18">
        <v>10</v>
      </c>
      <c r="B23" s="4" t="s">
        <v>1262</v>
      </c>
      <c r="C23" s="4">
        <v>1445</v>
      </c>
      <c r="D23" s="4">
        <v>660</v>
      </c>
      <c r="E23" s="4">
        <v>785</v>
      </c>
    </row>
    <row r="24" spans="1:5" ht="15.75" x14ac:dyDescent="0.25">
      <c r="A24" s="18">
        <v>11</v>
      </c>
      <c r="B24" s="4" t="s">
        <v>1263</v>
      </c>
      <c r="C24" s="4">
        <v>1644</v>
      </c>
      <c r="D24" s="4">
        <v>779</v>
      </c>
      <c r="E24" s="4">
        <v>865</v>
      </c>
    </row>
    <row r="25" spans="1:5" ht="15.75" x14ac:dyDescent="0.25">
      <c r="A25" s="18">
        <v>12</v>
      </c>
      <c r="B25" s="4" t="s">
        <v>485</v>
      </c>
      <c r="C25" s="4">
        <v>1803</v>
      </c>
      <c r="D25" s="4">
        <v>849</v>
      </c>
      <c r="E25" s="4">
        <v>954</v>
      </c>
    </row>
    <row r="26" spans="1:5" ht="15.75" x14ac:dyDescent="0.25">
      <c r="A26" s="18">
        <v>13</v>
      </c>
      <c r="B26" s="4" t="s">
        <v>1264</v>
      </c>
      <c r="C26" s="4">
        <v>1163</v>
      </c>
      <c r="D26" s="4">
        <v>518</v>
      </c>
      <c r="E26" s="4">
        <v>645</v>
      </c>
    </row>
    <row r="27" spans="1:5" ht="15.75" x14ac:dyDescent="0.25">
      <c r="A27" s="18">
        <v>14</v>
      </c>
      <c r="B27" s="4" t="s">
        <v>145</v>
      </c>
      <c r="C27" s="4">
        <v>1014</v>
      </c>
      <c r="D27" s="4">
        <v>428</v>
      </c>
      <c r="E27" s="4">
        <v>586</v>
      </c>
    </row>
    <row r="28" spans="1:5" ht="15.75" x14ac:dyDescent="0.25">
      <c r="A28" s="18">
        <v>15</v>
      </c>
      <c r="B28" s="4" t="s">
        <v>1265</v>
      </c>
      <c r="C28" s="4">
        <v>2523</v>
      </c>
      <c r="D28" s="4">
        <v>1098</v>
      </c>
      <c r="E28" s="4">
        <v>1425</v>
      </c>
    </row>
    <row r="29" spans="1:5" ht="15.75" x14ac:dyDescent="0.25">
      <c r="A29" s="18">
        <v>16</v>
      </c>
      <c r="B29" s="4" t="s">
        <v>1266</v>
      </c>
      <c r="C29" s="4">
        <v>1516</v>
      </c>
      <c r="D29" s="4">
        <v>664</v>
      </c>
      <c r="E29" s="4">
        <v>852</v>
      </c>
    </row>
    <row r="30" spans="1:5" ht="15.75" x14ac:dyDescent="0.25">
      <c r="A30" s="18">
        <v>17</v>
      </c>
      <c r="B30" s="4" t="s">
        <v>1267</v>
      </c>
      <c r="C30" s="4">
        <v>2189</v>
      </c>
      <c r="D30" s="4">
        <v>1003</v>
      </c>
      <c r="E30" s="4">
        <v>1186</v>
      </c>
    </row>
    <row r="31" spans="1:5" ht="15.75" x14ac:dyDescent="0.25">
      <c r="A31" s="18">
        <v>18</v>
      </c>
      <c r="B31" s="4" t="s">
        <v>1268</v>
      </c>
      <c r="C31" s="4">
        <v>901</v>
      </c>
      <c r="D31" s="4">
        <v>355</v>
      </c>
      <c r="E31" s="4">
        <v>546</v>
      </c>
    </row>
    <row r="32" spans="1:5" ht="15.75" x14ac:dyDescent="0.25">
      <c r="A32" s="18">
        <v>19</v>
      </c>
      <c r="B32" s="4" t="s">
        <v>394</v>
      </c>
      <c r="C32" s="4">
        <v>631</v>
      </c>
      <c r="D32" s="4">
        <v>263</v>
      </c>
      <c r="E32" s="4">
        <v>368</v>
      </c>
    </row>
    <row r="33" spans="1:5" ht="15.75" x14ac:dyDescent="0.25">
      <c r="A33" s="18">
        <v>20</v>
      </c>
      <c r="B33" s="4" t="s">
        <v>1269</v>
      </c>
      <c r="C33" s="4">
        <v>1828</v>
      </c>
      <c r="D33" s="4">
        <v>828</v>
      </c>
      <c r="E33" s="4">
        <v>1000</v>
      </c>
    </row>
    <row r="34" spans="1:5" ht="15.75" x14ac:dyDescent="0.25">
      <c r="A34" s="18">
        <v>21</v>
      </c>
      <c r="B34" s="4" t="s">
        <v>164</v>
      </c>
      <c r="C34" s="4">
        <v>2236</v>
      </c>
      <c r="D34" s="4">
        <v>1021</v>
      </c>
      <c r="E34" s="4">
        <v>1215</v>
      </c>
    </row>
    <row r="35" spans="1:5" ht="15.75" x14ac:dyDescent="0.25">
      <c r="A35" s="18">
        <v>22</v>
      </c>
      <c r="B35" s="4" t="s">
        <v>1270</v>
      </c>
      <c r="C35" s="4">
        <v>1856</v>
      </c>
      <c r="D35" s="4">
        <v>827</v>
      </c>
      <c r="E35" s="4">
        <v>1029</v>
      </c>
    </row>
    <row r="36" spans="1:5" ht="15.75" x14ac:dyDescent="0.25">
      <c r="A36" s="18">
        <v>23</v>
      </c>
      <c r="B36" s="4" t="s">
        <v>1271</v>
      </c>
      <c r="C36" s="4">
        <v>1758</v>
      </c>
      <c r="D36" s="4">
        <v>780</v>
      </c>
      <c r="E36" s="4">
        <v>978</v>
      </c>
    </row>
    <row r="37" spans="1:5" ht="15.75" x14ac:dyDescent="0.25">
      <c r="A37" s="18">
        <v>24</v>
      </c>
      <c r="B37" s="4" t="s">
        <v>1272</v>
      </c>
      <c r="C37" s="4">
        <v>2110</v>
      </c>
      <c r="D37" s="4">
        <v>921</v>
      </c>
      <c r="E37" s="4">
        <v>1189</v>
      </c>
    </row>
    <row r="38" spans="1:5" ht="15.75" x14ac:dyDescent="0.25">
      <c r="A38" s="18">
        <v>25</v>
      </c>
      <c r="B38" s="4" t="s">
        <v>355</v>
      </c>
      <c r="C38" s="4">
        <v>2205</v>
      </c>
      <c r="D38" s="4">
        <v>1001</v>
      </c>
      <c r="E38" s="4">
        <v>1204</v>
      </c>
    </row>
    <row r="39" spans="1:5" ht="15.75" x14ac:dyDescent="0.25">
      <c r="A39" s="18">
        <v>26</v>
      </c>
      <c r="B39" s="4" t="s">
        <v>819</v>
      </c>
      <c r="C39" s="4">
        <v>5633</v>
      </c>
      <c r="D39" s="4">
        <v>2787</v>
      </c>
      <c r="E39" s="4">
        <v>2846</v>
      </c>
    </row>
    <row r="40" spans="1:5" ht="15.75" x14ac:dyDescent="0.25">
      <c r="A40" s="18">
        <v>27</v>
      </c>
      <c r="B40" s="4" t="s">
        <v>794</v>
      </c>
      <c r="C40" s="4">
        <v>2646</v>
      </c>
      <c r="D40" s="4">
        <v>1177</v>
      </c>
      <c r="E40" s="4">
        <v>1469</v>
      </c>
    </row>
    <row r="41" spans="1:5" ht="15.75" x14ac:dyDescent="0.25">
      <c r="A41" s="18">
        <v>28</v>
      </c>
      <c r="B41" s="4" t="s">
        <v>1273</v>
      </c>
      <c r="C41" s="4">
        <v>1500</v>
      </c>
      <c r="D41" s="4">
        <v>586</v>
      </c>
      <c r="E41" s="4">
        <v>914</v>
      </c>
    </row>
    <row r="42" spans="1:5" ht="15.75" x14ac:dyDescent="0.25">
      <c r="A42" s="18">
        <v>29</v>
      </c>
      <c r="B42" s="4" t="s">
        <v>1274</v>
      </c>
      <c r="C42" s="4">
        <v>2346</v>
      </c>
      <c r="D42" s="4">
        <v>1035</v>
      </c>
      <c r="E42" s="4">
        <v>1311</v>
      </c>
    </row>
    <row r="43" spans="1:5" ht="15.75" x14ac:dyDescent="0.25">
      <c r="A43" s="18">
        <v>30</v>
      </c>
      <c r="B43" s="4" t="s">
        <v>1275</v>
      </c>
      <c r="C43" s="4">
        <v>5326</v>
      </c>
      <c r="D43" s="4">
        <v>2503</v>
      </c>
      <c r="E43" s="4">
        <v>2823</v>
      </c>
    </row>
    <row r="44" spans="1:5" ht="15.75" x14ac:dyDescent="0.25">
      <c r="A44" s="18">
        <v>31</v>
      </c>
      <c r="B44" s="4" t="s">
        <v>1276</v>
      </c>
      <c r="C44" s="4">
        <v>4055</v>
      </c>
      <c r="D44" s="4">
        <v>2052</v>
      </c>
      <c r="E44" s="4">
        <v>2003</v>
      </c>
    </row>
    <row r="45" spans="1:5" ht="15.75" x14ac:dyDescent="0.25">
      <c r="A45" s="18">
        <v>32</v>
      </c>
      <c r="B45" s="4" t="s">
        <v>1277</v>
      </c>
      <c r="C45" s="4">
        <v>1279</v>
      </c>
      <c r="D45" s="4">
        <v>577</v>
      </c>
      <c r="E45" s="4">
        <v>702</v>
      </c>
    </row>
    <row r="46" spans="1:5" ht="15.75" x14ac:dyDescent="0.25">
      <c r="A46" s="18">
        <v>33</v>
      </c>
      <c r="B46" s="4" t="s">
        <v>1278</v>
      </c>
      <c r="C46" s="4">
        <v>2228</v>
      </c>
      <c r="D46" s="4">
        <v>1015</v>
      </c>
      <c r="E46" s="4">
        <v>1213</v>
      </c>
    </row>
    <row r="47" spans="1:5" ht="15.75" x14ac:dyDescent="0.25">
      <c r="A47" s="18">
        <v>34</v>
      </c>
      <c r="B47" s="4" t="s">
        <v>1279</v>
      </c>
      <c r="C47" s="4">
        <v>3185</v>
      </c>
      <c r="D47" s="4">
        <v>1459</v>
      </c>
      <c r="E47" s="4">
        <v>1726</v>
      </c>
    </row>
    <row r="48" spans="1:5" ht="15.75" x14ac:dyDescent="0.25">
      <c r="A48" s="18">
        <v>35</v>
      </c>
      <c r="B48" s="4" t="s">
        <v>1212</v>
      </c>
      <c r="C48" s="4">
        <v>2506</v>
      </c>
      <c r="D48" s="4">
        <v>1217</v>
      </c>
      <c r="E48" s="4">
        <v>1289</v>
      </c>
    </row>
    <row r="49" spans="1:5" ht="15.75" x14ac:dyDescent="0.25">
      <c r="A49" s="18">
        <v>36</v>
      </c>
      <c r="B49" s="4" t="s">
        <v>1280</v>
      </c>
      <c r="C49" s="4">
        <v>2083</v>
      </c>
      <c r="D49" s="4">
        <v>990</v>
      </c>
      <c r="E49" s="4">
        <v>1093</v>
      </c>
    </row>
    <row r="50" spans="1:5" ht="15.75" x14ac:dyDescent="0.25">
      <c r="A50" s="18">
        <v>37</v>
      </c>
      <c r="B50" s="4" t="s">
        <v>1281</v>
      </c>
      <c r="C50" s="4">
        <v>1626</v>
      </c>
      <c r="D50" s="4">
        <v>763</v>
      </c>
      <c r="E50" s="4">
        <v>863</v>
      </c>
    </row>
    <row r="51" spans="1:5" ht="15.75" x14ac:dyDescent="0.25">
      <c r="A51" s="18">
        <v>38</v>
      </c>
      <c r="B51" s="4" t="s">
        <v>1282</v>
      </c>
      <c r="C51" s="4">
        <v>3062</v>
      </c>
      <c r="D51" s="4">
        <v>1467</v>
      </c>
      <c r="E51" s="4">
        <v>1595</v>
      </c>
    </row>
    <row r="52" spans="1:5" ht="15.75" x14ac:dyDescent="0.25">
      <c r="A52" s="18">
        <v>39</v>
      </c>
      <c r="B52" s="4" t="s">
        <v>1283</v>
      </c>
      <c r="C52" s="4">
        <v>2444</v>
      </c>
      <c r="D52" s="4">
        <v>1141</v>
      </c>
      <c r="E52" s="4">
        <v>1303</v>
      </c>
    </row>
    <row r="53" spans="1:5" ht="15.75" x14ac:dyDescent="0.25">
      <c r="A53" s="18">
        <v>40</v>
      </c>
      <c r="B53" s="4" t="s">
        <v>371</v>
      </c>
      <c r="C53" s="4">
        <v>1533</v>
      </c>
      <c r="D53" s="4">
        <v>689</v>
      </c>
      <c r="E53" s="4">
        <v>844</v>
      </c>
    </row>
    <row r="54" spans="1:5" ht="15.75" x14ac:dyDescent="0.25">
      <c r="A54" s="18">
        <v>41</v>
      </c>
      <c r="B54" s="4" t="s">
        <v>1284</v>
      </c>
      <c r="C54" s="4">
        <v>2293</v>
      </c>
      <c r="D54" s="4">
        <v>1100</v>
      </c>
      <c r="E54" s="4">
        <v>1193</v>
      </c>
    </row>
    <row r="55" spans="1:5" ht="15.75" x14ac:dyDescent="0.25">
      <c r="A55" s="19">
        <v>42</v>
      </c>
      <c r="B55" s="6" t="s">
        <v>1285</v>
      </c>
      <c r="C55" s="6">
        <v>942</v>
      </c>
      <c r="D55" s="6">
        <v>404</v>
      </c>
      <c r="E55" s="6">
        <v>538</v>
      </c>
    </row>
  </sheetData>
  <mergeCells count="4">
    <mergeCell ref="A1:E1"/>
    <mergeCell ref="A4:A5"/>
    <mergeCell ref="B4:B5"/>
    <mergeCell ref="C4:E4"/>
  </mergeCells>
  <hyperlinks>
    <hyperlink ref="A1:E1" location="'Lest of twonship'!A1" display="        Magway Region, Pakokku District, Seikphyu Township"/>
  </hyperlinks>
  <pageMargins left="0.75" right="0.5" top="0.5" bottom="0.2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"/>
  <sheetViews>
    <sheetView workbookViewId="0">
      <selection sqref="A1:E1"/>
    </sheetView>
  </sheetViews>
  <sheetFormatPr defaultRowHeight="15" x14ac:dyDescent="0.25"/>
  <cols>
    <col min="1" max="1" width="7.140625" style="17" customWidth="1"/>
    <col min="2" max="2" width="32.85546875" bestFit="1" customWidth="1"/>
    <col min="3" max="5" width="15.7109375" customWidth="1"/>
  </cols>
  <sheetData>
    <row r="1" spans="1:6" s="38" customFormat="1" ht="18.75" x14ac:dyDescent="0.3">
      <c r="A1" s="37" t="s">
        <v>1490</v>
      </c>
      <c r="B1" s="37"/>
      <c r="C1" s="37"/>
      <c r="D1" s="37"/>
      <c r="E1" s="37"/>
    </row>
    <row r="2" spans="1:6" ht="15.75" x14ac:dyDescent="0.25">
      <c r="E2" s="8" t="s">
        <v>1463</v>
      </c>
    </row>
    <row r="3" spans="1:6" ht="13.5" customHeight="1" x14ac:dyDescent="0.25"/>
    <row r="4" spans="1:6" ht="15.75" x14ac:dyDescent="0.25">
      <c r="A4" s="33" t="s">
        <v>1461</v>
      </c>
      <c r="B4" s="33" t="s">
        <v>1465</v>
      </c>
      <c r="C4" s="30" t="s">
        <v>1462</v>
      </c>
      <c r="D4" s="30"/>
      <c r="E4" s="30"/>
      <c r="F4" s="22"/>
    </row>
    <row r="5" spans="1:6" ht="15.75" x14ac:dyDescent="0.25">
      <c r="A5" s="36"/>
      <c r="B5" s="36"/>
      <c r="C5" s="12" t="s">
        <v>0</v>
      </c>
      <c r="D5" s="12" t="s">
        <v>1</v>
      </c>
      <c r="E5" s="12" t="s">
        <v>2</v>
      </c>
      <c r="F5" s="22"/>
    </row>
    <row r="6" spans="1:6" ht="15.75" x14ac:dyDescent="0.25">
      <c r="A6" s="9"/>
      <c r="B6" s="3" t="s">
        <v>0</v>
      </c>
      <c r="C6" s="10">
        <v>133295</v>
      </c>
      <c r="D6" s="10">
        <v>63420</v>
      </c>
      <c r="E6" s="10">
        <v>69875</v>
      </c>
      <c r="F6" s="22"/>
    </row>
    <row r="7" spans="1:6" ht="13.5" customHeight="1" x14ac:dyDescent="0.25">
      <c r="A7" s="4"/>
      <c r="B7" s="4"/>
      <c r="C7" s="4"/>
      <c r="D7" s="4"/>
      <c r="E7" s="4"/>
      <c r="F7" s="22"/>
    </row>
    <row r="8" spans="1:6" ht="15.75" x14ac:dyDescent="0.25">
      <c r="A8" s="4"/>
      <c r="B8" s="20" t="s">
        <v>1460</v>
      </c>
      <c r="C8" s="5">
        <f>SUM(C9:C12)</f>
        <v>13939</v>
      </c>
      <c r="D8" s="5">
        <f t="shared" ref="D8:E8" si="0">SUM(D9:D12)</f>
        <v>6449</v>
      </c>
      <c r="E8" s="5">
        <f t="shared" si="0"/>
        <v>7490</v>
      </c>
      <c r="F8" s="22"/>
    </row>
    <row r="9" spans="1:6" ht="15.75" x14ac:dyDescent="0.25">
      <c r="A9" s="18">
        <v>1</v>
      </c>
      <c r="B9" s="4" t="s">
        <v>1286</v>
      </c>
      <c r="C9" s="4">
        <v>4848</v>
      </c>
      <c r="D9" s="4">
        <v>2326</v>
      </c>
      <c r="E9" s="4">
        <v>2522</v>
      </c>
      <c r="F9" s="22"/>
    </row>
    <row r="10" spans="1:6" ht="15.75" x14ac:dyDescent="0.25">
      <c r="A10" s="18">
        <v>2</v>
      </c>
      <c r="B10" s="4" t="s">
        <v>1287</v>
      </c>
      <c r="C10" s="4">
        <v>2263</v>
      </c>
      <c r="D10" s="4">
        <v>1051</v>
      </c>
      <c r="E10" s="4">
        <v>1212</v>
      </c>
      <c r="F10" s="22"/>
    </row>
    <row r="11" spans="1:6" ht="15.75" x14ac:dyDescent="0.25">
      <c r="A11" s="18">
        <v>3</v>
      </c>
      <c r="B11" s="4" t="s">
        <v>314</v>
      </c>
      <c r="C11" s="4">
        <v>3004</v>
      </c>
      <c r="D11" s="4">
        <v>1317</v>
      </c>
      <c r="E11" s="4">
        <v>1687</v>
      </c>
      <c r="F11" s="22"/>
    </row>
    <row r="12" spans="1:6" ht="15.75" x14ac:dyDescent="0.25">
      <c r="A12" s="18">
        <v>4</v>
      </c>
      <c r="B12" s="4" t="s">
        <v>1288</v>
      </c>
      <c r="C12" s="4">
        <v>3824</v>
      </c>
      <c r="D12" s="4">
        <v>1755</v>
      </c>
      <c r="E12" s="4">
        <v>2069</v>
      </c>
      <c r="F12" s="22"/>
    </row>
    <row r="13" spans="1:6" ht="15.75" x14ac:dyDescent="0.25">
      <c r="A13" s="4"/>
      <c r="B13" s="20" t="s">
        <v>1464</v>
      </c>
      <c r="C13" s="5">
        <f>SUM(C14:C84)</f>
        <v>119356</v>
      </c>
      <c r="D13" s="5">
        <f t="shared" ref="D13:E13" si="1">SUM(D14:D84)</f>
        <v>56971</v>
      </c>
      <c r="E13" s="5">
        <f t="shared" si="1"/>
        <v>62385</v>
      </c>
      <c r="F13" s="22"/>
    </row>
    <row r="14" spans="1:6" ht="15.75" x14ac:dyDescent="0.25">
      <c r="A14" s="18">
        <v>1</v>
      </c>
      <c r="B14" s="4" t="s">
        <v>1289</v>
      </c>
      <c r="C14" s="4">
        <v>314</v>
      </c>
      <c r="D14" s="4">
        <v>128</v>
      </c>
      <c r="E14" s="4">
        <v>186</v>
      </c>
      <c r="F14" s="22"/>
    </row>
    <row r="15" spans="1:6" ht="15.75" x14ac:dyDescent="0.25">
      <c r="A15" s="18">
        <v>2</v>
      </c>
      <c r="B15" s="4" t="s">
        <v>1290</v>
      </c>
      <c r="C15" s="4">
        <v>448</v>
      </c>
      <c r="D15" s="4">
        <v>203</v>
      </c>
      <c r="E15" s="4">
        <v>245</v>
      </c>
      <c r="F15" s="22"/>
    </row>
    <row r="16" spans="1:6" ht="15.75" x14ac:dyDescent="0.25">
      <c r="A16" s="18">
        <v>3</v>
      </c>
      <c r="B16" s="4" t="s">
        <v>1230</v>
      </c>
      <c r="C16" s="4">
        <v>1243</v>
      </c>
      <c r="D16" s="4">
        <v>573</v>
      </c>
      <c r="E16" s="4">
        <v>670</v>
      </c>
      <c r="F16" s="22"/>
    </row>
    <row r="17" spans="1:6" ht="15.75" x14ac:dyDescent="0.25">
      <c r="A17" s="18">
        <v>4</v>
      </c>
      <c r="B17" s="4" t="s">
        <v>1291</v>
      </c>
      <c r="C17" s="4">
        <v>2671</v>
      </c>
      <c r="D17" s="4">
        <v>1191</v>
      </c>
      <c r="E17" s="4">
        <v>1480</v>
      </c>
      <c r="F17" s="22"/>
    </row>
    <row r="18" spans="1:6" ht="15.75" x14ac:dyDescent="0.25">
      <c r="A18" s="18">
        <v>5</v>
      </c>
      <c r="B18" s="4" t="s">
        <v>1292</v>
      </c>
      <c r="C18" s="4">
        <v>848</v>
      </c>
      <c r="D18" s="4">
        <v>392</v>
      </c>
      <c r="E18" s="4">
        <v>456</v>
      </c>
      <c r="F18" s="22"/>
    </row>
    <row r="19" spans="1:6" ht="15.75" x14ac:dyDescent="0.25">
      <c r="A19" s="18">
        <v>6</v>
      </c>
      <c r="B19" s="4" t="s">
        <v>1293</v>
      </c>
      <c r="C19" s="4">
        <v>1149</v>
      </c>
      <c r="D19" s="4">
        <v>600</v>
      </c>
      <c r="E19" s="4">
        <v>549</v>
      </c>
      <c r="F19" s="22"/>
    </row>
    <row r="20" spans="1:6" ht="15.75" x14ac:dyDescent="0.25">
      <c r="A20" s="18">
        <v>7</v>
      </c>
      <c r="B20" s="4" t="s">
        <v>598</v>
      </c>
      <c r="C20" s="4">
        <v>2319</v>
      </c>
      <c r="D20" s="4">
        <v>1162</v>
      </c>
      <c r="E20" s="4">
        <v>1157</v>
      </c>
      <c r="F20" s="22"/>
    </row>
    <row r="21" spans="1:6" ht="15.75" x14ac:dyDescent="0.25">
      <c r="A21" s="18">
        <v>8</v>
      </c>
      <c r="B21" s="4" t="s">
        <v>1294</v>
      </c>
      <c r="C21" s="4">
        <v>552</v>
      </c>
      <c r="D21" s="4">
        <v>247</v>
      </c>
      <c r="E21" s="4">
        <v>305</v>
      </c>
      <c r="F21" s="22"/>
    </row>
    <row r="22" spans="1:6" ht="15.75" x14ac:dyDescent="0.25">
      <c r="A22" s="18">
        <v>9</v>
      </c>
      <c r="B22" s="4" t="s">
        <v>1295</v>
      </c>
      <c r="C22" s="4">
        <v>1294</v>
      </c>
      <c r="D22" s="4">
        <v>616</v>
      </c>
      <c r="E22" s="4">
        <v>678</v>
      </c>
      <c r="F22" s="22"/>
    </row>
    <row r="23" spans="1:6" ht="15.75" x14ac:dyDescent="0.25">
      <c r="A23" s="18">
        <v>10</v>
      </c>
      <c r="B23" s="4" t="s">
        <v>1296</v>
      </c>
      <c r="C23" s="4">
        <v>1312</v>
      </c>
      <c r="D23" s="4">
        <v>611</v>
      </c>
      <c r="E23" s="4">
        <v>701</v>
      </c>
      <c r="F23" s="22"/>
    </row>
    <row r="24" spans="1:6" ht="15.75" x14ac:dyDescent="0.25">
      <c r="A24" s="18">
        <v>11</v>
      </c>
      <c r="B24" s="4" t="s">
        <v>1297</v>
      </c>
      <c r="C24" s="4">
        <v>782</v>
      </c>
      <c r="D24" s="4">
        <v>372</v>
      </c>
      <c r="E24" s="4">
        <v>410</v>
      </c>
      <c r="F24" s="22"/>
    </row>
    <row r="25" spans="1:6" ht="15.75" x14ac:dyDescent="0.25">
      <c r="A25" s="18">
        <v>12</v>
      </c>
      <c r="B25" s="4" t="s">
        <v>1298</v>
      </c>
      <c r="C25" s="4">
        <v>1397</v>
      </c>
      <c r="D25" s="4">
        <v>649</v>
      </c>
      <c r="E25" s="4">
        <v>748</v>
      </c>
      <c r="F25" s="22"/>
    </row>
    <row r="26" spans="1:6" ht="15.75" x14ac:dyDescent="0.25">
      <c r="A26" s="18">
        <v>13</v>
      </c>
      <c r="B26" s="4" t="s">
        <v>1299</v>
      </c>
      <c r="C26" s="4">
        <v>1431</v>
      </c>
      <c r="D26" s="4">
        <v>603</v>
      </c>
      <c r="E26" s="4">
        <v>828</v>
      </c>
      <c r="F26" s="22"/>
    </row>
    <row r="27" spans="1:6" ht="15.75" x14ac:dyDescent="0.25">
      <c r="A27" s="18">
        <v>14</v>
      </c>
      <c r="B27" s="4" t="s">
        <v>1300</v>
      </c>
      <c r="C27" s="4">
        <v>875</v>
      </c>
      <c r="D27" s="4">
        <v>513</v>
      </c>
      <c r="E27" s="4">
        <v>362</v>
      </c>
      <c r="F27" s="22"/>
    </row>
    <row r="28" spans="1:6" ht="15.75" x14ac:dyDescent="0.25">
      <c r="A28" s="18">
        <v>15</v>
      </c>
      <c r="B28" s="4" t="s">
        <v>1301</v>
      </c>
      <c r="C28" s="4">
        <v>1910</v>
      </c>
      <c r="D28" s="4">
        <v>936</v>
      </c>
      <c r="E28" s="4">
        <v>974</v>
      </c>
      <c r="F28" s="22"/>
    </row>
    <row r="29" spans="1:6" ht="15.75" x14ac:dyDescent="0.25">
      <c r="A29" s="18">
        <v>16</v>
      </c>
      <c r="B29" s="4" t="s">
        <v>1302</v>
      </c>
      <c r="C29" s="4">
        <v>3154</v>
      </c>
      <c r="D29" s="4">
        <v>1445</v>
      </c>
      <c r="E29" s="4">
        <v>1709</v>
      </c>
      <c r="F29" s="22"/>
    </row>
    <row r="30" spans="1:6" ht="15.75" x14ac:dyDescent="0.25">
      <c r="A30" s="18">
        <v>17</v>
      </c>
      <c r="B30" s="4" t="s">
        <v>1303</v>
      </c>
      <c r="C30" s="4">
        <v>787</v>
      </c>
      <c r="D30" s="4">
        <v>358</v>
      </c>
      <c r="E30" s="4">
        <v>429</v>
      </c>
      <c r="F30" s="22"/>
    </row>
    <row r="31" spans="1:6" ht="15.75" x14ac:dyDescent="0.25">
      <c r="A31" s="18">
        <v>18</v>
      </c>
      <c r="B31" s="4" t="s">
        <v>66</v>
      </c>
      <c r="C31" s="4">
        <v>2434</v>
      </c>
      <c r="D31" s="4">
        <v>1099</v>
      </c>
      <c r="E31" s="4">
        <v>1335</v>
      </c>
      <c r="F31" s="22"/>
    </row>
    <row r="32" spans="1:6" ht="15.75" x14ac:dyDescent="0.25">
      <c r="A32" s="18">
        <v>19</v>
      </c>
      <c r="B32" s="4" t="s">
        <v>227</v>
      </c>
      <c r="C32" s="4">
        <v>478</v>
      </c>
      <c r="D32" s="4">
        <v>215</v>
      </c>
      <c r="E32" s="4">
        <v>263</v>
      </c>
      <c r="F32" s="22"/>
    </row>
    <row r="33" spans="1:6" ht="15.75" x14ac:dyDescent="0.25">
      <c r="A33" s="18">
        <v>20</v>
      </c>
      <c r="B33" s="4" t="s">
        <v>1304</v>
      </c>
      <c r="C33" s="4">
        <v>325</v>
      </c>
      <c r="D33" s="4">
        <v>153</v>
      </c>
      <c r="E33" s="4">
        <v>172</v>
      </c>
      <c r="F33" s="22"/>
    </row>
    <row r="34" spans="1:6" ht="15.75" x14ac:dyDescent="0.25">
      <c r="A34" s="18">
        <v>21</v>
      </c>
      <c r="B34" s="4" t="s">
        <v>1305</v>
      </c>
      <c r="C34" s="4">
        <v>770</v>
      </c>
      <c r="D34" s="4">
        <v>345</v>
      </c>
      <c r="E34" s="4">
        <v>425</v>
      </c>
      <c r="F34" s="22"/>
    </row>
    <row r="35" spans="1:6" ht="15.75" x14ac:dyDescent="0.25">
      <c r="A35" s="18">
        <v>22</v>
      </c>
      <c r="B35" s="4" t="s">
        <v>1306</v>
      </c>
      <c r="C35" s="4">
        <v>2391</v>
      </c>
      <c r="D35" s="4">
        <v>1338</v>
      </c>
      <c r="E35" s="4">
        <v>1053</v>
      </c>
      <c r="F35" s="22"/>
    </row>
    <row r="36" spans="1:6" ht="15.75" x14ac:dyDescent="0.25">
      <c r="A36" s="18">
        <v>23</v>
      </c>
      <c r="B36" s="4" t="s">
        <v>1307</v>
      </c>
      <c r="C36" s="4">
        <v>485</v>
      </c>
      <c r="D36" s="4">
        <v>248</v>
      </c>
      <c r="E36" s="4">
        <v>237</v>
      </c>
      <c r="F36" s="22"/>
    </row>
    <row r="37" spans="1:6" ht="15.75" x14ac:dyDescent="0.25">
      <c r="A37" s="18">
        <v>24</v>
      </c>
      <c r="B37" s="4" t="s">
        <v>1308</v>
      </c>
      <c r="C37" s="4">
        <v>412</v>
      </c>
      <c r="D37" s="4">
        <v>187</v>
      </c>
      <c r="E37" s="4">
        <v>225</v>
      </c>
      <c r="F37" s="22"/>
    </row>
    <row r="38" spans="1:6" ht="15.75" x14ac:dyDescent="0.25">
      <c r="A38" s="18">
        <v>25</v>
      </c>
      <c r="B38" s="4" t="s">
        <v>1309</v>
      </c>
      <c r="C38" s="4">
        <v>267</v>
      </c>
      <c r="D38" s="4">
        <v>119</v>
      </c>
      <c r="E38" s="4">
        <v>148</v>
      </c>
      <c r="F38" s="22"/>
    </row>
    <row r="39" spans="1:6" ht="15.75" x14ac:dyDescent="0.25">
      <c r="A39" s="18">
        <v>26</v>
      </c>
      <c r="B39" s="4" t="s">
        <v>1310</v>
      </c>
      <c r="C39" s="4">
        <v>1101</v>
      </c>
      <c r="D39" s="4">
        <v>535</v>
      </c>
      <c r="E39" s="4">
        <v>566</v>
      </c>
      <c r="F39" s="22"/>
    </row>
    <row r="40" spans="1:6" ht="15.75" x14ac:dyDescent="0.25">
      <c r="A40" s="18">
        <v>27</v>
      </c>
      <c r="B40" s="4" t="s">
        <v>1311</v>
      </c>
      <c r="C40" s="4">
        <v>492</v>
      </c>
      <c r="D40" s="4">
        <v>205</v>
      </c>
      <c r="E40" s="4">
        <v>287</v>
      </c>
      <c r="F40" s="22"/>
    </row>
    <row r="41" spans="1:6" ht="15.75" x14ac:dyDescent="0.25">
      <c r="A41" s="18">
        <v>28</v>
      </c>
      <c r="B41" s="4" t="s">
        <v>1312</v>
      </c>
      <c r="C41" s="4">
        <v>1133</v>
      </c>
      <c r="D41" s="4">
        <v>505</v>
      </c>
      <c r="E41" s="4">
        <v>628</v>
      </c>
      <c r="F41" s="22"/>
    </row>
    <row r="42" spans="1:6" ht="15.75" x14ac:dyDescent="0.25">
      <c r="A42" s="18">
        <v>29</v>
      </c>
      <c r="B42" s="4" t="s">
        <v>1313</v>
      </c>
      <c r="C42" s="4">
        <v>712</v>
      </c>
      <c r="D42" s="4">
        <v>329</v>
      </c>
      <c r="E42" s="4">
        <v>383</v>
      </c>
      <c r="F42" s="22"/>
    </row>
    <row r="43" spans="1:6" ht="15.75" x14ac:dyDescent="0.25">
      <c r="A43" s="18">
        <v>30</v>
      </c>
      <c r="B43" s="4" t="s">
        <v>1314</v>
      </c>
      <c r="C43" s="4">
        <v>427</v>
      </c>
      <c r="D43" s="4">
        <v>204</v>
      </c>
      <c r="E43" s="4">
        <v>223</v>
      </c>
      <c r="F43" s="22"/>
    </row>
    <row r="44" spans="1:6" ht="15.75" x14ac:dyDescent="0.25">
      <c r="A44" s="18">
        <v>31</v>
      </c>
      <c r="B44" s="4" t="s">
        <v>1315</v>
      </c>
      <c r="C44" s="4">
        <v>496</v>
      </c>
      <c r="D44" s="4">
        <v>227</v>
      </c>
      <c r="E44" s="4">
        <v>269</v>
      </c>
      <c r="F44" s="22"/>
    </row>
    <row r="45" spans="1:6" ht="15.75" x14ac:dyDescent="0.25">
      <c r="A45" s="18">
        <v>32</v>
      </c>
      <c r="B45" s="4" t="s">
        <v>1316</v>
      </c>
      <c r="C45" s="4">
        <v>388</v>
      </c>
      <c r="D45" s="4">
        <v>187</v>
      </c>
      <c r="E45" s="4">
        <v>201</v>
      </c>
      <c r="F45" s="22"/>
    </row>
    <row r="46" spans="1:6" ht="15.75" x14ac:dyDescent="0.25">
      <c r="A46" s="18">
        <v>33</v>
      </c>
      <c r="B46" s="4" t="s">
        <v>1317</v>
      </c>
      <c r="C46" s="4">
        <v>7505</v>
      </c>
      <c r="D46" s="4">
        <v>3663</v>
      </c>
      <c r="E46" s="4">
        <v>3842</v>
      </c>
      <c r="F46" s="22"/>
    </row>
    <row r="47" spans="1:6" ht="15.75" x14ac:dyDescent="0.25">
      <c r="A47" s="18">
        <v>34</v>
      </c>
      <c r="B47" s="4" t="s">
        <v>1318</v>
      </c>
      <c r="C47" s="4">
        <v>2040</v>
      </c>
      <c r="D47" s="4">
        <v>993</v>
      </c>
      <c r="E47" s="4">
        <v>1047</v>
      </c>
      <c r="F47" s="22"/>
    </row>
    <row r="48" spans="1:6" ht="15.75" x14ac:dyDescent="0.25">
      <c r="A48" s="18">
        <v>35</v>
      </c>
      <c r="B48" s="4" t="s">
        <v>1319</v>
      </c>
      <c r="C48" s="4">
        <v>4606</v>
      </c>
      <c r="D48" s="4">
        <v>2224</v>
      </c>
      <c r="E48" s="4">
        <v>2382</v>
      </c>
      <c r="F48" s="22"/>
    </row>
    <row r="49" spans="1:6" ht="15.75" x14ac:dyDescent="0.25">
      <c r="A49" s="18">
        <v>36</v>
      </c>
      <c r="B49" s="4" t="s">
        <v>1320</v>
      </c>
      <c r="C49" s="4">
        <v>3269</v>
      </c>
      <c r="D49" s="4">
        <v>1603</v>
      </c>
      <c r="E49" s="4">
        <v>1666</v>
      </c>
      <c r="F49" s="22"/>
    </row>
    <row r="50" spans="1:6" ht="15.75" x14ac:dyDescent="0.25">
      <c r="A50" s="18">
        <v>37</v>
      </c>
      <c r="B50" s="4" t="s">
        <v>1321</v>
      </c>
      <c r="C50" s="4">
        <v>3754</v>
      </c>
      <c r="D50" s="4">
        <v>1800</v>
      </c>
      <c r="E50" s="4">
        <v>1954</v>
      </c>
      <c r="F50" s="22"/>
    </row>
    <row r="51" spans="1:6" ht="15.75" x14ac:dyDescent="0.25">
      <c r="A51" s="18">
        <v>38</v>
      </c>
      <c r="B51" s="4" t="s">
        <v>1322</v>
      </c>
      <c r="C51" s="4">
        <v>875</v>
      </c>
      <c r="D51" s="4">
        <v>413</v>
      </c>
      <c r="E51" s="4">
        <v>462</v>
      </c>
      <c r="F51" s="22"/>
    </row>
    <row r="52" spans="1:6" ht="15.75" x14ac:dyDescent="0.25">
      <c r="A52" s="18">
        <v>39</v>
      </c>
      <c r="B52" s="4" t="s">
        <v>1323</v>
      </c>
      <c r="C52" s="4">
        <v>3819</v>
      </c>
      <c r="D52" s="4">
        <v>1833</v>
      </c>
      <c r="E52" s="4">
        <v>1986</v>
      </c>
      <c r="F52" s="22"/>
    </row>
    <row r="53" spans="1:6" ht="15.75" x14ac:dyDescent="0.25">
      <c r="A53" s="18">
        <v>40</v>
      </c>
      <c r="B53" s="4" t="s">
        <v>164</v>
      </c>
      <c r="C53" s="4">
        <v>997</v>
      </c>
      <c r="D53" s="4">
        <v>458</v>
      </c>
      <c r="E53" s="4">
        <v>539</v>
      </c>
      <c r="F53" s="22"/>
    </row>
    <row r="54" spans="1:6" ht="15.75" x14ac:dyDescent="0.25">
      <c r="A54" s="18">
        <v>41</v>
      </c>
      <c r="B54" s="4" t="s">
        <v>999</v>
      </c>
      <c r="C54" s="4">
        <v>1117</v>
      </c>
      <c r="D54" s="4">
        <v>575</v>
      </c>
      <c r="E54" s="4">
        <v>542</v>
      </c>
      <c r="F54" s="22"/>
    </row>
    <row r="55" spans="1:6" ht="15.75" x14ac:dyDescent="0.25">
      <c r="A55" s="18">
        <v>42</v>
      </c>
      <c r="B55" s="4" t="s">
        <v>1324</v>
      </c>
      <c r="C55" s="4">
        <v>4377</v>
      </c>
      <c r="D55" s="4">
        <v>2101</v>
      </c>
      <c r="E55" s="4">
        <v>2276</v>
      </c>
      <c r="F55" s="22"/>
    </row>
    <row r="56" spans="1:6" ht="15.75" x14ac:dyDescent="0.25">
      <c r="A56" s="18">
        <v>43</v>
      </c>
      <c r="B56" s="4" t="s">
        <v>1325</v>
      </c>
      <c r="C56" s="4">
        <v>1463</v>
      </c>
      <c r="D56" s="4">
        <v>726</v>
      </c>
      <c r="E56" s="4">
        <v>737</v>
      </c>
      <c r="F56" s="22"/>
    </row>
    <row r="57" spans="1:6" ht="15.75" x14ac:dyDescent="0.25">
      <c r="A57" s="18">
        <v>44</v>
      </c>
      <c r="B57" s="4" t="s">
        <v>1326</v>
      </c>
      <c r="C57" s="4">
        <v>968</v>
      </c>
      <c r="D57" s="4">
        <v>453</v>
      </c>
      <c r="E57" s="4">
        <v>515</v>
      </c>
      <c r="F57" s="22"/>
    </row>
    <row r="58" spans="1:6" ht="15.75" x14ac:dyDescent="0.25">
      <c r="A58" s="18">
        <v>45</v>
      </c>
      <c r="B58" s="4" t="s">
        <v>1327</v>
      </c>
      <c r="C58" s="4">
        <v>4753</v>
      </c>
      <c r="D58" s="4">
        <v>2254</v>
      </c>
      <c r="E58" s="4">
        <v>2499</v>
      </c>
      <c r="F58" s="22"/>
    </row>
    <row r="59" spans="1:6" ht="15.75" x14ac:dyDescent="0.25">
      <c r="A59" s="18">
        <v>46</v>
      </c>
      <c r="B59" s="4" t="s">
        <v>1328</v>
      </c>
      <c r="C59" s="4">
        <v>926</v>
      </c>
      <c r="D59" s="4">
        <v>441</v>
      </c>
      <c r="E59" s="4">
        <v>485</v>
      </c>
      <c r="F59" s="22"/>
    </row>
    <row r="60" spans="1:6" ht="15.75" x14ac:dyDescent="0.25">
      <c r="A60" s="18">
        <v>47</v>
      </c>
      <c r="B60" s="4" t="s">
        <v>1329</v>
      </c>
      <c r="C60" s="4">
        <v>890</v>
      </c>
      <c r="D60" s="4">
        <v>433</v>
      </c>
      <c r="E60" s="4">
        <v>457</v>
      </c>
      <c r="F60" s="22"/>
    </row>
    <row r="61" spans="1:6" ht="15.75" x14ac:dyDescent="0.25">
      <c r="A61" s="18">
        <v>48</v>
      </c>
      <c r="B61" s="4" t="s">
        <v>1330</v>
      </c>
      <c r="C61" s="4">
        <v>1506</v>
      </c>
      <c r="D61" s="4">
        <v>718</v>
      </c>
      <c r="E61" s="4">
        <v>788</v>
      </c>
      <c r="F61" s="22"/>
    </row>
    <row r="62" spans="1:6" ht="15.75" x14ac:dyDescent="0.25">
      <c r="A62" s="18">
        <v>49</v>
      </c>
      <c r="B62" s="4" t="s">
        <v>255</v>
      </c>
      <c r="C62" s="4">
        <v>2719</v>
      </c>
      <c r="D62" s="4">
        <v>1312</v>
      </c>
      <c r="E62" s="4">
        <v>1407</v>
      </c>
      <c r="F62" s="22"/>
    </row>
    <row r="63" spans="1:6" ht="15.75" x14ac:dyDescent="0.25">
      <c r="A63" s="18">
        <v>50</v>
      </c>
      <c r="B63" s="4" t="s">
        <v>1331</v>
      </c>
      <c r="C63" s="4">
        <v>872</v>
      </c>
      <c r="D63" s="4">
        <v>393</v>
      </c>
      <c r="E63" s="4">
        <v>479</v>
      </c>
      <c r="F63" s="22"/>
    </row>
    <row r="64" spans="1:6" ht="15.75" x14ac:dyDescent="0.25">
      <c r="A64" s="18">
        <v>51</v>
      </c>
      <c r="B64" s="4" t="s">
        <v>600</v>
      </c>
      <c r="C64" s="4">
        <v>5002</v>
      </c>
      <c r="D64" s="4">
        <v>2423</v>
      </c>
      <c r="E64" s="4">
        <v>2579</v>
      </c>
      <c r="F64" s="22"/>
    </row>
    <row r="65" spans="1:6" ht="15.75" x14ac:dyDescent="0.25">
      <c r="A65" s="18">
        <v>52</v>
      </c>
      <c r="B65" s="4" t="s">
        <v>1332</v>
      </c>
      <c r="C65" s="4">
        <v>1716</v>
      </c>
      <c r="D65" s="4">
        <v>808</v>
      </c>
      <c r="E65" s="4">
        <v>908</v>
      </c>
      <c r="F65" s="22"/>
    </row>
    <row r="66" spans="1:6" ht="15.75" x14ac:dyDescent="0.25">
      <c r="A66" s="18">
        <v>53</v>
      </c>
      <c r="B66" s="4" t="s">
        <v>1333</v>
      </c>
      <c r="C66" s="4">
        <v>1526</v>
      </c>
      <c r="D66" s="4">
        <v>739</v>
      </c>
      <c r="E66" s="4">
        <v>787</v>
      </c>
      <c r="F66" s="22"/>
    </row>
    <row r="67" spans="1:6" ht="15.75" x14ac:dyDescent="0.25">
      <c r="A67" s="18">
        <v>54</v>
      </c>
      <c r="B67" s="4" t="s">
        <v>1334</v>
      </c>
      <c r="C67" s="4">
        <v>1139</v>
      </c>
      <c r="D67" s="4">
        <v>587</v>
      </c>
      <c r="E67" s="4">
        <v>552</v>
      </c>
      <c r="F67" s="22"/>
    </row>
    <row r="68" spans="1:6" ht="15.75" x14ac:dyDescent="0.25">
      <c r="A68" s="18">
        <v>55</v>
      </c>
      <c r="B68" s="4" t="s">
        <v>993</v>
      </c>
      <c r="C68" s="4">
        <v>1541</v>
      </c>
      <c r="D68" s="4">
        <v>718</v>
      </c>
      <c r="E68" s="4">
        <v>823</v>
      </c>
      <c r="F68" s="22"/>
    </row>
    <row r="69" spans="1:6" ht="15.75" x14ac:dyDescent="0.25">
      <c r="A69" s="18">
        <v>56</v>
      </c>
      <c r="B69" s="4" t="s">
        <v>1335</v>
      </c>
      <c r="C69" s="4">
        <v>1139</v>
      </c>
      <c r="D69" s="4">
        <v>560</v>
      </c>
      <c r="E69" s="4">
        <v>579</v>
      </c>
      <c r="F69" s="22"/>
    </row>
    <row r="70" spans="1:6" ht="15.75" x14ac:dyDescent="0.25">
      <c r="A70" s="18">
        <v>57</v>
      </c>
      <c r="B70" s="4" t="s">
        <v>1336</v>
      </c>
      <c r="C70" s="4">
        <v>2055</v>
      </c>
      <c r="D70" s="4">
        <v>969</v>
      </c>
      <c r="E70" s="4">
        <v>1086</v>
      </c>
      <c r="F70" s="22"/>
    </row>
    <row r="71" spans="1:6" ht="15.75" x14ac:dyDescent="0.25">
      <c r="A71" s="18">
        <v>58</v>
      </c>
      <c r="B71" s="4" t="s">
        <v>1337</v>
      </c>
      <c r="C71" s="4">
        <v>1604</v>
      </c>
      <c r="D71" s="4">
        <v>759</v>
      </c>
      <c r="E71" s="4">
        <v>845</v>
      </c>
      <c r="F71" s="22"/>
    </row>
    <row r="72" spans="1:6" ht="15.75" x14ac:dyDescent="0.25">
      <c r="A72" s="18">
        <v>59</v>
      </c>
      <c r="B72" s="4" t="s">
        <v>1295</v>
      </c>
      <c r="C72" s="4">
        <v>5521</v>
      </c>
      <c r="D72" s="4">
        <v>2594</v>
      </c>
      <c r="E72" s="4">
        <v>2927</v>
      </c>
      <c r="F72" s="22"/>
    </row>
    <row r="73" spans="1:6" ht="15.75" x14ac:dyDescent="0.25">
      <c r="A73" s="18">
        <v>60</v>
      </c>
      <c r="B73" s="4" t="s">
        <v>1338</v>
      </c>
      <c r="C73" s="4">
        <v>1164</v>
      </c>
      <c r="D73" s="4">
        <v>521</v>
      </c>
      <c r="E73" s="4">
        <v>643</v>
      </c>
      <c r="F73" s="22"/>
    </row>
    <row r="74" spans="1:6" ht="15.75" x14ac:dyDescent="0.25">
      <c r="A74" s="18">
        <v>61</v>
      </c>
      <c r="B74" s="4" t="s">
        <v>1339</v>
      </c>
      <c r="C74" s="4">
        <v>713</v>
      </c>
      <c r="D74" s="4">
        <v>339</v>
      </c>
      <c r="E74" s="4">
        <v>374</v>
      </c>
      <c r="F74" s="22"/>
    </row>
    <row r="75" spans="1:6" ht="15.75" x14ac:dyDescent="0.25">
      <c r="A75" s="18">
        <v>62</v>
      </c>
      <c r="B75" s="4" t="s">
        <v>1340</v>
      </c>
      <c r="C75" s="4">
        <v>2241</v>
      </c>
      <c r="D75" s="4">
        <v>1219</v>
      </c>
      <c r="E75" s="4">
        <v>1022</v>
      </c>
      <c r="F75" s="22"/>
    </row>
    <row r="76" spans="1:6" ht="15.75" x14ac:dyDescent="0.25">
      <c r="A76" s="18">
        <v>63</v>
      </c>
      <c r="B76" s="4" t="s">
        <v>1341</v>
      </c>
      <c r="C76" s="4">
        <v>381</v>
      </c>
      <c r="D76" s="4">
        <v>180</v>
      </c>
      <c r="E76" s="4">
        <v>201</v>
      </c>
      <c r="F76" s="22"/>
    </row>
    <row r="77" spans="1:6" ht="15.75" x14ac:dyDescent="0.25">
      <c r="A77" s="18">
        <v>64</v>
      </c>
      <c r="B77" s="4" t="s">
        <v>1342</v>
      </c>
      <c r="C77" s="4">
        <v>483</v>
      </c>
      <c r="D77" s="4">
        <v>237</v>
      </c>
      <c r="E77" s="4">
        <v>246</v>
      </c>
      <c r="F77" s="22"/>
    </row>
    <row r="78" spans="1:6" ht="15.75" x14ac:dyDescent="0.25">
      <c r="A78" s="18">
        <v>65</v>
      </c>
      <c r="B78" s="4" t="s">
        <v>1343</v>
      </c>
      <c r="C78" s="4">
        <v>789</v>
      </c>
      <c r="D78" s="4">
        <v>381</v>
      </c>
      <c r="E78" s="4">
        <v>408</v>
      </c>
      <c r="F78" s="22"/>
    </row>
    <row r="79" spans="1:6" ht="15.75" x14ac:dyDescent="0.25">
      <c r="A79" s="18">
        <v>66</v>
      </c>
      <c r="B79" s="4" t="s">
        <v>1344</v>
      </c>
      <c r="C79" s="4">
        <v>930</v>
      </c>
      <c r="D79" s="4">
        <v>436</v>
      </c>
      <c r="E79" s="4">
        <v>494</v>
      </c>
      <c r="F79" s="22"/>
    </row>
    <row r="80" spans="1:6" ht="15.75" x14ac:dyDescent="0.25">
      <c r="A80" s="18">
        <v>67</v>
      </c>
      <c r="B80" s="4" t="s">
        <v>1345</v>
      </c>
      <c r="C80" s="4">
        <v>1180</v>
      </c>
      <c r="D80" s="4">
        <v>570</v>
      </c>
      <c r="E80" s="4">
        <v>610</v>
      </c>
      <c r="F80" s="22"/>
    </row>
    <row r="81" spans="1:6" ht="15.75" x14ac:dyDescent="0.25">
      <c r="A81" s="18">
        <v>68</v>
      </c>
      <c r="B81" s="4" t="s">
        <v>1346</v>
      </c>
      <c r="C81" s="4">
        <v>1039</v>
      </c>
      <c r="D81" s="4">
        <v>500</v>
      </c>
      <c r="E81" s="4">
        <v>539</v>
      </c>
      <c r="F81" s="22"/>
    </row>
    <row r="82" spans="1:6" ht="15.75" x14ac:dyDescent="0.25">
      <c r="A82" s="18">
        <v>69</v>
      </c>
      <c r="B82" s="4" t="s">
        <v>1347</v>
      </c>
      <c r="C82" s="4">
        <v>2318</v>
      </c>
      <c r="D82" s="4">
        <v>1055</v>
      </c>
      <c r="E82" s="4">
        <v>1263</v>
      </c>
      <c r="F82" s="22"/>
    </row>
    <row r="83" spans="1:6" ht="15.75" x14ac:dyDescent="0.25">
      <c r="A83" s="18">
        <v>70</v>
      </c>
      <c r="B83" s="4" t="s">
        <v>1348</v>
      </c>
      <c r="C83" s="4">
        <v>3844</v>
      </c>
      <c r="D83" s="4">
        <v>1630</v>
      </c>
      <c r="E83" s="4">
        <v>2214</v>
      </c>
      <c r="F83" s="22"/>
    </row>
    <row r="84" spans="1:6" ht="15.75" x14ac:dyDescent="0.25">
      <c r="A84" s="19">
        <v>71</v>
      </c>
      <c r="B84" s="6" t="s">
        <v>1349</v>
      </c>
      <c r="C84" s="6">
        <v>1778</v>
      </c>
      <c r="D84" s="6">
        <v>858</v>
      </c>
      <c r="E84" s="6">
        <v>920</v>
      </c>
      <c r="F84" s="22"/>
    </row>
  </sheetData>
  <mergeCells count="4">
    <mergeCell ref="A4:A5"/>
    <mergeCell ref="B4:B5"/>
    <mergeCell ref="C4:E4"/>
    <mergeCell ref="A1:E1"/>
  </mergeCells>
  <hyperlinks>
    <hyperlink ref="A1:E1" location="'Lest of twonship'!A1" display="        Magway Region, Gangaw District, Gangaw Township"/>
  </hyperlinks>
  <pageMargins left="0.75" right="0.5" top="0.5" bottom="0.2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workbookViewId="0">
      <selection sqref="A1:E1"/>
    </sheetView>
  </sheetViews>
  <sheetFormatPr defaultRowHeight="15.75" x14ac:dyDescent="0.25"/>
  <cols>
    <col min="1" max="1" width="7" style="16" customWidth="1"/>
    <col min="2" max="2" width="47.85546875" bestFit="1" customWidth="1"/>
    <col min="3" max="5" width="15.7109375" customWidth="1"/>
  </cols>
  <sheetData>
    <row r="1" spans="1:5" s="38" customFormat="1" ht="18.75" x14ac:dyDescent="0.3">
      <c r="A1" s="37" t="s">
        <v>1491</v>
      </c>
      <c r="B1" s="37"/>
      <c r="C1" s="37"/>
      <c r="D1" s="37"/>
      <c r="E1" s="37"/>
    </row>
    <row r="2" spans="1:5" x14ac:dyDescent="0.25">
      <c r="E2" s="8" t="s">
        <v>1463</v>
      </c>
    </row>
    <row r="3" spans="1:5" ht="15.75" customHeight="1" x14ac:dyDescent="0.25"/>
    <row r="4" spans="1:5" x14ac:dyDescent="0.25">
      <c r="A4" s="32" t="s">
        <v>1461</v>
      </c>
      <c r="B4" s="32" t="s">
        <v>1465</v>
      </c>
      <c r="C4" s="30" t="s">
        <v>1462</v>
      </c>
      <c r="D4" s="30"/>
      <c r="E4" s="30"/>
    </row>
    <row r="5" spans="1:5" x14ac:dyDescent="0.25">
      <c r="A5" s="32"/>
      <c r="B5" s="32"/>
      <c r="C5" s="12" t="s">
        <v>0</v>
      </c>
      <c r="D5" s="12" t="s">
        <v>1</v>
      </c>
      <c r="E5" s="12" t="s">
        <v>2</v>
      </c>
    </row>
    <row r="6" spans="1:5" x14ac:dyDescent="0.25">
      <c r="A6" s="9"/>
      <c r="B6" s="3" t="s">
        <v>0</v>
      </c>
      <c r="C6" s="10">
        <v>48866</v>
      </c>
      <c r="D6" s="10">
        <v>22859</v>
      </c>
      <c r="E6" s="10">
        <v>26007</v>
      </c>
    </row>
    <row r="7" spans="1:5" ht="13.5" customHeight="1" x14ac:dyDescent="0.25">
      <c r="A7" s="4"/>
      <c r="B7" s="4"/>
      <c r="C7" s="4"/>
      <c r="D7" s="4"/>
      <c r="E7" s="4"/>
    </row>
    <row r="8" spans="1:5" x14ac:dyDescent="0.25">
      <c r="A8" s="4"/>
      <c r="B8" s="20" t="s">
        <v>1460</v>
      </c>
      <c r="C8" s="5">
        <f>SUM(C9:C10)</f>
        <v>4522</v>
      </c>
      <c r="D8" s="5">
        <f t="shared" ref="D8:E8" si="0">SUM(D9:D10)</f>
        <v>2084</v>
      </c>
      <c r="E8" s="5">
        <f t="shared" si="0"/>
        <v>2438</v>
      </c>
    </row>
    <row r="9" spans="1:5" x14ac:dyDescent="0.25">
      <c r="A9" s="18">
        <v>1</v>
      </c>
      <c r="B9" s="4" t="s">
        <v>121</v>
      </c>
      <c r="C9" s="4">
        <v>1808</v>
      </c>
      <c r="D9" s="4">
        <v>837</v>
      </c>
      <c r="E9" s="4">
        <v>971</v>
      </c>
    </row>
    <row r="10" spans="1:5" x14ac:dyDescent="0.25">
      <c r="A10" s="18">
        <v>2</v>
      </c>
      <c r="B10" s="4" t="s">
        <v>122</v>
      </c>
      <c r="C10" s="4">
        <v>2714</v>
      </c>
      <c r="D10" s="4">
        <v>1247</v>
      </c>
      <c r="E10" s="4">
        <v>1467</v>
      </c>
    </row>
    <row r="11" spans="1:5" x14ac:dyDescent="0.25">
      <c r="A11" s="4"/>
      <c r="B11" s="20" t="s">
        <v>1464</v>
      </c>
      <c r="C11" s="5">
        <f>SUM(C12:C82)</f>
        <v>44344</v>
      </c>
      <c r="D11" s="5">
        <f t="shared" ref="D11:E11" si="1">SUM(D12:D82)</f>
        <v>20775</v>
      </c>
      <c r="E11" s="5">
        <f t="shared" si="1"/>
        <v>23569</v>
      </c>
    </row>
    <row r="12" spans="1:5" x14ac:dyDescent="0.25">
      <c r="A12" s="18">
        <v>1</v>
      </c>
      <c r="B12" s="4" t="s">
        <v>1350</v>
      </c>
      <c r="C12" s="4">
        <v>536</v>
      </c>
      <c r="D12" s="4">
        <v>239</v>
      </c>
      <c r="E12" s="4">
        <v>297</v>
      </c>
    </row>
    <row r="13" spans="1:5" x14ac:dyDescent="0.25">
      <c r="A13" s="18">
        <v>2</v>
      </c>
      <c r="B13" s="4" t="s">
        <v>1351</v>
      </c>
      <c r="C13" s="4">
        <v>526</v>
      </c>
      <c r="D13" s="4">
        <v>248</v>
      </c>
      <c r="E13" s="4">
        <v>278</v>
      </c>
    </row>
    <row r="14" spans="1:5" x14ac:dyDescent="0.25">
      <c r="A14" s="18">
        <v>3</v>
      </c>
      <c r="B14" s="4" t="s">
        <v>1352</v>
      </c>
      <c r="C14" s="4">
        <v>965</v>
      </c>
      <c r="D14" s="4">
        <v>443</v>
      </c>
      <c r="E14" s="4">
        <v>522</v>
      </c>
    </row>
    <row r="15" spans="1:5" x14ac:dyDescent="0.25">
      <c r="A15" s="18">
        <v>4</v>
      </c>
      <c r="B15" s="4" t="s">
        <v>1353</v>
      </c>
      <c r="C15" s="4">
        <v>182</v>
      </c>
      <c r="D15" s="4">
        <v>74</v>
      </c>
      <c r="E15" s="4">
        <v>108</v>
      </c>
    </row>
    <row r="16" spans="1:5" x14ac:dyDescent="0.25">
      <c r="A16" s="18">
        <v>5</v>
      </c>
      <c r="B16" s="4" t="s">
        <v>1354</v>
      </c>
      <c r="C16" s="4">
        <v>1157</v>
      </c>
      <c r="D16" s="4">
        <v>538</v>
      </c>
      <c r="E16" s="4">
        <v>619</v>
      </c>
    </row>
    <row r="17" spans="1:5" x14ac:dyDescent="0.25">
      <c r="A17" s="18">
        <v>6</v>
      </c>
      <c r="B17" s="4" t="s">
        <v>1355</v>
      </c>
      <c r="C17" s="4">
        <v>476</v>
      </c>
      <c r="D17" s="4">
        <v>217</v>
      </c>
      <c r="E17" s="4">
        <v>259</v>
      </c>
    </row>
    <row r="18" spans="1:5" x14ac:dyDescent="0.25">
      <c r="A18" s="18">
        <v>7</v>
      </c>
      <c r="B18" s="4" t="s">
        <v>1356</v>
      </c>
      <c r="C18" s="4">
        <v>865</v>
      </c>
      <c r="D18" s="4">
        <v>381</v>
      </c>
      <c r="E18" s="4">
        <v>484</v>
      </c>
    </row>
    <row r="19" spans="1:5" x14ac:dyDescent="0.25">
      <c r="A19" s="18">
        <v>8</v>
      </c>
      <c r="B19" s="4" t="s">
        <v>1357</v>
      </c>
      <c r="C19" s="4">
        <v>1205</v>
      </c>
      <c r="D19" s="4">
        <v>581</v>
      </c>
      <c r="E19" s="4">
        <v>624</v>
      </c>
    </row>
    <row r="20" spans="1:5" x14ac:dyDescent="0.25">
      <c r="A20" s="18">
        <v>9</v>
      </c>
      <c r="B20" s="4" t="s">
        <v>1358</v>
      </c>
      <c r="C20" s="4">
        <v>367</v>
      </c>
      <c r="D20" s="4">
        <v>172</v>
      </c>
      <c r="E20" s="4">
        <v>195</v>
      </c>
    </row>
    <row r="21" spans="1:5" x14ac:dyDescent="0.25">
      <c r="A21" s="18">
        <v>10</v>
      </c>
      <c r="B21" s="4" t="s">
        <v>1300</v>
      </c>
      <c r="C21" s="4">
        <v>212</v>
      </c>
      <c r="D21" s="4">
        <v>110</v>
      </c>
      <c r="E21" s="4">
        <v>102</v>
      </c>
    </row>
    <row r="22" spans="1:5" x14ac:dyDescent="0.25">
      <c r="A22" s="18">
        <v>11</v>
      </c>
      <c r="B22" s="4" t="s">
        <v>1359</v>
      </c>
      <c r="C22" s="4">
        <v>230</v>
      </c>
      <c r="D22" s="4">
        <v>113</v>
      </c>
      <c r="E22" s="4">
        <v>117</v>
      </c>
    </row>
    <row r="23" spans="1:5" x14ac:dyDescent="0.25">
      <c r="A23" s="18">
        <v>12</v>
      </c>
      <c r="B23" s="4" t="s">
        <v>1360</v>
      </c>
      <c r="C23" s="4">
        <v>457</v>
      </c>
      <c r="D23" s="4">
        <v>208</v>
      </c>
      <c r="E23" s="4">
        <v>249</v>
      </c>
    </row>
    <row r="24" spans="1:5" x14ac:dyDescent="0.25">
      <c r="A24" s="18">
        <v>13</v>
      </c>
      <c r="B24" s="4" t="s">
        <v>255</v>
      </c>
      <c r="C24" s="4">
        <v>504</v>
      </c>
      <c r="D24" s="4">
        <v>227</v>
      </c>
      <c r="E24" s="4">
        <v>277</v>
      </c>
    </row>
    <row r="25" spans="1:5" x14ac:dyDescent="0.25">
      <c r="A25" s="18">
        <v>14</v>
      </c>
      <c r="B25" s="4" t="s">
        <v>1361</v>
      </c>
      <c r="C25" s="4">
        <v>258</v>
      </c>
      <c r="D25" s="4">
        <v>126</v>
      </c>
      <c r="E25" s="4">
        <v>132</v>
      </c>
    </row>
    <row r="26" spans="1:5" x14ac:dyDescent="0.25">
      <c r="A26" s="18">
        <v>15</v>
      </c>
      <c r="B26" s="4" t="s">
        <v>637</v>
      </c>
      <c r="C26" s="4">
        <v>593</v>
      </c>
      <c r="D26" s="4">
        <v>293</v>
      </c>
      <c r="E26" s="4">
        <v>300</v>
      </c>
    </row>
    <row r="27" spans="1:5" x14ac:dyDescent="0.25">
      <c r="A27" s="18">
        <v>16</v>
      </c>
      <c r="B27" s="4" t="s">
        <v>786</v>
      </c>
      <c r="C27" s="4">
        <v>1005</v>
      </c>
      <c r="D27" s="4">
        <v>474</v>
      </c>
      <c r="E27" s="4">
        <v>531</v>
      </c>
    </row>
    <row r="28" spans="1:5" x14ac:dyDescent="0.25">
      <c r="A28" s="18">
        <v>17</v>
      </c>
      <c r="B28" s="4" t="s">
        <v>1362</v>
      </c>
      <c r="C28" s="4">
        <v>236</v>
      </c>
      <c r="D28" s="4">
        <v>112</v>
      </c>
      <c r="E28" s="4">
        <v>124</v>
      </c>
    </row>
    <row r="29" spans="1:5" x14ac:dyDescent="0.25">
      <c r="A29" s="18">
        <v>18</v>
      </c>
      <c r="B29" s="4" t="s">
        <v>1159</v>
      </c>
      <c r="C29" s="4">
        <v>876</v>
      </c>
      <c r="D29" s="4">
        <v>414</v>
      </c>
      <c r="E29" s="4">
        <v>462</v>
      </c>
    </row>
    <row r="30" spans="1:5" x14ac:dyDescent="0.25">
      <c r="A30" s="18">
        <v>19</v>
      </c>
      <c r="B30" s="4" t="s">
        <v>1363</v>
      </c>
      <c r="C30" s="4">
        <v>340</v>
      </c>
      <c r="D30" s="4">
        <v>164</v>
      </c>
      <c r="E30" s="4">
        <v>176</v>
      </c>
    </row>
    <row r="31" spans="1:5" x14ac:dyDescent="0.25">
      <c r="A31" s="18">
        <v>20</v>
      </c>
      <c r="B31" s="4" t="s">
        <v>700</v>
      </c>
      <c r="C31" s="4">
        <v>607</v>
      </c>
      <c r="D31" s="4">
        <v>293</v>
      </c>
      <c r="E31" s="4">
        <v>314</v>
      </c>
    </row>
    <row r="32" spans="1:5" x14ac:dyDescent="0.25">
      <c r="A32" s="18">
        <v>21</v>
      </c>
      <c r="B32" s="4" t="s">
        <v>1364</v>
      </c>
      <c r="C32" s="4">
        <v>1076</v>
      </c>
      <c r="D32" s="4">
        <v>527</v>
      </c>
      <c r="E32" s="4">
        <v>549</v>
      </c>
    </row>
    <row r="33" spans="1:5" x14ac:dyDescent="0.25">
      <c r="A33" s="18">
        <v>22</v>
      </c>
      <c r="B33" s="4" t="s">
        <v>1365</v>
      </c>
      <c r="C33" s="4">
        <v>926</v>
      </c>
      <c r="D33" s="4">
        <v>451</v>
      </c>
      <c r="E33" s="4">
        <v>475</v>
      </c>
    </row>
    <row r="34" spans="1:5" x14ac:dyDescent="0.25">
      <c r="A34" s="18">
        <v>23</v>
      </c>
      <c r="B34" s="4" t="s">
        <v>1366</v>
      </c>
      <c r="C34" s="4">
        <v>440</v>
      </c>
      <c r="D34" s="4">
        <v>203</v>
      </c>
      <c r="E34" s="4">
        <v>237</v>
      </c>
    </row>
    <row r="35" spans="1:5" x14ac:dyDescent="0.25">
      <c r="A35" s="18">
        <v>24</v>
      </c>
      <c r="B35" s="4" t="s">
        <v>1367</v>
      </c>
      <c r="C35" s="4">
        <v>300</v>
      </c>
      <c r="D35" s="4">
        <v>133</v>
      </c>
      <c r="E35" s="4">
        <v>167</v>
      </c>
    </row>
    <row r="36" spans="1:5" x14ac:dyDescent="0.25">
      <c r="A36" s="18">
        <v>25</v>
      </c>
      <c r="B36" s="4" t="s">
        <v>282</v>
      </c>
      <c r="C36" s="4">
        <v>1230</v>
      </c>
      <c r="D36" s="4">
        <v>586</v>
      </c>
      <c r="E36" s="4">
        <v>644</v>
      </c>
    </row>
    <row r="37" spans="1:5" x14ac:dyDescent="0.25">
      <c r="A37" s="18">
        <v>26</v>
      </c>
      <c r="B37" s="4" t="s">
        <v>1368</v>
      </c>
      <c r="C37" s="4">
        <v>290</v>
      </c>
      <c r="D37" s="4">
        <v>128</v>
      </c>
      <c r="E37" s="4">
        <v>162</v>
      </c>
    </row>
    <row r="38" spans="1:5" x14ac:dyDescent="0.25">
      <c r="A38" s="18">
        <v>27</v>
      </c>
      <c r="B38" s="4" t="s">
        <v>1369</v>
      </c>
      <c r="C38" s="4">
        <v>1355</v>
      </c>
      <c r="D38" s="4">
        <v>640</v>
      </c>
      <c r="E38" s="4">
        <v>715</v>
      </c>
    </row>
    <row r="39" spans="1:5" x14ac:dyDescent="0.25">
      <c r="A39" s="18">
        <v>28</v>
      </c>
      <c r="B39" s="4" t="s">
        <v>1013</v>
      </c>
      <c r="C39" s="4">
        <v>1022</v>
      </c>
      <c r="D39" s="4">
        <v>478</v>
      </c>
      <c r="E39" s="4">
        <v>544</v>
      </c>
    </row>
    <row r="40" spans="1:5" x14ac:dyDescent="0.25">
      <c r="A40" s="18">
        <v>29</v>
      </c>
      <c r="B40" s="4" t="s">
        <v>1370</v>
      </c>
      <c r="C40" s="4">
        <v>506</v>
      </c>
      <c r="D40" s="4">
        <v>236</v>
      </c>
      <c r="E40" s="4">
        <v>270</v>
      </c>
    </row>
    <row r="41" spans="1:5" x14ac:dyDescent="0.25">
      <c r="A41" s="18">
        <v>30</v>
      </c>
      <c r="B41" s="4" t="s">
        <v>873</v>
      </c>
      <c r="C41" s="4">
        <v>743</v>
      </c>
      <c r="D41" s="4">
        <v>365</v>
      </c>
      <c r="E41" s="4">
        <v>378</v>
      </c>
    </row>
    <row r="42" spans="1:5" x14ac:dyDescent="0.25">
      <c r="A42" s="18">
        <v>31</v>
      </c>
      <c r="B42" s="4" t="s">
        <v>1263</v>
      </c>
      <c r="C42" s="4">
        <v>426</v>
      </c>
      <c r="D42" s="4">
        <v>191</v>
      </c>
      <c r="E42" s="4">
        <v>235</v>
      </c>
    </row>
    <row r="43" spans="1:5" x14ac:dyDescent="0.25">
      <c r="A43" s="18">
        <v>32</v>
      </c>
      <c r="B43" s="4" t="s">
        <v>47</v>
      </c>
      <c r="C43" s="4">
        <v>621</v>
      </c>
      <c r="D43" s="4">
        <v>275</v>
      </c>
      <c r="E43" s="4">
        <v>346</v>
      </c>
    </row>
    <row r="44" spans="1:5" x14ac:dyDescent="0.25">
      <c r="A44" s="18">
        <v>33</v>
      </c>
      <c r="B44" s="4" t="s">
        <v>1371</v>
      </c>
      <c r="C44" s="4">
        <v>919</v>
      </c>
      <c r="D44" s="4">
        <v>430</v>
      </c>
      <c r="E44" s="4">
        <v>489</v>
      </c>
    </row>
    <row r="45" spans="1:5" x14ac:dyDescent="0.25">
      <c r="A45" s="18">
        <v>34</v>
      </c>
      <c r="B45" s="4" t="s">
        <v>1372</v>
      </c>
      <c r="C45" s="4">
        <v>1540</v>
      </c>
      <c r="D45" s="4">
        <v>710</v>
      </c>
      <c r="E45" s="4">
        <v>830</v>
      </c>
    </row>
    <row r="46" spans="1:5" x14ac:dyDescent="0.25">
      <c r="A46" s="18">
        <v>35</v>
      </c>
      <c r="B46" s="4" t="s">
        <v>1373</v>
      </c>
      <c r="C46" s="4">
        <v>979</v>
      </c>
      <c r="D46" s="4">
        <v>449</v>
      </c>
      <c r="E46" s="4">
        <v>530</v>
      </c>
    </row>
    <row r="47" spans="1:5" x14ac:dyDescent="0.25">
      <c r="A47" s="18">
        <v>36</v>
      </c>
      <c r="B47" s="4" t="s">
        <v>1374</v>
      </c>
      <c r="C47" s="4">
        <v>227</v>
      </c>
      <c r="D47" s="4">
        <v>106</v>
      </c>
      <c r="E47" s="4">
        <v>121</v>
      </c>
    </row>
    <row r="48" spans="1:5" x14ac:dyDescent="0.25">
      <c r="A48" s="18">
        <v>37</v>
      </c>
      <c r="B48" s="4" t="s">
        <v>1375</v>
      </c>
      <c r="C48" s="4">
        <v>361</v>
      </c>
      <c r="D48" s="4">
        <v>180</v>
      </c>
      <c r="E48" s="4">
        <v>181</v>
      </c>
    </row>
    <row r="49" spans="1:5" x14ac:dyDescent="0.25">
      <c r="A49" s="18">
        <v>38</v>
      </c>
      <c r="B49" s="4" t="s">
        <v>1376</v>
      </c>
      <c r="C49" s="4">
        <v>859</v>
      </c>
      <c r="D49" s="4">
        <v>393</v>
      </c>
      <c r="E49" s="4">
        <v>466</v>
      </c>
    </row>
    <row r="50" spans="1:5" x14ac:dyDescent="0.25">
      <c r="A50" s="18">
        <v>39</v>
      </c>
      <c r="B50" s="4" t="s">
        <v>1377</v>
      </c>
      <c r="C50" s="4">
        <v>783</v>
      </c>
      <c r="D50" s="4">
        <v>340</v>
      </c>
      <c r="E50" s="4">
        <v>443</v>
      </c>
    </row>
    <row r="51" spans="1:5" x14ac:dyDescent="0.25">
      <c r="A51" s="18">
        <v>40</v>
      </c>
      <c r="B51" s="4" t="s">
        <v>1378</v>
      </c>
      <c r="C51" s="4">
        <v>465</v>
      </c>
      <c r="D51" s="4">
        <v>214</v>
      </c>
      <c r="E51" s="4">
        <v>251</v>
      </c>
    </row>
    <row r="52" spans="1:5" x14ac:dyDescent="0.25">
      <c r="A52" s="18">
        <v>41</v>
      </c>
      <c r="B52" s="4" t="s">
        <v>1379</v>
      </c>
      <c r="C52" s="4">
        <v>192</v>
      </c>
      <c r="D52" s="4">
        <v>89</v>
      </c>
      <c r="E52" s="4">
        <v>103</v>
      </c>
    </row>
    <row r="53" spans="1:5" x14ac:dyDescent="0.25">
      <c r="A53" s="18">
        <v>42</v>
      </c>
      <c r="B53" s="4" t="s">
        <v>1380</v>
      </c>
      <c r="C53" s="4">
        <v>744</v>
      </c>
      <c r="D53" s="4">
        <v>355</v>
      </c>
      <c r="E53" s="4">
        <v>389</v>
      </c>
    </row>
    <row r="54" spans="1:5" x14ac:dyDescent="0.25">
      <c r="A54" s="18">
        <v>43</v>
      </c>
      <c r="B54" s="4" t="s">
        <v>1381</v>
      </c>
      <c r="C54" s="4">
        <v>705</v>
      </c>
      <c r="D54" s="4">
        <v>327</v>
      </c>
      <c r="E54" s="4">
        <v>378</v>
      </c>
    </row>
    <row r="55" spans="1:5" x14ac:dyDescent="0.25">
      <c r="A55" s="18">
        <v>44</v>
      </c>
      <c r="B55" s="4" t="s">
        <v>1382</v>
      </c>
      <c r="C55" s="4">
        <v>626</v>
      </c>
      <c r="D55" s="4">
        <v>292</v>
      </c>
      <c r="E55" s="4">
        <v>334</v>
      </c>
    </row>
    <row r="56" spans="1:5" x14ac:dyDescent="0.25">
      <c r="A56" s="18">
        <v>45</v>
      </c>
      <c r="B56" s="4" t="s">
        <v>1383</v>
      </c>
      <c r="C56" s="4">
        <v>166</v>
      </c>
      <c r="D56" s="4">
        <v>74</v>
      </c>
      <c r="E56" s="4">
        <v>92</v>
      </c>
    </row>
    <row r="57" spans="1:5" x14ac:dyDescent="0.25">
      <c r="A57" s="18">
        <v>46</v>
      </c>
      <c r="B57" s="4" t="s">
        <v>49</v>
      </c>
      <c r="C57" s="4">
        <v>499</v>
      </c>
      <c r="D57" s="4">
        <v>232</v>
      </c>
      <c r="E57" s="4">
        <v>267</v>
      </c>
    </row>
    <row r="58" spans="1:5" x14ac:dyDescent="0.25">
      <c r="A58" s="18">
        <v>47</v>
      </c>
      <c r="B58" s="4" t="s">
        <v>1384</v>
      </c>
      <c r="C58" s="4">
        <v>343</v>
      </c>
      <c r="D58" s="4">
        <v>148</v>
      </c>
      <c r="E58" s="4">
        <v>195</v>
      </c>
    </row>
    <row r="59" spans="1:5" x14ac:dyDescent="0.25">
      <c r="A59" s="18">
        <v>48</v>
      </c>
      <c r="B59" s="4" t="s">
        <v>1385</v>
      </c>
      <c r="C59" s="4">
        <v>786</v>
      </c>
      <c r="D59" s="4">
        <v>346</v>
      </c>
      <c r="E59" s="4">
        <v>440</v>
      </c>
    </row>
    <row r="60" spans="1:5" x14ac:dyDescent="0.25">
      <c r="A60" s="18">
        <v>49</v>
      </c>
      <c r="B60" s="4" t="s">
        <v>993</v>
      </c>
      <c r="C60" s="4">
        <v>291</v>
      </c>
      <c r="D60" s="4">
        <v>138</v>
      </c>
      <c r="E60" s="4">
        <v>153</v>
      </c>
    </row>
    <row r="61" spans="1:5" x14ac:dyDescent="0.25">
      <c r="A61" s="18">
        <v>50</v>
      </c>
      <c r="B61" s="4" t="s">
        <v>1386</v>
      </c>
      <c r="C61" s="4">
        <v>551</v>
      </c>
      <c r="D61" s="4">
        <v>262</v>
      </c>
      <c r="E61" s="4">
        <v>289</v>
      </c>
    </row>
    <row r="62" spans="1:5" x14ac:dyDescent="0.25">
      <c r="A62" s="18">
        <v>51</v>
      </c>
      <c r="B62" s="4" t="s">
        <v>1387</v>
      </c>
      <c r="C62" s="4">
        <v>991</v>
      </c>
      <c r="D62" s="4">
        <v>468</v>
      </c>
      <c r="E62" s="4">
        <v>523</v>
      </c>
    </row>
    <row r="63" spans="1:5" x14ac:dyDescent="0.25">
      <c r="A63" s="18">
        <v>52</v>
      </c>
      <c r="B63" s="4" t="s">
        <v>1388</v>
      </c>
      <c r="C63" s="4">
        <v>257</v>
      </c>
      <c r="D63" s="4">
        <v>132</v>
      </c>
      <c r="E63" s="4">
        <v>125</v>
      </c>
    </row>
    <row r="64" spans="1:5" x14ac:dyDescent="0.25">
      <c r="A64" s="18">
        <v>53</v>
      </c>
      <c r="B64" s="4" t="s">
        <v>874</v>
      </c>
      <c r="C64" s="4">
        <v>1122</v>
      </c>
      <c r="D64" s="4">
        <v>562</v>
      </c>
      <c r="E64" s="4">
        <v>560</v>
      </c>
    </row>
    <row r="65" spans="1:5" x14ac:dyDescent="0.25">
      <c r="A65" s="18">
        <v>54</v>
      </c>
      <c r="B65" s="4" t="s">
        <v>1389</v>
      </c>
      <c r="C65" s="4">
        <v>548</v>
      </c>
      <c r="D65" s="4">
        <v>242</v>
      </c>
      <c r="E65" s="4">
        <v>306</v>
      </c>
    </row>
    <row r="66" spans="1:5" x14ac:dyDescent="0.25">
      <c r="A66" s="18">
        <v>55</v>
      </c>
      <c r="B66" s="4" t="s">
        <v>1390</v>
      </c>
      <c r="C66" s="4">
        <v>972</v>
      </c>
      <c r="D66" s="4">
        <v>433</v>
      </c>
      <c r="E66" s="4">
        <v>539</v>
      </c>
    </row>
    <row r="67" spans="1:5" x14ac:dyDescent="0.25">
      <c r="A67" s="18">
        <v>56</v>
      </c>
      <c r="B67" s="4" t="s">
        <v>1391</v>
      </c>
      <c r="C67" s="4">
        <v>789</v>
      </c>
      <c r="D67" s="4">
        <v>365</v>
      </c>
      <c r="E67" s="4">
        <v>424</v>
      </c>
    </row>
    <row r="68" spans="1:5" x14ac:dyDescent="0.25">
      <c r="A68" s="18">
        <v>57</v>
      </c>
      <c r="B68" s="4" t="s">
        <v>1325</v>
      </c>
      <c r="C68" s="4">
        <v>398</v>
      </c>
      <c r="D68" s="4">
        <v>167</v>
      </c>
      <c r="E68" s="4">
        <v>231</v>
      </c>
    </row>
    <row r="69" spans="1:5" x14ac:dyDescent="0.25">
      <c r="A69" s="18">
        <v>58</v>
      </c>
      <c r="B69" s="4" t="s">
        <v>1392</v>
      </c>
      <c r="C69" s="4">
        <v>166</v>
      </c>
      <c r="D69" s="4">
        <v>86</v>
      </c>
      <c r="E69" s="4">
        <v>80</v>
      </c>
    </row>
    <row r="70" spans="1:5" x14ac:dyDescent="0.25">
      <c r="A70" s="18">
        <v>59</v>
      </c>
      <c r="B70" s="4" t="s">
        <v>1393</v>
      </c>
      <c r="C70" s="4">
        <v>766</v>
      </c>
      <c r="D70" s="4">
        <v>375</v>
      </c>
      <c r="E70" s="4">
        <v>391</v>
      </c>
    </row>
    <row r="71" spans="1:5" x14ac:dyDescent="0.25">
      <c r="A71" s="18">
        <v>60</v>
      </c>
      <c r="B71" s="4" t="s">
        <v>1394</v>
      </c>
      <c r="C71" s="4">
        <v>360</v>
      </c>
      <c r="D71" s="4">
        <v>173</v>
      </c>
      <c r="E71" s="4">
        <v>187</v>
      </c>
    </row>
    <row r="72" spans="1:5" x14ac:dyDescent="0.25">
      <c r="A72" s="18">
        <v>61</v>
      </c>
      <c r="B72" s="4" t="s">
        <v>1395</v>
      </c>
      <c r="C72" s="4">
        <v>436</v>
      </c>
      <c r="D72" s="4">
        <v>197</v>
      </c>
      <c r="E72" s="4">
        <v>239</v>
      </c>
    </row>
    <row r="73" spans="1:5" x14ac:dyDescent="0.25">
      <c r="A73" s="18">
        <v>62</v>
      </c>
      <c r="B73" s="4" t="s">
        <v>1396</v>
      </c>
      <c r="C73" s="4">
        <v>810</v>
      </c>
      <c r="D73" s="4">
        <v>380</v>
      </c>
      <c r="E73" s="4">
        <v>430</v>
      </c>
    </row>
    <row r="74" spans="1:5" x14ac:dyDescent="0.25">
      <c r="A74" s="18">
        <v>63</v>
      </c>
      <c r="B74" s="4" t="s">
        <v>1397</v>
      </c>
      <c r="C74" s="4">
        <v>406</v>
      </c>
      <c r="D74" s="4">
        <v>194</v>
      </c>
      <c r="E74" s="4">
        <v>212</v>
      </c>
    </row>
    <row r="75" spans="1:5" x14ac:dyDescent="0.25">
      <c r="A75" s="18">
        <v>64</v>
      </c>
      <c r="B75" s="4" t="s">
        <v>1398</v>
      </c>
      <c r="C75" s="4">
        <v>469</v>
      </c>
      <c r="D75" s="4">
        <v>202</v>
      </c>
      <c r="E75" s="4">
        <v>267</v>
      </c>
    </row>
    <row r="76" spans="1:5" x14ac:dyDescent="0.25">
      <c r="A76" s="18">
        <v>65</v>
      </c>
      <c r="B76" s="4" t="s">
        <v>1399</v>
      </c>
      <c r="C76" s="4">
        <v>1348</v>
      </c>
      <c r="D76" s="4">
        <v>689</v>
      </c>
      <c r="E76" s="4">
        <v>659</v>
      </c>
    </row>
    <row r="77" spans="1:5" x14ac:dyDescent="0.25">
      <c r="A77" s="18">
        <v>66</v>
      </c>
      <c r="B77" s="4" t="s">
        <v>1400</v>
      </c>
      <c r="C77" s="4">
        <v>325</v>
      </c>
      <c r="D77" s="4">
        <v>153</v>
      </c>
      <c r="E77" s="4">
        <v>172</v>
      </c>
    </row>
    <row r="78" spans="1:5" x14ac:dyDescent="0.25">
      <c r="A78" s="18">
        <v>67</v>
      </c>
      <c r="B78" s="4" t="s">
        <v>1188</v>
      </c>
      <c r="C78" s="4">
        <v>943</v>
      </c>
      <c r="D78" s="4">
        <v>457</v>
      </c>
      <c r="E78" s="4">
        <v>486</v>
      </c>
    </row>
    <row r="79" spans="1:5" x14ac:dyDescent="0.25">
      <c r="A79" s="18">
        <v>68</v>
      </c>
      <c r="B79" s="4" t="s">
        <v>394</v>
      </c>
      <c r="C79" s="4">
        <v>435</v>
      </c>
      <c r="D79" s="4">
        <v>192</v>
      </c>
      <c r="E79" s="4">
        <v>243</v>
      </c>
    </row>
    <row r="80" spans="1:5" x14ac:dyDescent="0.25">
      <c r="A80" s="18">
        <v>69</v>
      </c>
      <c r="B80" s="4" t="s">
        <v>1401</v>
      </c>
      <c r="C80" s="4">
        <v>517</v>
      </c>
      <c r="D80" s="4">
        <v>244</v>
      </c>
      <c r="E80" s="4">
        <v>273</v>
      </c>
    </row>
    <row r="81" spans="1:5" x14ac:dyDescent="0.25">
      <c r="A81" s="18">
        <v>70</v>
      </c>
      <c r="B81" s="4" t="s">
        <v>1402</v>
      </c>
      <c r="C81" s="4">
        <v>541</v>
      </c>
      <c r="D81" s="4">
        <v>259</v>
      </c>
      <c r="E81" s="4">
        <v>282</v>
      </c>
    </row>
    <row r="82" spans="1:5" x14ac:dyDescent="0.25">
      <c r="A82" s="19">
        <v>71</v>
      </c>
      <c r="B82" s="6" t="s">
        <v>1403</v>
      </c>
      <c r="C82" s="6">
        <v>177</v>
      </c>
      <c r="D82" s="6">
        <v>80</v>
      </c>
      <c r="E82" s="6">
        <v>97</v>
      </c>
    </row>
  </sheetData>
  <mergeCells count="4">
    <mergeCell ref="A4:A5"/>
    <mergeCell ref="B4:B5"/>
    <mergeCell ref="C4:E4"/>
    <mergeCell ref="A1:E1"/>
  </mergeCells>
  <hyperlinks>
    <hyperlink ref="A1:E1" location="'Lest of twonship'!A1" display="        Magway Region, Gangaw District, Htilin Township"/>
  </hyperlinks>
  <pageMargins left="0.75" right="0.5" top="0.5" bottom="0.2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workbookViewId="0">
      <selection sqref="A1:E1"/>
    </sheetView>
  </sheetViews>
  <sheetFormatPr defaultRowHeight="15" x14ac:dyDescent="0.25"/>
  <cols>
    <col min="1" max="1" width="7.85546875" style="17" customWidth="1"/>
    <col min="2" max="2" width="27" bestFit="1" customWidth="1"/>
    <col min="3" max="5" width="15.7109375" customWidth="1"/>
  </cols>
  <sheetData>
    <row r="1" spans="1:5" s="38" customFormat="1" ht="18.75" x14ac:dyDescent="0.3">
      <c r="A1" s="37" t="s">
        <v>1492</v>
      </c>
      <c r="B1" s="37"/>
      <c r="C1" s="37"/>
      <c r="D1" s="37"/>
      <c r="E1" s="37"/>
    </row>
    <row r="2" spans="1:5" ht="15.75" x14ac:dyDescent="0.25">
      <c r="E2" s="8" t="s">
        <v>1463</v>
      </c>
    </row>
    <row r="4" spans="1:5" ht="15.75" x14ac:dyDescent="0.25">
      <c r="A4" s="32" t="s">
        <v>1461</v>
      </c>
      <c r="B4" s="32" t="s">
        <v>1465</v>
      </c>
      <c r="C4" s="30" t="s">
        <v>1462</v>
      </c>
      <c r="D4" s="30"/>
      <c r="E4" s="30"/>
    </row>
    <row r="5" spans="1:5" ht="15.75" x14ac:dyDescent="0.25">
      <c r="A5" s="32"/>
      <c r="B5" s="32"/>
      <c r="C5" s="12" t="s">
        <v>0</v>
      </c>
      <c r="D5" s="12" t="s">
        <v>1</v>
      </c>
      <c r="E5" s="12" t="s">
        <v>2</v>
      </c>
    </row>
    <row r="6" spans="1:5" ht="15.75" x14ac:dyDescent="0.25">
      <c r="A6" s="2"/>
      <c r="B6" s="3" t="s">
        <v>0</v>
      </c>
      <c r="C6" s="3">
        <v>35832</v>
      </c>
      <c r="D6" s="3">
        <v>17209</v>
      </c>
      <c r="E6" s="3">
        <v>18623</v>
      </c>
    </row>
    <row r="7" spans="1:5" ht="9.75" customHeight="1" x14ac:dyDescent="0.25">
      <c r="A7" s="4"/>
      <c r="B7" s="4"/>
      <c r="C7" s="4"/>
      <c r="D7" s="4"/>
      <c r="E7" s="4"/>
    </row>
    <row r="8" spans="1:5" ht="15.75" x14ac:dyDescent="0.25">
      <c r="A8" s="4"/>
      <c r="B8" s="20" t="s">
        <v>1460</v>
      </c>
      <c r="C8" s="5">
        <f>SUM(C9:C10)</f>
        <v>4862</v>
      </c>
      <c r="D8" s="5">
        <f t="shared" ref="D8:E8" si="0">SUM(D9:D10)</f>
        <v>2226</v>
      </c>
      <c r="E8" s="5">
        <f t="shared" si="0"/>
        <v>2636</v>
      </c>
    </row>
    <row r="9" spans="1:5" ht="15.75" x14ac:dyDescent="0.25">
      <c r="A9" s="18">
        <v>1</v>
      </c>
      <c r="B9" s="4" t="s">
        <v>1404</v>
      </c>
      <c r="C9" s="4">
        <v>2734</v>
      </c>
      <c r="D9" s="4">
        <v>1256</v>
      </c>
      <c r="E9" s="4">
        <v>1478</v>
      </c>
    </row>
    <row r="10" spans="1:5" ht="15.75" x14ac:dyDescent="0.25">
      <c r="A10" s="18">
        <v>2</v>
      </c>
      <c r="B10" s="4" t="s">
        <v>1405</v>
      </c>
      <c r="C10" s="4">
        <v>2128</v>
      </c>
      <c r="D10" s="4">
        <v>970</v>
      </c>
      <c r="E10" s="4">
        <v>1158</v>
      </c>
    </row>
    <row r="11" spans="1:5" ht="15.75" x14ac:dyDescent="0.25">
      <c r="A11" s="4"/>
      <c r="B11" s="20" t="s">
        <v>1464</v>
      </c>
      <c r="C11" s="5">
        <f>SUM(C12:C45)</f>
        <v>30970</v>
      </c>
      <c r="D11" s="5">
        <f t="shared" ref="D11:E11" si="1">SUM(D12:D45)</f>
        <v>14983</v>
      </c>
      <c r="E11" s="5">
        <f t="shared" si="1"/>
        <v>15987</v>
      </c>
    </row>
    <row r="12" spans="1:5" ht="15.75" x14ac:dyDescent="0.25">
      <c r="A12" s="18">
        <v>1</v>
      </c>
      <c r="B12" s="4" t="s">
        <v>1406</v>
      </c>
      <c r="C12" s="4">
        <v>956</v>
      </c>
      <c r="D12" s="4">
        <v>466</v>
      </c>
      <c r="E12" s="4">
        <v>490</v>
      </c>
    </row>
    <row r="13" spans="1:5" ht="15.75" x14ac:dyDescent="0.25">
      <c r="A13" s="18">
        <v>2</v>
      </c>
      <c r="B13" s="4" t="s">
        <v>429</v>
      </c>
      <c r="C13" s="4">
        <v>1905</v>
      </c>
      <c r="D13" s="4">
        <v>906</v>
      </c>
      <c r="E13" s="4">
        <v>999</v>
      </c>
    </row>
    <row r="14" spans="1:5" ht="15.75" x14ac:dyDescent="0.25">
      <c r="A14" s="18">
        <v>3</v>
      </c>
      <c r="B14" s="4" t="s">
        <v>1407</v>
      </c>
      <c r="C14" s="4">
        <v>377</v>
      </c>
      <c r="D14" s="4">
        <v>183</v>
      </c>
      <c r="E14" s="4">
        <v>194</v>
      </c>
    </row>
    <row r="15" spans="1:5" ht="15.75" x14ac:dyDescent="0.25">
      <c r="A15" s="18">
        <v>4</v>
      </c>
      <c r="B15" s="4" t="s">
        <v>1408</v>
      </c>
      <c r="C15" s="4">
        <v>1540</v>
      </c>
      <c r="D15" s="4">
        <v>727</v>
      </c>
      <c r="E15" s="4">
        <v>813</v>
      </c>
    </row>
    <row r="16" spans="1:5" ht="15.75" x14ac:dyDescent="0.25">
      <c r="A16" s="18">
        <v>5</v>
      </c>
      <c r="B16" s="4" t="s">
        <v>1007</v>
      </c>
      <c r="C16" s="4">
        <v>1270</v>
      </c>
      <c r="D16" s="4">
        <v>591</v>
      </c>
      <c r="E16" s="4">
        <v>679</v>
      </c>
    </row>
    <row r="17" spans="1:5" ht="15.75" x14ac:dyDescent="0.25">
      <c r="A17" s="18">
        <v>6</v>
      </c>
      <c r="B17" s="4" t="s">
        <v>1409</v>
      </c>
      <c r="C17" s="4">
        <v>731</v>
      </c>
      <c r="D17" s="4">
        <v>337</v>
      </c>
      <c r="E17" s="4">
        <v>394</v>
      </c>
    </row>
    <row r="18" spans="1:5" ht="15.75" x14ac:dyDescent="0.25">
      <c r="A18" s="18">
        <v>7</v>
      </c>
      <c r="B18" s="4" t="s">
        <v>1410</v>
      </c>
      <c r="C18" s="4">
        <v>1554</v>
      </c>
      <c r="D18" s="4">
        <v>723</v>
      </c>
      <c r="E18" s="4">
        <v>831</v>
      </c>
    </row>
    <row r="19" spans="1:5" ht="15.75" x14ac:dyDescent="0.25">
      <c r="A19" s="18">
        <v>8</v>
      </c>
      <c r="B19" s="4" t="s">
        <v>1411</v>
      </c>
      <c r="C19" s="4">
        <v>804</v>
      </c>
      <c r="D19" s="4">
        <v>399</v>
      </c>
      <c r="E19" s="4">
        <v>405</v>
      </c>
    </row>
    <row r="20" spans="1:5" ht="15.75" x14ac:dyDescent="0.25">
      <c r="A20" s="18">
        <v>9</v>
      </c>
      <c r="B20" s="4" t="s">
        <v>1412</v>
      </c>
      <c r="C20" s="4">
        <v>1225</v>
      </c>
      <c r="D20" s="4">
        <v>626</v>
      </c>
      <c r="E20" s="4">
        <v>599</v>
      </c>
    </row>
    <row r="21" spans="1:5" ht="15.75" x14ac:dyDescent="0.25">
      <c r="A21" s="18">
        <v>10</v>
      </c>
      <c r="B21" s="4" t="s">
        <v>1413</v>
      </c>
      <c r="C21" s="4">
        <v>1800</v>
      </c>
      <c r="D21" s="4">
        <v>864</v>
      </c>
      <c r="E21" s="4">
        <v>936</v>
      </c>
    </row>
    <row r="22" spans="1:5" ht="15.75" x14ac:dyDescent="0.25">
      <c r="A22" s="18">
        <v>11</v>
      </c>
      <c r="B22" s="4" t="s">
        <v>1414</v>
      </c>
      <c r="C22" s="4">
        <v>855</v>
      </c>
      <c r="D22" s="4">
        <v>426</v>
      </c>
      <c r="E22" s="4">
        <v>429</v>
      </c>
    </row>
    <row r="23" spans="1:5" ht="15.75" x14ac:dyDescent="0.25">
      <c r="A23" s="18">
        <v>12</v>
      </c>
      <c r="B23" s="4" t="s">
        <v>1415</v>
      </c>
      <c r="C23" s="4">
        <v>1418</v>
      </c>
      <c r="D23" s="4">
        <v>657</v>
      </c>
      <c r="E23" s="4">
        <v>761</v>
      </c>
    </row>
    <row r="24" spans="1:5" ht="15.75" x14ac:dyDescent="0.25">
      <c r="A24" s="18">
        <v>13</v>
      </c>
      <c r="B24" s="4" t="s">
        <v>1416</v>
      </c>
      <c r="C24" s="4">
        <v>740</v>
      </c>
      <c r="D24" s="4">
        <v>381</v>
      </c>
      <c r="E24" s="4">
        <v>359</v>
      </c>
    </row>
    <row r="25" spans="1:5" ht="15.75" x14ac:dyDescent="0.25">
      <c r="A25" s="18">
        <v>14</v>
      </c>
      <c r="B25" s="4" t="s">
        <v>1417</v>
      </c>
      <c r="C25" s="4">
        <v>890</v>
      </c>
      <c r="D25" s="4">
        <v>427</v>
      </c>
      <c r="E25" s="4">
        <v>463</v>
      </c>
    </row>
    <row r="26" spans="1:5" ht="15.75" x14ac:dyDescent="0.25">
      <c r="A26" s="18">
        <v>15</v>
      </c>
      <c r="B26" s="4" t="s">
        <v>1418</v>
      </c>
      <c r="C26" s="4">
        <v>797</v>
      </c>
      <c r="D26" s="4">
        <v>392</v>
      </c>
      <c r="E26" s="4">
        <v>405</v>
      </c>
    </row>
    <row r="27" spans="1:5" ht="15.75" x14ac:dyDescent="0.25">
      <c r="A27" s="18">
        <v>16</v>
      </c>
      <c r="B27" s="4" t="s">
        <v>1419</v>
      </c>
      <c r="C27" s="4">
        <v>3164</v>
      </c>
      <c r="D27" s="4">
        <v>1460</v>
      </c>
      <c r="E27" s="4">
        <v>1704</v>
      </c>
    </row>
    <row r="28" spans="1:5" ht="15.75" x14ac:dyDescent="0.25">
      <c r="A28" s="18">
        <v>17</v>
      </c>
      <c r="B28" s="4" t="s">
        <v>1420</v>
      </c>
      <c r="C28" s="4">
        <v>444</v>
      </c>
      <c r="D28" s="4">
        <v>206</v>
      </c>
      <c r="E28" s="4">
        <v>238</v>
      </c>
    </row>
    <row r="29" spans="1:5" ht="15.75" x14ac:dyDescent="0.25">
      <c r="A29" s="18">
        <v>18</v>
      </c>
      <c r="B29" s="4" t="s">
        <v>1421</v>
      </c>
      <c r="C29" s="4">
        <v>1257</v>
      </c>
      <c r="D29" s="4">
        <v>587</v>
      </c>
      <c r="E29" s="4">
        <v>670</v>
      </c>
    </row>
    <row r="30" spans="1:5" ht="15.75" x14ac:dyDescent="0.25">
      <c r="A30" s="18">
        <v>19</v>
      </c>
      <c r="B30" s="4" t="s">
        <v>1422</v>
      </c>
      <c r="C30" s="4">
        <v>264</v>
      </c>
      <c r="D30" s="4">
        <v>130</v>
      </c>
      <c r="E30" s="4">
        <v>134</v>
      </c>
    </row>
    <row r="31" spans="1:5" ht="15.75" x14ac:dyDescent="0.25">
      <c r="A31" s="18">
        <v>20</v>
      </c>
      <c r="B31" s="4" t="s">
        <v>1423</v>
      </c>
      <c r="C31" s="4">
        <v>476</v>
      </c>
      <c r="D31" s="4">
        <v>214</v>
      </c>
      <c r="E31" s="4">
        <v>262</v>
      </c>
    </row>
    <row r="32" spans="1:5" ht="15.75" x14ac:dyDescent="0.25">
      <c r="A32" s="18">
        <v>21</v>
      </c>
      <c r="B32" s="4" t="s">
        <v>1424</v>
      </c>
      <c r="C32" s="4">
        <v>464</v>
      </c>
      <c r="D32" s="4">
        <v>216</v>
      </c>
      <c r="E32" s="4">
        <v>248</v>
      </c>
    </row>
    <row r="33" spans="1:5" ht="15.75" x14ac:dyDescent="0.25">
      <c r="A33" s="18">
        <v>22</v>
      </c>
      <c r="B33" s="4" t="s">
        <v>1425</v>
      </c>
      <c r="C33" s="4">
        <v>417</v>
      </c>
      <c r="D33" s="4">
        <v>209</v>
      </c>
      <c r="E33" s="4">
        <v>208</v>
      </c>
    </row>
    <row r="34" spans="1:5" ht="15.75" x14ac:dyDescent="0.25">
      <c r="A34" s="18">
        <v>23</v>
      </c>
      <c r="B34" s="4" t="s">
        <v>1426</v>
      </c>
      <c r="C34" s="4">
        <v>620</v>
      </c>
      <c r="D34" s="4">
        <v>300</v>
      </c>
      <c r="E34" s="4">
        <v>320</v>
      </c>
    </row>
    <row r="35" spans="1:5" ht="15.75" x14ac:dyDescent="0.25">
      <c r="A35" s="18">
        <v>24</v>
      </c>
      <c r="B35" s="4" t="s">
        <v>1427</v>
      </c>
      <c r="C35" s="4">
        <v>704</v>
      </c>
      <c r="D35" s="4">
        <v>355</v>
      </c>
      <c r="E35" s="4">
        <v>349</v>
      </c>
    </row>
    <row r="36" spans="1:5" ht="15.75" x14ac:dyDescent="0.25">
      <c r="A36" s="18">
        <v>25</v>
      </c>
      <c r="B36" s="4" t="s">
        <v>1428</v>
      </c>
      <c r="C36" s="4">
        <v>869</v>
      </c>
      <c r="D36" s="4">
        <v>413</v>
      </c>
      <c r="E36" s="4">
        <v>456</v>
      </c>
    </row>
    <row r="37" spans="1:5" ht="15.75" x14ac:dyDescent="0.25">
      <c r="A37" s="18">
        <v>26</v>
      </c>
      <c r="B37" s="4" t="s">
        <v>1429</v>
      </c>
      <c r="C37" s="4">
        <v>148</v>
      </c>
      <c r="D37" s="4">
        <v>72</v>
      </c>
      <c r="E37" s="4">
        <v>76</v>
      </c>
    </row>
    <row r="38" spans="1:5" ht="15.75" x14ac:dyDescent="0.25">
      <c r="A38" s="18">
        <v>27</v>
      </c>
      <c r="B38" s="4" t="s">
        <v>1430</v>
      </c>
      <c r="C38" s="4">
        <v>687</v>
      </c>
      <c r="D38" s="4">
        <v>309</v>
      </c>
      <c r="E38" s="4">
        <v>378</v>
      </c>
    </row>
    <row r="39" spans="1:5" ht="15.75" x14ac:dyDescent="0.25">
      <c r="A39" s="18">
        <v>28</v>
      </c>
      <c r="B39" s="4" t="s">
        <v>1431</v>
      </c>
      <c r="C39" s="4">
        <v>1158</v>
      </c>
      <c r="D39" s="4">
        <v>695</v>
      </c>
      <c r="E39" s="4">
        <v>463</v>
      </c>
    </row>
    <row r="40" spans="1:5" ht="15.75" x14ac:dyDescent="0.25">
      <c r="A40" s="18">
        <v>29</v>
      </c>
      <c r="B40" s="4" t="s">
        <v>1432</v>
      </c>
      <c r="C40" s="4">
        <v>404</v>
      </c>
      <c r="D40" s="4">
        <v>195</v>
      </c>
      <c r="E40" s="4">
        <v>209</v>
      </c>
    </row>
    <row r="41" spans="1:5" ht="15.75" x14ac:dyDescent="0.25">
      <c r="A41" s="18">
        <v>30</v>
      </c>
      <c r="B41" s="4" t="s">
        <v>1433</v>
      </c>
      <c r="C41" s="4">
        <v>331</v>
      </c>
      <c r="D41" s="4">
        <v>161</v>
      </c>
      <c r="E41" s="4">
        <v>170</v>
      </c>
    </row>
    <row r="42" spans="1:5" ht="15.75" x14ac:dyDescent="0.25">
      <c r="A42" s="18">
        <v>31</v>
      </c>
      <c r="B42" s="4" t="s">
        <v>1434</v>
      </c>
      <c r="C42" s="4">
        <v>618</v>
      </c>
      <c r="D42" s="4">
        <v>301</v>
      </c>
      <c r="E42" s="4">
        <v>317</v>
      </c>
    </row>
    <row r="43" spans="1:5" ht="15.75" x14ac:dyDescent="0.25">
      <c r="A43" s="18">
        <v>32</v>
      </c>
      <c r="B43" s="4" t="s">
        <v>1435</v>
      </c>
      <c r="C43" s="4">
        <v>739</v>
      </c>
      <c r="D43" s="4">
        <v>386</v>
      </c>
      <c r="E43" s="4">
        <v>353</v>
      </c>
    </row>
    <row r="44" spans="1:5" ht="15.75" x14ac:dyDescent="0.25">
      <c r="A44" s="18">
        <v>33</v>
      </c>
      <c r="B44" s="4" t="s">
        <v>46</v>
      </c>
      <c r="C44" s="4">
        <v>623</v>
      </c>
      <c r="D44" s="4">
        <v>304</v>
      </c>
      <c r="E44" s="4">
        <v>319</v>
      </c>
    </row>
    <row r="45" spans="1:5" ht="15.75" x14ac:dyDescent="0.25">
      <c r="A45" s="19">
        <v>34</v>
      </c>
      <c r="B45" s="6" t="s">
        <v>1277</v>
      </c>
      <c r="C45" s="6">
        <v>721</v>
      </c>
      <c r="D45" s="6">
        <v>365</v>
      </c>
      <c r="E45" s="6">
        <v>356</v>
      </c>
    </row>
  </sheetData>
  <mergeCells count="4">
    <mergeCell ref="A4:A5"/>
    <mergeCell ref="B4:B5"/>
    <mergeCell ref="C4:E4"/>
    <mergeCell ref="A1:E1"/>
  </mergeCells>
  <hyperlinks>
    <hyperlink ref="A1:E1" location="'Lest of twonship'!A1" display="        Magway Region, Gangaw District, Saw Township"/>
  </hyperlinks>
  <pageMargins left="0.75" right="0.5" top="0.5" bottom="0.2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>
      <selection sqref="A1:E1"/>
    </sheetView>
  </sheetViews>
  <sheetFormatPr defaultRowHeight="15" x14ac:dyDescent="0.25"/>
  <cols>
    <col min="1" max="1" width="6.28515625" style="17" customWidth="1"/>
    <col min="2" max="2" width="30.42578125" bestFit="1" customWidth="1"/>
    <col min="3" max="5" width="15.7109375" customWidth="1"/>
  </cols>
  <sheetData>
    <row r="1" spans="1:5" s="38" customFormat="1" ht="18.75" x14ac:dyDescent="0.3">
      <c r="A1" s="37" t="s">
        <v>1493</v>
      </c>
      <c r="B1" s="37"/>
      <c r="C1" s="37"/>
      <c r="D1" s="37"/>
      <c r="E1" s="37"/>
    </row>
    <row r="2" spans="1:5" ht="15.75" x14ac:dyDescent="0.25">
      <c r="E2" s="8" t="s">
        <v>1463</v>
      </c>
    </row>
    <row r="4" spans="1:5" ht="15.75" x14ac:dyDescent="0.25">
      <c r="A4" s="32" t="s">
        <v>1461</v>
      </c>
      <c r="B4" s="32" t="s">
        <v>1465</v>
      </c>
      <c r="C4" s="30" t="s">
        <v>1462</v>
      </c>
      <c r="D4" s="30"/>
      <c r="E4" s="30"/>
    </row>
    <row r="5" spans="1:5" ht="15.75" x14ac:dyDescent="0.25">
      <c r="A5" s="32"/>
      <c r="B5" s="32"/>
      <c r="C5" s="12" t="s">
        <v>0</v>
      </c>
      <c r="D5" s="12" t="s">
        <v>1</v>
      </c>
      <c r="E5" s="12" t="s">
        <v>2</v>
      </c>
    </row>
    <row r="6" spans="1:5" ht="15.75" x14ac:dyDescent="0.25">
      <c r="A6" s="2"/>
      <c r="B6" s="3" t="s">
        <v>0</v>
      </c>
      <c r="C6" s="3">
        <v>32865</v>
      </c>
      <c r="D6" s="3">
        <v>15337</v>
      </c>
      <c r="E6" s="3">
        <v>17528</v>
      </c>
    </row>
    <row r="7" spans="1:5" ht="12" customHeight="1" x14ac:dyDescent="0.25">
      <c r="A7" s="4"/>
      <c r="B7" s="4"/>
      <c r="C7" s="4"/>
      <c r="D7" s="4"/>
      <c r="E7" s="4"/>
    </row>
    <row r="8" spans="1:5" ht="15.75" x14ac:dyDescent="0.25">
      <c r="A8" s="4"/>
      <c r="B8" s="20" t="s">
        <v>1460</v>
      </c>
      <c r="C8" s="5">
        <f>SUM(C9:C11)</f>
        <v>4611</v>
      </c>
      <c r="D8" s="5">
        <f t="shared" ref="D8:E8" si="0">SUM(D9:D11)</f>
        <v>2164</v>
      </c>
      <c r="E8" s="5">
        <f t="shared" si="0"/>
        <v>2447</v>
      </c>
    </row>
    <row r="9" spans="1:5" ht="15.75" x14ac:dyDescent="0.25">
      <c r="A9" s="18">
        <v>1</v>
      </c>
      <c r="B9" s="4" t="s">
        <v>314</v>
      </c>
      <c r="C9" s="4">
        <v>2381</v>
      </c>
      <c r="D9" s="4">
        <v>1090</v>
      </c>
      <c r="E9" s="4">
        <v>1291</v>
      </c>
    </row>
    <row r="10" spans="1:5" ht="15.75" x14ac:dyDescent="0.25">
      <c r="A10" s="18">
        <v>2</v>
      </c>
      <c r="B10" s="4" t="s">
        <v>1436</v>
      </c>
      <c r="C10" s="4">
        <v>1216</v>
      </c>
      <c r="D10" s="4">
        <v>592</v>
      </c>
      <c r="E10" s="4">
        <v>624</v>
      </c>
    </row>
    <row r="11" spans="1:5" ht="15.75" x14ac:dyDescent="0.25">
      <c r="A11" s="18">
        <v>3</v>
      </c>
      <c r="B11" s="4" t="s">
        <v>1437</v>
      </c>
      <c r="C11" s="4">
        <v>1014</v>
      </c>
      <c r="D11" s="4">
        <v>482</v>
      </c>
      <c r="E11" s="4">
        <v>532</v>
      </c>
    </row>
    <row r="12" spans="1:5" ht="15.75" x14ac:dyDescent="0.25">
      <c r="A12" s="4"/>
      <c r="B12" s="20" t="s">
        <v>1464</v>
      </c>
      <c r="C12" s="5">
        <f>SUM(C13:C41)</f>
        <v>28254</v>
      </c>
      <c r="D12" s="5">
        <f t="shared" ref="D12:E12" si="1">SUM(D13:D41)</f>
        <v>13173</v>
      </c>
      <c r="E12" s="5">
        <f t="shared" si="1"/>
        <v>15081</v>
      </c>
    </row>
    <row r="13" spans="1:5" ht="15.75" x14ac:dyDescent="0.25">
      <c r="A13" s="18">
        <v>1</v>
      </c>
      <c r="B13" s="4" t="s">
        <v>752</v>
      </c>
      <c r="C13" s="4">
        <v>918</v>
      </c>
      <c r="D13" s="4">
        <v>428</v>
      </c>
      <c r="E13" s="4">
        <v>490</v>
      </c>
    </row>
    <row r="14" spans="1:5" ht="15.75" x14ac:dyDescent="0.25">
      <c r="A14" s="18">
        <v>2</v>
      </c>
      <c r="B14" s="4" t="s">
        <v>1438</v>
      </c>
      <c r="C14" s="4">
        <v>1102</v>
      </c>
      <c r="D14" s="4">
        <v>477</v>
      </c>
      <c r="E14" s="4">
        <v>625</v>
      </c>
    </row>
    <row r="15" spans="1:5" ht="15.75" x14ac:dyDescent="0.25">
      <c r="A15" s="18">
        <v>3</v>
      </c>
      <c r="B15" s="4" t="s">
        <v>1439</v>
      </c>
      <c r="C15" s="4">
        <v>1004</v>
      </c>
      <c r="D15" s="4">
        <v>479</v>
      </c>
      <c r="E15" s="4">
        <v>525</v>
      </c>
    </row>
    <row r="16" spans="1:5" ht="15.75" x14ac:dyDescent="0.25">
      <c r="A16" s="18">
        <v>4</v>
      </c>
      <c r="B16" s="4" t="s">
        <v>1440</v>
      </c>
      <c r="C16" s="4">
        <v>930</v>
      </c>
      <c r="D16" s="4">
        <v>421</v>
      </c>
      <c r="E16" s="4">
        <v>509</v>
      </c>
    </row>
    <row r="17" spans="1:5" ht="15.75" x14ac:dyDescent="0.25">
      <c r="A17" s="18">
        <v>5</v>
      </c>
      <c r="B17" s="4" t="s">
        <v>74</v>
      </c>
      <c r="C17" s="4">
        <v>1106</v>
      </c>
      <c r="D17" s="4">
        <v>502</v>
      </c>
      <c r="E17" s="4">
        <v>604</v>
      </c>
    </row>
    <row r="18" spans="1:5" ht="15.75" x14ac:dyDescent="0.25">
      <c r="A18" s="18">
        <v>6</v>
      </c>
      <c r="B18" s="4" t="s">
        <v>1441</v>
      </c>
      <c r="C18" s="4">
        <v>809</v>
      </c>
      <c r="D18" s="4">
        <v>394</v>
      </c>
      <c r="E18" s="4">
        <v>415</v>
      </c>
    </row>
    <row r="19" spans="1:5" ht="15.75" x14ac:dyDescent="0.25">
      <c r="A19" s="18">
        <v>7</v>
      </c>
      <c r="B19" s="4" t="s">
        <v>1442</v>
      </c>
      <c r="C19" s="4">
        <v>1002</v>
      </c>
      <c r="D19" s="4">
        <v>479</v>
      </c>
      <c r="E19" s="4">
        <v>523</v>
      </c>
    </row>
    <row r="20" spans="1:5" ht="15.75" x14ac:dyDescent="0.25">
      <c r="A20" s="18">
        <v>8</v>
      </c>
      <c r="B20" s="4" t="s">
        <v>1021</v>
      </c>
      <c r="C20" s="4">
        <v>1975</v>
      </c>
      <c r="D20" s="4">
        <v>903</v>
      </c>
      <c r="E20" s="4">
        <v>1072</v>
      </c>
    </row>
    <row r="21" spans="1:5" ht="15.75" x14ac:dyDescent="0.25">
      <c r="A21" s="18">
        <v>9</v>
      </c>
      <c r="B21" s="4" t="s">
        <v>1443</v>
      </c>
      <c r="C21" s="4">
        <v>1636</v>
      </c>
      <c r="D21" s="4">
        <v>809</v>
      </c>
      <c r="E21" s="4">
        <v>827</v>
      </c>
    </row>
    <row r="22" spans="1:5" ht="15.75" x14ac:dyDescent="0.25">
      <c r="A22" s="18">
        <v>10</v>
      </c>
      <c r="B22" s="4" t="s">
        <v>1444</v>
      </c>
      <c r="C22" s="4">
        <v>551</v>
      </c>
      <c r="D22" s="4">
        <v>260</v>
      </c>
      <c r="E22" s="4">
        <v>291</v>
      </c>
    </row>
    <row r="23" spans="1:5" ht="15.75" x14ac:dyDescent="0.25">
      <c r="A23" s="18">
        <v>11</v>
      </c>
      <c r="B23" s="4" t="s">
        <v>1445</v>
      </c>
      <c r="C23" s="4">
        <v>1246</v>
      </c>
      <c r="D23" s="4">
        <v>595</v>
      </c>
      <c r="E23" s="4">
        <v>651</v>
      </c>
    </row>
    <row r="24" spans="1:5" ht="15.75" x14ac:dyDescent="0.25">
      <c r="A24" s="18">
        <v>12</v>
      </c>
      <c r="B24" s="4" t="s">
        <v>1446</v>
      </c>
      <c r="C24" s="4">
        <v>1008</v>
      </c>
      <c r="D24" s="4">
        <v>484</v>
      </c>
      <c r="E24" s="4">
        <v>524</v>
      </c>
    </row>
    <row r="25" spans="1:5" ht="15.75" x14ac:dyDescent="0.25">
      <c r="A25" s="18">
        <v>13</v>
      </c>
      <c r="B25" s="4" t="s">
        <v>1447</v>
      </c>
      <c r="C25" s="4">
        <v>1279</v>
      </c>
      <c r="D25" s="4">
        <v>601</v>
      </c>
      <c r="E25" s="4">
        <v>678</v>
      </c>
    </row>
    <row r="26" spans="1:5" ht="15.75" x14ac:dyDescent="0.25">
      <c r="A26" s="18">
        <v>14</v>
      </c>
      <c r="B26" s="4" t="s">
        <v>1448</v>
      </c>
      <c r="C26" s="4">
        <v>1175</v>
      </c>
      <c r="D26" s="4">
        <v>586</v>
      </c>
      <c r="E26" s="4">
        <v>589</v>
      </c>
    </row>
    <row r="27" spans="1:5" ht="15.75" x14ac:dyDescent="0.25">
      <c r="A27" s="18">
        <v>15</v>
      </c>
      <c r="B27" s="4" t="s">
        <v>1449</v>
      </c>
      <c r="C27" s="4">
        <v>1946</v>
      </c>
      <c r="D27" s="4">
        <v>886</v>
      </c>
      <c r="E27" s="4">
        <v>1060</v>
      </c>
    </row>
    <row r="28" spans="1:5" ht="15.75" x14ac:dyDescent="0.25">
      <c r="A28" s="18">
        <v>16</v>
      </c>
      <c r="B28" s="4" t="s">
        <v>993</v>
      </c>
      <c r="C28" s="4">
        <v>987</v>
      </c>
      <c r="D28" s="4">
        <v>462</v>
      </c>
      <c r="E28" s="4">
        <v>525</v>
      </c>
    </row>
    <row r="29" spans="1:5" ht="15.75" x14ac:dyDescent="0.25">
      <c r="A29" s="18">
        <v>17</v>
      </c>
      <c r="B29" s="4" t="s">
        <v>1450</v>
      </c>
      <c r="C29" s="4">
        <v>520</v>
      </c>
      <c r="D29" s="4">
        <v>263</v>
      </c>
      <c r="E29" s="4">
        <v>257</v>
      </c>
    </row>
    <row r="30" spans="1:5" ht="15.75" x14ac:dyDescent="0.25">
      <c r="A30" s="18">
        <v>18</v>
      </c>
      <c r="B30" s="4" t="s">
        <v>1451</v>
      </c>
      <c r="C30" s="4">
        <v>950</v>
      </c>
      <c r="D30" s="4">
        <v>458</v>
      </c>
      <c r="E30" s="4">
        <v>492</v>
      </c>
    </row>
    <row r="31" spans="1:5" ht="15.75" x14ac:dyDescent="0.25">
      <c r="A31" s="18">
        <v>19</v>
      </c>
      <c r="B31" s="4" t="s">
        <v>1452</v>
      </c>
      <c r="C31" s="4">
        <v>375</v>
      </c>
      <c r="D31" s="4">
        <v>187</v>
      </c>
      <c r="E31" s="4">
        <v>188</v>
      </c>
    </row>
    <row r="32" spans="1:5" ht="15.75" x14ac:dyDescent="0.25">
      <c r="A32" s="18">
        <v>20</v>
      </c>
      <c r="B32" s="4" t="s">
        <v>1453</v>
      </c>
      <c r="C32" s="4">
        <v>1424</v>
      </c>
      <c r="D32" s="4">
        <v>634</v>
      </c>
      <c r="E32" s="4">
        <v>790</v>
      </c>
    </row>
    <row r="33" spans="1:5" ht="15.75" x14ac:dyDescent="0.25">
      <c r="A33" s="18">
        <v>21</v>
      </c>
      <c r="B33" s="4" t="s">
        <v>1454</v>
      </c>
      <c r="C33" s="4">
        <v>608</v>
      </c>
      <c r="D33" s="4">
        <v>276</v>
      </c>
      <c r="E33" s="4">
        <v>332</v>
      </c>
    </row>
    <row r="34" spans="1:5" ht="15.75" x14ac:dyDescent="0.25">
      <c r="A34" s="18">
        <v>22</v>
      </c>
      <c r="B34" s="4" t="s">
        <v>1455</v>
      </c>
      <c r="C34" s="4">
        <v>362</v>
      </c>
      <c r="D34" s="4">
        <v>173</v>
      </c>
      <c r="E34" s="4">
        <v>189</v>
      </c>
    </row>
    <row r="35" spans="1:5" ht="15.75" x14ac:dyDescent="0.25">
      <c r="A35" s="18">
        <v>23</v>
      </c>
      <c r="B35" s="4" t="s">
        <v>1456</v>
      </c>
      <c r="C35" s="4">
        <v>751</v>
      </c>
      <c r="D35" s="4">
        <v>345</v>
      </c>
      <c r="E35" s="4">
        <v>406</v>
      </c>
    </row>
    <row r="36" spans="1:5" ht="15.75" x14ac:dyDescent="0.25">
      <c r="A36" s="18">
        <v>24</v>
      </c>
      <c r="B36" s="4" t="s">
        <v>824</v>
      </c>
      <c r="C36" s="4">
        <v>976</v>
      </c>
      <c r="D36" s="4">
        <v>419</v>
      </c>
      <c r="E36" s="4">
        <v>557</v>
      </c>
    </row>
    <row r="37" spans="1:5" ht="15.75" x14ac:dyDescent="0.25">
      <c r="A37" s="18">
        <v>25</v>
      </c>
      <c r="B37" s="4" t="s">
        <v>1457</v>
      </c>
      <c r="C37" s="4">
        <v>652</v>
      </c>
      <c r="D37" s="4">
        <v>302</v>
      </c>
      <c r="E37" s="4">
        <v>350</v>
      </c>
    </row>
    <row r="38" spans="1:5" ht="15.75" x14ac:dyDescent="0.25">
      <c r="A38" s="18">
        <v>26</v>
      </c>
      <c r="B38" s="4" t="s">
        <v>119</v>
      </c>
      <c r="C38" s="4">
        <v>530</v>
      </c>
      <c r="D38" s="4">
        <v>255</v>
      </c>
      <c r="E38" s="4">
        <v>275</v>
      </c>
    </row>
    <row r="39" spans="1:5" ht="15.75" x14ac:dyDescent="0.25">
      <c r="A39" s="18">
        <v>27</v>
      </c>
      <c r="B39" s="4" t="s">
        <v>1458</v>
      </c>
      <c r="C39" s="4">
        <v>1087</v>
      </c>
      <c r="D39" s="4">
        <v>504</v>
      </c>
      <c r="E39" s="4">
        <v>583</v>
      </c>
    </row>
    <row r="40" spans="1:5" ht="15.75" x14ac:dyDescent="0.25">
      <c r="A40" s="18">
        <v>28</v>
      </c>
      <c r="B40" s="4" t="s">
        <v>1459</v>
      </c>
      <c r="C40" s="4">
        <v>842</v>
      </c>
      <c r="D40" s="4">
        <v>357</v>
      </c>
      <c r="E40" s="4">
        <v>485</v>
      </c>
    </row>
    <row r="41" spans="1:5" ht="15.75" x14ac:dyDescent="0.25">
      <c r="A41" s="19">
        <v>29</v>
      </c>
      <c r="B41" s="6" t="s">
        <v>1325</v>
      </c>
      <c r="C41" s="6">
        <v>503</v>
      </c>
      <c r="D41" s="6">
        <v>234</v>
      </c>
      <c r="E41" s="6">
        <v>269</v>
      </c>
    </row>
  </sheetData>
  <mergeCells count="4">
    <mergeCell ref="A4:A5"/>
    <mergeCell ref="B4:B5"/>
    <mergeCell ref="C4:E4"/>
    <mergeCell ref="A1:E1"/>
  </mergeCells>
  <hyperlinks>
    <hyperlink ref="A1:E1" location="'Lest of twonship'!A1" display="        Magway Region, Gangaw District, Kyaukhtu(Sub-Township)"/>
  </hyperlinks>
  <pageMargins left="0.75" right="0.5" top="0.5" bottom="0.2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26</vt:i4>
      </vt:variant>
    </vt:vector>
  </HeadingPairs>
  <TitlesOfParts>
    <vt:vector size="54" baseType="lpstr">
      <vt:lpstr>Lest of twonship</vt:lpstr>
      <vt:lpstr> Magway</vt:lpstr>
      <vt:lpstr>Yenangyoung</vt:lpstr>
      <vt:lpstr>Chauk</vt:lpstr>
      <vt:lpstr> Taungdwingyi</vt:lpstr>
      <vt:lpstr> Myothit</vt:lpstr>
      <vt:lpstr>Natmauk</vt:lpstr>
      <vt:lpstr>Minbu</vt:lpstr>
      <vt:lpstr> Pwint Phyu</vt:lpstr>
      <vt:lpstr> Ngape</vt:lpstr>
      <vt:lpstr>Salin</vt:lpstr>
      <vt:lpstr>Saytottara</vt:lpstr>
      <vt:lpstr>Thayet</vt:lpstr>
      <vt:lpstr>Minhla</vt:lpstr>
      <vt:lpstr>Mindon</vt:lpstr>
      <vt:lpstr>Kamma</vt:lpstr>
      <vt:lpstr>Aunglan</vt:lpstr>
      <vt:lpstr>Sinpaungwe`</vt:lpstr>
      <vt:lpstr>Pakokku</vt:lpstr>
      <vt:lpstr>Yesagyo</vt:lpstr>
      <vt:lpstr>Myaing</vt:lpstr>
      <vt:lpstr>Pauk</vt:lpstr>
      <vt:lpstr>Seikphyu</vt:lpstr>
      <vt:lpstr>Gangaw</vt:lpstr>
      <vt:lpstr>Htilin</vt:lpstr>
      <vt:lpstr>Saw</vt:lpstr>
      <vt:lpstr>Kyaukhtu(Sub-Tsp)</vt:lpstr>
      <vt:lpstr>Sheet2</vt:lpstr>
      <vt:lpstr>' Magway'!Print_Titles</vt:lpstr>
      <vt:lpstr>' Myothit'!Print_Titles</vt:lpstr>
      <vt:lpstr>' Ngape'!Print_Titles</vt:lpstr>
      <vt:lpstr>' Pwint Phyu'!Print_Titles</vt:lpstr>
      <vt:lpstr>' Taungdwingyi'!Print_Titles</vt:lpstr>
      <vt:lpstr>Aunglan!Print_Titles</vt:lpstr>
      <vt:lpstr>Chauk!Print_Titles</vt:lpstr>
      <vt:lpstr>Gangaw!Print_Titles</vt:lpstr>
      <vt:lpstr>Htilin!Print_Titles</vt:lpstr>
      <vt:lpstr>Kamma!Print_Titles</vt:lpstr>
      <vt:lpstr>'Kyaukhtu(Sub-Tsp)'!Print_Titles</vt:lpstr>
      <vt:lpstr>Minbu!Print_Titles</vt:lpstr>
      <vt:lpstr>Mindon!Print_Titles</vt:lpstr>
      <vt:lpstr>Minhla!Print_Titles</vt:lpstr>
      <vt:lpstr>Myaing!Print_Titles</vt:lpstr>
      <vt:lpstr>Natmauk!Print_Titles</vt:lpstr>
      <vt:lpstr>Pakokku!Print_Titles</vt:lpstr>
      <vt:lpstr>Pauk!Print_Titles</vt:lpstr>
      <vt:lpstr>Salin!Print_Titles</vt:lpstr>
      <vt:lpstr>Saw!Print_Titles</vt:lpstr>
      <vt:lpstr>Saytottara!Print_Titles</vt:lpstr>
      <vt:lpstr>Seikphyu!Print_Titles</vt:lpstr>
      <vt:lpstr>'Sinpaungwe`'!Print_Titles</vt:lpstr>
      <vt:lpstr>Thayet!Print_Titles</vt:lpstr>
      <vt:lpstr>Yenangyoung!Print_Titles</vt:lpstr>
      <vt:lpstr>Yesagyo!Print_Titles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Sandar Myint</dc:creator>
  <cp:lastModifiedBy>Naing Phyo Kyaw</cp:lastModifiedBy>
  <cp:lastPrinted>2015-08-24T14:41:52Z</cp:lastPrinted>
  <dcterms:created xsi:type="dcterms:W3CDTF">2015-06-01T07:34:07Z</dcterms:created>
  <dcterms:modified xsi:type="dcterms:W3CDTF">2015-09-02T07:09:02Z</dcterms:modified>
</cp:coreProperties>
</file>