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10" windowWidth="21075" windowHeight="9450"/>
  </bookViews>
  <sheets>
    <sheet name="List of Township" sheetId="12" r:id="rId1"/>
    <sheet name="Tatkon" sheetId="4" r:id="rId2"/>
    <sheet name="Zeyarthiri" sheetId="2" r:id="rId3"/>
    <sheet name="Ottarathiri" sheetId="3" r:id="rId4"/>
    <sheet name="Pobbathiri" sheetId="5" r:id="rId5"/>
    <sheet name="Pyinmana" sheetId="6" r:id="rId6"/>
    <sheet name="Lewe" sheetId="7" r:id="rId7"/>
    <sheet name="Zebuthiri" sheetId="8" r:id="rId8"/>
    <sheet name="Dekkhinathiri" sheetId="9" r:id="rId9"/>
    <sheet name="Sheet2" sheetId="10" r:id="rId10"/>
    <sheet name="Sheet3" sheetId="11" r:id="rId11"/>
  </sheets>
  <definedNames>
    <definedName name="_xlnm.Print_Titles" localSheetId="6">Lewe!$1:$5</definedName>
    <definedName name="_xlnm.Print_Titles" localSheetId="4">Pobbathiri!$1:$5</definedName>
    <definedName name="_xlnm.Print_Titles" localSheetId="5">Pyinmana!$1:$5</definedName>
    <definedName name="_xlnm.Print_Titles" localSheetId="1">Tatkon!$1:$5</definedName>
  </definedNames>
  <calcPr calcId="145621"/>
</workbook>
</file>

<file path=xl/calcChain.xml><?xml version="1.0" encoding="utf-8"?>
<calcChain xmlns="http://schemas.openxmlformats.org/spreadsheetml/2006/main">
  <c r="B9" i="12" l="1"/>
  <c r="B8" i="12"/>
  <c r="B7" i="12"/>
  <c r="B6" i="12"/>
  <c r="B5" i="12"/>
  <c r="B4" i="12"/>
  <c r="B3" i="12"/>
  <c r="B2" i="12"/>
  <c r="D28" i="5" l="1"/>
  <c r="E28" i="5"/>
  <c r="C28" i="5"/>
  <c r="D8" i="5"/>
  <c r="E8" i="5"/>
  <c r="C8" i="5"/>
  <c r="D11" i="3"/>
  <c r="E11" i="3"/>
  <c r="C11" i="3"/>
  <c r="D8" i="3"/>
  <c r="E8" i="3"/>
  <c r="C8" i="3"/>
  <c r="D13" i="2"/>
  <c r="E13" i="2"/>
  <c r="C13" i="2"/>
  <c r="D8" i="2"/>
  <c r="E8" i="2"/>
  <c r="C8" i="2"/>
  <c r="D15" i="4"/>
  <c r="E15" i="4"/>
  <c r="C15" i="4"/>
  <c r="D8" i="4"/>
  <c r="E8" i="4"/>
  <c r="C8" i="4"/>
  <c r="D15" i="6"/>
  <c r="E15" i="6"/>
  <c r="C15" i="6"/>
  <c r="D8" i="6"/>
  <c r="E8" i="6"/>
  <c r="C8" i="6"/>
  <c r="C8" i="7" l="1"/>
  <c r="D8" i="7"/>
  <c r="E8" i="7"/>
  <c r="D15" i="7"/>
  <c r="E15" i="7"/>
  <c r="C15" i="7"/>
  <c r="D11" i="9"/>
  <c r="E11" i="9"/>
  <c r="C11" i="9"/>
  <c r="D8" i="9"/>
  <c r="E8" i="9"/>
  <c r="C8" i="9"/>
  <c r="E6" i="7" l="1"/>
  <c r="C6" i="7"/>
  <c r="D6" i="7"/>
  <c r="D8" i="8"/>
  <c r="E8" i="8"/>
  <c r="C8" i="8"/>
  <c r="D22" i="8"/>
  <c r="E22" i="8"/>
  <c r="C22" i="8"/>
</calcChain>
</file>

<file path=xl/sharedStrings.xml><?xml version="1.0" encoding="utf-8"?>
<sst xmlns="http://schemas.openxmlformats.org/spreadsheetml/2006/main" count="335" uniqueCount="254">
  <si>
    <t>Total</t>
  </si>
  <si>
    <t>Male</t>
  </si>
  <si>
    <t>Female</t>
  </si>
  <si>
    <t xml:space="preserve">            Ba Yint Naung(W)</t>
  </si>
  <si>
    <t xml:space="preserve">            Aung Zay Ya(W)</t>
  </si>
  <si>
    <t xml:space="preserve">            Mya Wa Di(W)</t>
  </si>
  <si>
    <t xml:space="preserve">            Bo Min Yaung(W)</t>
  </si>
  <si>
    <t xml:space="preserve">            Sa Yar San(W)</t>
  </si>
  <si>
    <t xml:space="preserve">            Ah Naw Ra Htar(W)</t>
  </si>
  <si>
    <t xml:space="preserve">            Forest EA</t>
  </si>
  <si>
    <t xml:space="preserve">            Kin Thar(VT)</t>
  </si>
  <si>
    <t xml:space="preserve">            Kha Yan Sat Kone(VT)</t>
  </si>
  <si>
    <t xml:space="preserve">            Htone Bo(VT)</t>
  </si>
  <si>
    <t xml:space="preserve">            Byaing Inn(VT)</t>
  </si>
  <si>
    <t xml:space="preserve">            Shauk Kone(VT)</t>
  </si>
  <si>
    <t xml:space="preserve">            Kyar Thay Aing(VT)</t>
  </si>
  <si>
    <t xml:space="preserve">            Kan Gyi(VT)</t>
  </si>
  <si>
    <t xml:space="preserve">            Kyauk Sa Yit Kone(VT)</t>
  </si>
  <si>
    <t xml:space="preserve">            Te Myint(VT)</t>
  </si>
  <si>
    <t xml:space="preserve">            Nyaung Kaing(VT)</t>
  </si>
  <si>
    <t xml:space="preserve">            Ma Gyi Kone(VT)</t>
  </si>
  <si>
    <t xml:space="preserve">            Aung Myay Yeik Thar(VT)</t>
  </si>
  <si>
    <t xml:space="preserve">            Kyet Thun Khin(VT)</t>
  </si>
  <si>
    <t xml:space="preserve">            Nyaung Lunt(VT)</t>
  </si>
  <si>
    <t xml:space="preserve">            Tha Pyay Kone(VT)</t>
  </si>
  <si>
    <t xml:space="preserve">            Ma Gyi Pin(VT)</t>
  </si>
  <si>
    <t xml:space="preserve">            Oke Shit Kone(VT)</t>
  </si>
  <si>
    <t xml:space="preserve">            Kyay Chaung(VT)</t>
  </si>
  <si>
    <t xml:space="preserve">            Thit Sein Pin(VT)</t>
  </si>
  <si>
    <t xml:space="preserve">            Ohn Pin(VT)</t>
  </si>
  <si>
    <t xml:space="preserve">            Kan Hla(VT)</t>
  </si>
  <si>
    <t xml:space="preserve">            Nyaung Tone Aing(VT)</t>
  </si>
  <si>
    <t xml:space="preserve">            Shwe Myo(VT)</t>
  </si>
  <si>
    <t xml:space="preserve">            Tha Pyay Chaung(VT)</t>
  </si>
  <si>
    <t xml:space="preserve">            Kin Mun Tan(VT)</t>
  </si>
  <si>
    <t xml:space="preserve">            Nwe Yit(VT)</t>
  </si>
  <si>
    <t xml:space="preserve">            Yway Su(VT)</t>
  </si>
  <si>
    <t xml:space="preserve">            Htan Taw Gyi(VT)</t>
  </si>
  <si>
    <t xml:space="preserve">            Kyoe Kyar Inn(VT)</t>
  </si>
  <si>
    <t xml:space="preserve">            Gwayt Gyi(VT)</t>
  </si>
  <si>
    <t xml:space="preserve">            Yae Aye(VT)</t>
  </si>
  <si>
    <t xml:space="preserve">            Ah Lel Kyun(VT)</t>
  </si>
  <si>
    <t xml:space="preserve">            Myauk Myaik(VT)</t>
  </si>
  <si>
    <t xml:space="preserve">            Let Pan(VT)</t>
  </si>
  <si>
    <t xml:space="preserve">            Shar Taw(VT)</t>
  </si>
  <si>
    <t xml:space="preserve">            In Pin(VT)</t>
  </si>
  <si>
    <t xml:space="preserve">            Kyee Inn(VT)</t>
  </si>
  <si>
    <t xml:space="preserve">            Thar Yar Aye(VT)</t>
  </si>
  <si>
    <t xml:space="preserve">            Than Pu Yar Kone(VT)</t>
  </si>
  <si>
    <t xml:space="preserve">            Myet Ye(VT)</t>
  </si>
  <si>
    <t xml:space="preserve">            Hlwa Bon(VT)</t>
  </si>
  <si>
    <t xml:space="preserve">            Lel Za Pin(VT)</t>
  </si>
  <si>
    <t xml:space="preserve">            Aingt Kyei(VT)</t>
  </si>
  <si>
    <t xml:space="preserve">            Tha Hpan Chaung(VT)</t>
  </si>
  <si>
    <t xml:space="preserve">            Kyaung Kone(VT)</t>
  </si>
  <si>
    <t xml:space="preserve">            Lel Pyin Ma(VT)</t>
  </si>
  <si>
    <t xml:space="preserve">            Aye Chan Thar San Pya(VT)</t>
  </si>
  <si>
    <t xml:space="preserve">            Shwe Maung Gut(VT)</t>
  </si>
  <si>
    <t xml:space="preserve">            Aung Tha Pyay(VT)</t>
  </si>
  <si>
    <t xml:space="preserve">            Kyan Sit Thar(W)</t>
  </si>
  <si>
    <t xml:space="preserve">            Pyi San Aung(W)</t>
  </si>
  <si>
    <t xml:space="preserve">            Kyauk Chet East(VT)</t>
  </si>
  <si>
    <t xml:space="preserve">            Kyun Yaung(VT)</t>
  </si>
  <si>
    <t xml:space="preserve">            Thar Si(VT)</t>
  </si>
  <si>
    <t xml:space="preserve">            Ma Au Taw(VT)</t>
  </si>
  <si>
    <t xml:space="preserve">            Yae Sin(VT)</t>
  </si>
  <si>
    <t xml:space="preserve">            Thit Tat(VT)</t>
  </si>
  <si>
    <t xml:space="preserve">            Thet Hnin Inn(VT)</t>
  </si>
  <si>
    <t xml:space="preserve">            Kyi Taung(VT)</t>
  </si>
  <si>
    <t xml:space="preserve">            Khit Aye(VT)</t>
  </si>
  <si>
    <t xml:space="preserve">            Nan Aw(VT)</t>
  </si>
  <si>
    <t xml:space="preserve">            Kyauk Hpyar(VT)</t>
  </si>
  <si>
    <t xml:space="preserve">            Si Pin Gyi(VT)</t>
  </si>
  <si>
    <t xml:space="preserve">            Thar Yar Kone(VT)</t>
  </si>
  <si>
    <t xml:space="preserve">            Oke Ta Ra Thi Ri(W)</t>
  </si>
  <si>
    <t xml:space="preserve">            Shwe Nant Thar(W)</t>
  </si>
  <si>
    <t xml:space="preserve">            Za Laung(VT)</t>
  </si>
  <si>
    <t xml:space="preserve">            Taung Nyo(VT)</t>
  </si>
  <si>
    <t xml:space="preserve">            Moe Swe(VT)</t>
  </si>
  <si>
    <t xml:space="preserve">            Maung Yan(VT)</t>
  </si>
  <si>
    <t xml:space="preserve">            Min Kone(VT)</t>
  </si>
  <si>
    <t xml:space="preserve">            Tat Shaine(VT)</t>
  </si>
  <si>
    <t xml:space="preserve">            Tha Yet Taw(VT)</t>
  </si>
  <si>
    <t xml:space="preserve">            Hpa Yar Taung(VT)</t>
  </si>
  <si>
    <t xml:space="preserve">            Aung Thar Yar(W)</t>
  </si>
  <si>
    <t xml:space="preserve">            Min Ga Lar Di Pa(W)</t>
  </si>
  <si>
    <t xml:space="preserve">            Wunna Di Pa (W)</t>
  </si>
  <si>
    <t xml:space="preserve">            Thu Kha Di Pa (W)</t>
  </si>
  <si>
    <t xml:space="preserve">            Za Wa Na Di Pa(W)</t>
  </si>
  <si>
    <t xml:space="preserve">            Ya Da Nar Di Pa(W)</t>
  </si>
  <si>
    <t xml:space="preserve">            Zay Yar Di Pa(W)</t>
  </si>
  <si>
    <t xml:space="preserve">            Shin Phyu Shin(W)</t>
  </si>
  <si>
    <t xml:space="preserve">            Na Wa Day(W)</t>
  </si>
  <si>
    <t xml:space="preserve">            Ta Pin Shwe Htee(W)</t>
  </si>
  <si>
    <t xml:space="preserve">            Kyi Taung Kan/No.(1)(Myo Thit)(W)</t>
  </si>
  <si>
    <t xml:space="preserve">            Kyi Taung Kan/No.(2)(Myoma)(W)</t>
  </si>
  <si>
    <t xml:space="preserve">            Kyi Taung Kan/No.(3)(Myohaung)(W)</t>
  </si>
  <si>
    <t xml:space="preserve">            Kyi Taung Kan/No.(4)(Kan Nar)(W)</t>
  </si>
  <si>
    <t xml:space="preserve">            Kyi Taung Kan/No.(5)(Sone Kone)(W)</t>
  </si>
  <si>
    <t xml:space="preserve">            Kyi Taung Kan/No.(6)(Thae Kone)(W)</t>
  </si>
  <si>
    <t xml:space="preserve">            Hotel Zone</t>
  </si>
  <si>
    <t xml:space="preserve">            Aye Myint Thar Yar(VT)</t>
  </si>
  <si>
    <t xml:space="preserve">            Kyi Taung Kan(VT)</t>
  </si>
  <si>
    <t xml:space="preserve">            Ywar Taw(VT)</t>
  </si>
  <si>
    <t xml:space="preserve">            Thit Yar Kone(VT)</t>
  </si>
  <si>
    <t xml:space="preserve">            Tha Pay Kone(VT)</t>
  </si>
  <si>
    <t xml:space="preserve">            Tha Pyay Tan(VT)</t>
  </si>
  <si>
    <t xml:space="preserve">            Nyaung Pin Gyi Su(VT)</t>
  </si>
  <si>
    <t xml:space="preserve">            Pu Zun Seik(VT)</t>
  </si>
  <si>
    <t xml:space="preserve">            Hpyoke Khwe(VT)</t>
  </si>
  <si>
    <t xml:space="preserve">            Wea Gyi(VT)</t>
  </si>
  <si>
    <t xml:space="preserve">            Nyaung Lu(VT)</t>
  </si>
  <si>
    <t xml:space="preserve">            Lel Yar(VT)</t>
  </si>
  <si>
    <t xml:space="preserve">            U Yin(VT)</t>
  </si>
  <si>
    <t xml:space="preserve">            Zee Kone(VT)</t>
  </si>
  <si>
    <t xml:space="preserve">            Be Kone(VT)</t>
  </si>
  <si>
    <t xml:space="preserve">            Aung Thu Kha(VT)</t>
  </si>
  <si>
    <t xml:space="preserve">            Ywar Thit(VT)</t>
  </si>
  <si>
    <t xml:space="preserve">            Tha Pyay San(VT)</t>
  </si>
  <si>
    <t xml:space="preserve">            Ywar Kauk(W)</t>
  </si>
  <si>
    <t xml:space="preserve">            Yan Aung(1)(W)</t>
  </si>
  <si>
    <t xml:space="preserve">            Yan Aung(2)(W)</t>
  </si>
  <si>
    <t xml:space="preserve">            Shwe Chi(W)</t>
  </si>
  <si>
    <t xml:space="preserve">            Min Ga Lar(W)</t>
  </si>
  <si>
    <t xml:space="preserve">            Baw Ga Wa Ti(W)</t>
  </si>
  <si>
    <t xml:space="preserve">            Kin Pun Tan(VT)</t>
  </si>
  <si>
    <t xml:space="preserve">            Kan U(VT)</t>
  </si>
  <si>
    <t xml:space="preserve">            Ku Toet Seik(VT)</t>
  </si>
  <si>
    <t xml:space="preserve">            Nga Kaung Kan(VT)</t>
  </si>
  <si>
    <t xml:space="preserve">            Kyun Oo(VT)</t>
  </si>
  <si>
    <t xml:space="preserve">            Sin Thay(VT)</t>
  </si>
  <si>
    <t xml:space="preserve">            Zee Hpyu Pin(VT)</t>
  </si>
  <si>
    <t xml:space="preserve">            Nyaung Pin Thar(VT)</t>
  </si>
  <si>
    <t xml:space="preserve">            Taung Thar(VT)</t>
  </si>
  <si>
    <t xml:space="preserve">            Hnan Taw(VT)</t>
  </si>
  <si>
    <t xml:space="preserve">            Nat Thu Ye(VT)</t>
  </si>
  <si>
    <t xml:space="preserve">            Pyu Twin(VT)</t>
  </si>
  <si>
    <t xml:space="preserve">            Pyin Ma Nar Haung(VT)</t>
  </si>
  <si>
    <t xml:space="preserve">            Yauk Thwar Inn(VT)</t>
  </si>
  <si>
    <t xml:space="preserve">            Ywar Thar(VT)</t>
  </si>
  <si>
    <t xml:space="preserve">            Le Lu Aing(VT)</t>
  </si>
  <si>
    <t xml:space="preserve">            Thit Lay Lone(VT)</t>
  </si>
  <si>
    <t xml:space="preserve">            Tha Nat Pin Seik(VT)</t>
  </si>
  <si>
    <t xml:space="preserve">            Mei Za Li Kone(VT)</t>
  </si>
  <si>
    <t xml:space="preserve">            U Yin Su(VT)</t>
  </si>
  <si>
    <t xml:space="preserve">            Koe Tit(VT)</t>
  </si>
  <si>
    <t xml:space="preserve">            Bant Bar(VT)</t>
  </si>
  <si>
    <t xml:space="preserve">            Thit Tun(VT)</t>
  </si>
  <si>
    <t xml:space="preserve">            Pyay Taung Koe(VT)</t>
  </si>
  <si>
    <t xml:space="preserve">            Boet Ma(VT)</t>
  </si>
  <si>
    <t xml:space="preserve">            Me Pauk(VT)</t>
  </si>
  <si>
    <t xml:space="preserve">            Ah Lel Chaung(VT)</t>
  </si>
  <si>
    <t xml:space="preserve">            Tha Kyar Set(VT)</t>
  </si>
  <si>
    <t xml:space="preserve">            No(1)(W)</t>
  </si>
  <si>
    <t xml:space="preserve">            No(2)(W)</t>
  </si>
  <si>
    <t xml:space="preserve">            No(3)(W)</t>
  </si>
  <si>
    <t xml:space="preserve">            No(4)(W)</t>
  </si>
  <si>
    <t xml:space="preserve">            No(5)(W)</t>
  </si>
  <si>
    <t xml:space="preserve">            No(6)(W)</t>
  </si>
  <si>
    <t xml:space="preserve">            Kyoet Pin(VT)</t>
  </si>
  <si>
    <t xml:space="preserve">            Ku Tha Peik(VT)</t>
  </si>
  <si>
    <t xml:space="preserve">            Kan Thar(VT)</t>
  </si>
  <si>
    <t xml:space="preserve">            Kya Thaung Taung(VT)</t>
  </si>
  <si>
    <t xml:space="preserve">            Kyaung Yae(VT)</t>
  </si>
  <si>
    <t xml:space="preserve">            Kyoet Kone(VT)</t>
  </si>
  <si>
    <t xml:space="preserve">            Kyauk Ta Lone Kyaung Su(VT)</t>
  </si>
  <si>
    <t xml:space="preserve">            Kone Thar(VT)</t>
  </si>
  <si>
    <t xml:space="preserve">            Pyan Chi(VT)</t>
  </si>
  <si>
    <t xml:space="preserve">            Yae Kar(VT)</t>
  </si>
  <si>
    <t xml:space="preserve">            Chaung Kyoe(VT)</t>
  </si>
  <si>
    <t xml:space="preserve">            Chaung Gwa(VT)</t>
  </si>
  <si>
    <t xml:space="preserve">            Kha Yan Kaing(VT)</t>
  </si>
  <si>
    <t xml:space="preserve">            Saing Gaung Yoe(VT)</t>
  </si>
  <si>
    <t xml:space="preserve">            Si Paing(VT)</t>
  </si>
  <si>
    <t xml:space="preserve">            Swei Taw Hmyaung(VT)</t>
  </si>
  <si>
    <t xml:space="preserve">            Nyo Pin(VT)</t>
  </si>
  <si>
    <t xml:space="preserve">            Ti Taung(VT)</t>
  </si>
  <si>
    <t xml:space="preserve">            Ta Loke Pin(VT)</t>
  </si>
  <si>
    <t xml:space="preserve">            Da Lant Chun(VT)</t>
  </si>
  <si>
    <t xml:space="preserve">            Naung Bo(VT)</t>
  </si>
  <si>
    <t xml:space="preserve">            Pyi Win(VT)</t>
  </si>
  <si>
    <t xml:space="preserve">            Pi Tauk Chaung(VT)</t>
  </si>
  <si>
    <t xml:space="preserve">            Pyaung Gaung Gyi(VT)</t>
  </si>
  <si>
    <t xml:space="preserve">            Pin Thaung(VT)</t>
  </si>
  <si>
    <t xml:space="preserve">            Mway Yoe Kyaung Su(VT)</t>
  </si>
  <si>
    <t xml:space="preserve">            Mee Laung Kone(VT)</t>
  </si>
  <si>
    <t xml:space="preserve">            Ma Tawt Pin(VT)</t>
  </si>
  <si>
    <t xml:space="preserve">            Yae Oe Sin(VT)</t>
  </si>
  <si>
    <t xml:space="preserve">            Yone Pin(VT)</t>
  </si>
  <si>
    <t xml:space="preserve">            Shar Chaung(VT)</t>
  </si>
  <si>
    <t xml:space="preserve">            Lel Tar Gyi(VT)</t>
  </si>
  <si>
    <t xml:space="preserve">            Wet Ka Mu(VT)</t>
  </si>
  <si>
    <t xml:space="preserve">            Wet Te Ku(VT)</t>
  </si>
  <si>
    <t xml:space="preserve">            Tha Pyay Pin(VT)</t>
  </si>
  <si>
    <t xml:space="preserve">            Pay Tone Hmyaung(VT)</t>
  </si>
  <si>
    <t xml:space="preserve">            Shan Su Gyi(VT)</t>
  </si>
  <si>
    <t xml:space="preserve">            Thit Poke Pin(VT)</t>
  </si>
  <si>
    <t xml:space="preserve">            Min Pyin(VT)</t>
  </si>
  <si>
    <t xml:space="preserve">            Ya Bein(VT)</t>
  </si>
  <si>
    <t xml:space="preserve">            Aung Thar(VT)</t>
  </si>
  <si>
    <t xml:space="preserve">            Tha Yet Chaung(VT)</t>
  </si>
  <si>
    <t xml:space="preserve">            Thaw Hmaw Kone(VT)</t>
  </si>
  <si>
    <t xml:space="preserve">            Thit Kyein(VT)</t>
  </si>
  <si>
    <t xml:space="preserve">            Thea Kaw Gyi(VT)</t>
  </si>
  <si>
    <t xml:space="preserve">            Thit Seint Pin(VT)</t>
  </si>
  <si>
    <t xml:space="preserve">            Thet Kei Chin(VT)</t>
  </si>
  <si>
    <t xml:space="preserve">            Thar Wut Hti(VT)</t>
  </si>
  <si>
    <t xml:space="preserve">            Pauk Myaing(VT)</t>
  </si>
  <si>
    <t xml:space="preserve">            Tha Yet Kone(VT)</t>
  </si>
  <si>
    <t xml:space="preserve">            Aung Kone(VT)</t>
  </si>
  <si>
    <t xml:space="preserve">            Aye Lar(VT)</t>
  </si>
  <si>
    <t xml:space="preserve">            Aye Chan Thar(VT)</t>
  </si>
  <si>
    <t xml:space="preserve">            Zali Hnget Gyi Taung(VT)</t>
  </si>
  <si>
    <t xml:space="preserve">            Oke Shit Hlaing(VT)</t>
  </si>
  <si>
    <t xml:space="preserve">            Zay Ya Theik Di(W)</t>
  </si>
  <si>
    <t xml:space="preserve">            Pyin Nyar Theik Di(W)</t>
  </si>
  <si>
    <t xml:space="preserve">            Min Ga Lar Theik Di(W)</t>
  </si>
  <si>
    <t xml:space="preserve">            Baw Ga Theik Di(W)</t>
  </si>
  <si>
    <t xml:space="preserve">            Tha Pyay Kone(W)</t>
  </si>
  <si>
    <t xml:space="preserve">            Wun Na Theik Di(W)</t>
  </si>
  <si>
    <t xml:space="preserve">            Thu Kha Theik Di(W)</t>
  </si>
  <si>
    <t xml:space="preserve">            Nyar Na Theik Di(W)</t>
  </si>
  <si>
    <t xml:space="preserve">            Ba La Theik Di(W)</t>
  </si>
  <si>
    <t xml:space="preserve">            Dha Na Theik Di(W)</t>
  </si>
  <si>
    <t xml:space="preserve">            Shwe Kyar Pin(W)</t>
  </si>
  <si>
    <t xml:space="preserve">            Aung Zabu(W)</t>
  </si>
  <si>
    <t xml:space="preserve">            MYANMAR DIPLOMATIC MISSIONS</t>
  </si>
  <si>
    <t xml:space="preserve">            Te Gyi Kone(VT)</t>
  </si>
  <si>
    <t xml:space="preserve">            Ah Lyin Lo(VT)</t>
  </si>
  <si>
    <t xml:space="preserve">            Det Khi Na Thi Ri(W)</t>
  </si>
  <si>
    <t xml:space="preserve">            Shwe In Kyinn(W)</t>
  </si>
  <si>
    <t xml:space="preserve">            Kyar Pin(VT)</t>
  </si>
  <si>
    <t xml:space="preserve">            Kyun Ta Peit(VT)</t>
  </si>
  <si>
    <t xml:space="preserve">            Yan Aung Myin(VT)</t>
  </si>
  <si>
    <t xml:space="preserve">            Doe Nwe(VT)</t>
  </si>
  <si>
    <t xml:space="preserve">            Ku Hnit Lone Se Su(VT)</t>
  </si>
  <si>
    <t xml:space="preserve">            Shwe Khe Inn(VT)</t>
  </si>
  <si>
    <t xml:space="preserve">            Chine(VT)</t>
  </si>
  <si>
    <t xml:space="preserve">            Ywar Ma(VT)</t>
  </si>
  <si>
    <t>Sr</t>
  </si>
  <si>
    <t>Population</t>
  </si>
  <si>
    <t>Ward</t>
  </si>
  <si>
    <t>29-3-2014</t>
  </si>
  <si>
    <t>Nay Pyi Taw (Council),Ottara  District, Tatkon Township</t>
  </si>
  <si>
    <t>Nay Pyi Taw (Council),Ottara  District, Zeyarthiri Township</t>
  </si>
  <si>
    <t>Nay Pyi Taw (Council),Ottara  District, Ottarathiri Township</t>
  </si>
  <si>
    <t>Nay Pyi Taw (Council),Ottara  District, Pobbathiri Township</t>
  </si>
  <si>
    <t>Nay Pyi Taw (Council), Dekkhina  District, Pyinmana Township</t>
  </si>
  <si>
    <t>Nay Pyi Taw (Council), Dekkhina District, Lewe Township</t>
  </si>
  <si>
    <t>Nay Pyi Taw (Council), Dekkhina District,  Zabuthiri Township</t>
  </si>
  <si>
    <t>Nay Pyi Taw (Council), Dekkhina District, Dekkhinathiri Township</t>
  </si>
  <si>
    <t>Village Tract</t>
  </si>
  <si>
    <t>Ward/Village Tract</t>
  </si>
  <si>
    <t>List of Township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</si>
</sst>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6"/>
      <color theme="1"/>
      <name val="Myanmar2ex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2"/>
      <color theme="1"/>
      <name val="Myanmar2ex"/>
      <family val="2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2" fillId="0" borderId="4" xfId="0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2" xfId="0" applyFont="1" applyBorder="1" applyAlignment="1">
      <alignment horizontal="center"/>
    </xf>
    <xf numFmtId="0" fontId="0" fillId="0" borderId="5" xfId="0" applyBorder="1"/>
    <xf numFmtId="0" fontId="2" fillId="0" borderId="3" xfId="0" applyFont="1" applyBorder="1"/>
    <xf numFmtId="0" fontId="0" fillId="0" borderId="5" xfId="0" applyFont="1" applyBorder="1"/>
    <xf numFmtId="0" fontId="5" fillId="0" borderId="4" xfId="0" applyFont="1" applyBorder="1"/>
    <xf numFmtId="0" fontId="0" fillId="0" borderId="4" xfId="0" applyFont="1" applyBorder="1"/>
    <xf numFmtId="0" fontId="4" fillId="0" borderId="0" xfId="0" applyFont="1"/>
    <xf numFmtId="0" fontId="3" fillId="0" borderId="3" xfId="0" applyFont="1" applyBorder="1"/>
    <xf numFmtId="0" fontId="5" fillId="0" borderId="0" xfId="0" applyFont="1" applyBorder="1"/>
    <xf numFmtId="0" fontId="5" fillId="0" borderId="0" xfId="0" applyFont="1"/>
    <xf numFmtId="0" fontId="5" fillId="0" borderId="3" xfId="0" applyFont="1" applyBorder="1"/>
    <xf numFmtId="0" fontId="4" fillId="0" borderId="0" xfId="0" applyFont="1" applyAlignment="1"/>
    <xf numFmtId="0" fontId="0" fillId="0" borderId="0" xfId="0" applyFont="1"/>
    <xf numFmtId="0" fontId="6" fillId="0" borderId="0" xfId="0" applyFont="1" applyFill="1"/>
    <xf numFmtId="0" fontId="7" fillId="0" borderId="3" xfId="0" applyFont="1" applyBorder="1"/>
    <xf numFmtId="0" fontId="7" fillId="0" borderId="4" xfId="0" applyFont="1" applyBorder="1"/>
    <xf numFmtId="0" fontId="4" fillId="0" borderId="0" xfId="0" applyFont="1" applyBorder="1" applyAlignment="1"/>
    <xf numFmtId="0" fontId="2" fillId="0" borderId="0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9" fillId="0" borderId="0" xfId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0" fillId="0" borderId="0" xfId="1" applyFont="1" applyAlignment="1">
      <alignment horizontal="center" vertical="center"/>
    </xf>
    <xf numFmtId="0" fontId="10" fillId="0" borderId="0" xfId="1" applyFont="1" applyBorder="1" applyAlignment="1">
      <alignment horizontal="center" vertical="center"/>
    </xf>
    <xf numFmtId="0" fontId="8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12" sqref="B12"/>
    </sheetView>
  </sheetViews>
  <sheetFormatPr defaultRowHeight="15" x14ac:dyDescent="0.25"/>
  <cols>
    <col min="2" max="2" width="59.7109375" bestFit="1" customWidth="1"/>
  </cols>
  <sheetData>
    <row r="1" spans="1:2" ht="18.75" x14ac:dyDescent="0.3">
      <c r="A1" s="32" t="s">
        <v>253</v>
      </c>
      <c r="B1" s="32"/>
    </row>
    <row r="2" spans="1:2" x14ac:dyDescent="0.25">
      <c r="A2">
        <v>1</v>
      </c>
      <c r="B2" s="24" t="str">
        <f>Tatkon!A1</f>
        <v>Nay Pyi Taw (Council),Ottara  District, Tatkon Township</v>
      </c>
    </row>
    <row r="3" spans="1:2" x14ac:dyDescent="0.25">
      <c r="A3">
        <v>2</v>
      </c>
      <c r="B3" s="24" t="str">
        <f>Zeyarthiri!A1</f>
        <v>Nay Pyi Taw (Council),Ottara  District, Zeyarthiri Township</v>
      </c>
    </row>
    <row r="4" spans="1:2" x14ac:dyDescent="0.25">
      <c r="A4">
        <v>3</v>
      </c>
      <c r="B4" s="24" t="str">
        <f>Ottarathiri!A1</f>
        <v>Nay Pyi Taw (Council),Ottara  District, Ottarathiri Township</v>
      </c>
    </row>
    <row r="5" spans="1:2" x14ac:dyDescent="0.25">
      <c r="A5">
        <v>4</v>
      </c>
      <c r="B5" s="24" t="str">
        <f>Pobbathiri!A1</f>
        <v>Nay Pyi Taw (Council),Ottara  District, Pobbathiri Township</v>
      </c>
    </row>
    <row r="6" spans="1:2" x14ac:dyDescent="0.25">
      <c r="A6">
        <v>5</v>
      </c>
      <c r="B6" s="24" t="str">
        <f>Pyinmana!A1</f>
        <v>Nay Pyi Taw (Council), Dekkhina  District, Pyinmana Township</v>
      </c>
    </row>
    <row r="7" spans="1:2" x14ac:dyDescent="0.25">
      <c r="A7">
        <v>6</v>
      </c>
      <c r="B7" s="24" t="str">
        <f>Lewe!A1</f>
        <v>Nay Pyi Taw (Council), Dekkhina District, Lewe Township</v>
      </c>
    </row>
    <row r="8" spans="1:2" x14ac:dyDescent="0.25">
      <c r="A8">
        <v>7</v>
      </c>
      <c r="B8" s="24" t="str">
        <f>Zebuthiri!A1</f>
        <v>Nay Pyi Taw (Council), Dekkhina District,  Zabuthiri Township</v>
      </c>
    </row>
    <row r="9" spans="1:2" x14ac:dyDescent="0.25">
      <c r="A9">
        <v>8</v>
      </c>
      <c r="B9" s="24" t="str">
        <f>Dekkhinathiri!A1</f>
        <v>Nay Pyi Taw (Council), Dekkhina District, Dekkhinathiri Township</v>
      </c>
    </row>
  </sheetData>
  <mergeCells count="1">
    <mergeCell ref="A1:B1"/>
  </mergeCells>
  <hyperlinks>
    <hyperlink ref="B2" location="Tatkon!A1" display="Tatkon!A1"/>
    <hyperlink ref="B3" location="Zeyarthiri!A1" display="Zeyarthiri!A1"/>
    <hyperlink ref="B4" location="Ottarathiri!A1" display="Ottarathiri!A1"/>
    <hyperlink ref="B5" location="Pobbathiri!A1" display="Pobbathiri!A1"/>
    <hyperlink ref="B6" location="Pyinmana!A1" display="Pyinmana!A1"/>
    <hyperlink ref="B7" location="Lewe!A1" display="Lewe!A1"/>
    <hyperlink ref="B8" location="Zebuthiri!A1" display="Zebuthiri!A1"/>
    <hyperlink ref="B9" location="Dekkhinathiri!A1" display="Dekkhinathiri!A1"/>
  </hyperlink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zoomScale="90" zoomScaleNormal="90" workbookViewId="0">
      <selection sqref="A1:E1"/>
    </sheetView>
  </sheetViews>
  <sheetFormatPr defaultRowHeight="21" x14ac:dyDescent="0.35"/>
  <cols>
    <col min="1" max="1" width="8.42578125" style="14" customWidth="1"/>
    <col min="2" max="2" width="31.28515625" style="14" customWidth="1"/>
    <col min="3" max="5" width="15.7109375" style="14" customWidth="1"/>
    <col min="6" max="6" width="9.140625" style="14"/>
    <col min="7" max="7" width="36.5703125" style="14" customWidth="1"/>
    <col min="8" max="16384" width="9.140625" style="14"/>
  </cols>
  <sheetData>
    <row r="1" spans="1:8" ht="21" customHeight="1" x14ac:dyDescent="0.35">
      <c r="A1" s="30" t="s">
        <v>243</v>
      </c>
      <c r="B1" s="30"/>
      <c r="C1" s="30"/>
      <c r="D1" s="30"/>
      <c r="E1" s="30"/>
    </row>
    <row r="2" spans="1:8" x14ac:dyDescent="0.35">
      <c r="E2" s="22" t="s">
        <v>242</v>
      </c>
    </row>
    <row r="4" spans="1:8" ht="21.95" customHeight="1" x14ac:dyDescent="0.35">
      <c r="A4" s="25" t="s">
        <v>239</v>
      </c>
      <c r="B4" s="25" t="s">
        <v>252</v>
      </c>
      <c r="C4" s="27" t="s">
        <v>240</v>
      </c>
      <c r="D4" s="28"/>
      <c r="E4" s="29"/>
      <c r="H4" s="17"/>
    </row>
    <row r="5" spans="1:8" ht="21.95" customHeight="1" x14ac:dyDescent="0.35">
      <c r="A5" s="26"/>
      <c r="B5" s="26"/>
      <c r="C5" s="5" t="s">
        <v>0</v>
      </c>
      <c r="D5" s="5" t="s">
        <v>1</v>
      </c>
      <c r="E5" s="5" t="s">
        <v>2</v>
      </c>
    </row>
    <row r="6" spans="1:8" ht="28.5" customHeight="1" x14ac:dyDescent="0.35">
      <c r="A6" s="12"/>
      <c r="B6" s="7" t="s">
        <v>0</v>
      </c>
      <c r="C6" s="7">
        <v>217093</v>
      </c>
      <c r="D6" s="7">
        <v>103715</v>
      </c>
      <c r="E6" s="7">
        <v>113378</v>
      </c>
    </row>
    <row r="7" spans="1:8" ht="9.75" customHeight="1" x14ac:dyDescent="0.35">
      <c r="A7" s="3"/>
      <c r="B7" s="3"/>
      <c r="C7" s="3"/>
      <c r="D7" s="3"/>
      <c r="E7" s="3"/>
    </row>
    <row r="8" spans="1:8" ht="24.95" customHeight="1" x14ac:dyDescent="0.35">
      <c r="A8" s="3"/>
      <c r="B8" s="2" t="s">
        <v>241</v>
      </c>
      <c r="C8" s="2">
        <f>SUM(C9:C14)</f>
        <v>41683</v>
      </c>
      <c r="D8" s="2">
        <f t="shared" ref="D8:E8" si="0">SUM(D9:D14)</f>
        <v>19609</v>
      </c>
      <c r="E8" s="2">
        <f t="shared" si="0"/>
        <v>22074</v>
      </c>
    </row>
    <row r="9" spans="1:8" ht="24.95" customHeight="1" x14ac:dyDescent="0.35">
      <c r="A9" s="3">
        <v>1</v>
      </c>
      <c r="B9" s="3" t="s">
        <v>3</v>
      </c>
      <c r="C9" s="3">
        <v>7613</v>
      </c>
      <c r="D9" s="3">
        <v>3543</v>
      </c>
      <c r="E9" s="3">
        <v>4070</v>
      </c>
    </row>
    <row r="10" spans="1:8" ht="24.95" customHeight="1" x14ac:dyDescent="0.35">
      <c r="A10" s="3">
        <v>2</v>
      </c>
      <c r="B10" s="3" t="s">
        <v>4</v>
      </c>
      <c r="C10" s="3">
        <v>3697</v>
      </c>
      <c r="D10" s="3">
        <v>1717</v>
      </c>
      <c r="E10" s="3">
        <v>1980</v>
      </c>
    </row>
    <row r="11" spans="1:8" ht="24.95" customHeight="1" x14ac:dyDescent="0.35">
      <c r="A11" s="3">
        <v>3</v>
      </c>
      <c r="B11" s="3" t="s">
        <v>5</v>
      </c>
      <c r="C11" s="3">
        <v>7984</v>
      </c>
      <c r="D11" s="3">
        <v>3613</v>
      </c>
      <c r="E11" s="3">
        <v>4371</v>
      </c>
    </row>
    <row r="12" spans="1:8" ht="24.95" customHeight="1" x14ac:dyDescent="0.35">
      <c r="A12" s="3">
        <v>4</v>
      </c>
      <c r="B12" s="3" t="s">
        <v>6</v>
      </c>
      <c r="C12" s="3">
        <v>5909</v>
      </c>
      <c r="D12" s="3">
        <v>2820</v>
      </c>
      <c r="E12" s="3">
        <v>3089</v>
      </c>
    </row>
    <row r="13" spans="1:8" ht="24.95" customHeight="1" x14ac:dyDescent="0.35">
      <c r="A13" s="3">
        <v>5</v>
      </c>
      <c r="B13" s="3" t="s">
        <v>7</v>
      </c>
      <c r="C13" s="3">
        <v>8145</v>
      </c>
      <c r="D13" s="3">
        <v>3868</v>
      </c>
      <c r="E13" s="3">
        <v>4277</v>
      </c>
    </row>
    <row r="14" spans="1:8" ht="24.95" customHeight="1" x14ac:dyDescent="0.35">
      <c r="A14" s="3">
        <v>6</v>
      </c>
      <c r="B14" s="3" t="s">
        <v>8</v>
      </c>
      <c r="C14" s="3">
        <v>8335</v>
      </c>
      <c r="D14" s="3">
        <v>4048</v>
      </c>
      <c r="E14" s="3">
        <v>4287</v>
      </c>
    </row>
    <row r="15" spans="1:8" ht="24.95" customHeight="1" x14ac:dyDescent="0.35">
      <c r="A15" s="3"/>
      <c r="B15" s="2" t="s">
        <v>251</v>
      </c>
      <c r="C15" s="2">
        <f>SUM(C16:C65)</f>
        <v>175410</v>
      </c>
      <c r="D15" s="2">
        <f t="shared" ref="D15:E15" si="1">SUM(D16:D65)</f>
        <v>84106</v>
      </c>
      <c r="E15" s="2">
        <f t="shared" si="1"/>
        <v>91304</v>
      </c>
    </row>
    <row r="16" spans="1:8" ht="24.95" customHeight="1" x14ac:dyDescent="0.35">
      <c r="A16" s="3">
        <v>1</v>
      </c>
      <c r="B16" s="3" t="s">
        <v>10</v>
      </c>
      <c r="C16" s="3">
        <v>5245</v>
      </c>
      <c r="D16" s="3">
        <v>3168</v>
      </c>
      <c r="E16" s="3">
        <v>2077</v>
      </c>
    </row>
    <row r="17" spans="1:5" ht="24.95" customHeight="1" x14ac:dyDescent="0.35">
      <c r="A17" s="3">
        <v>2</v>
      </c>
      <c r="B17" s="3" t="s">
        <v>11</v>
      </c>
      <c r="C17" s="3">
        <v>6310</v>
      </c>
      <c r="D17" s="3">
        <v>2991</v>
      </c>
      <c r="E17" s="3">
        <v>3319</v>
      </c>
    </row>
    <row r="18" spans="1:5" ht="24.95" customHeight="1" x14ac:dyDescent="0.35">
      <c r="A18" s="3">
        <v>3</v>
      </c>
      <c r="B18" s="3" t="s">
        <v>12</v>
      </c>
      <c r="C18" s="3">
        <v>3149</v>
      </c>
      <c r="D18" s="3">
        <v>1485</v>
      </c>
      <c r="E18" s="3">
        <v>1664</v>
      </c>
    </row>
    <row r="19" spans="1:5" ht="24.95" customHeight="1" x14ac:dyDescent="0.35">
      <c r="A19" s="3">
        <v>4</v>
      </c>
      <c r="B19" s="3" t="s">
        <v>13</v>
      </c>
      <c r="C19" s="3">
        <v>3307</v>
      </c>
      <c r="D19" s="3">
        <v>1644</v>
      </c>
      <c r="E19" s="3">
        <v>1663</v>
      </c>
    </row>
    <row r="20" spans="1:5" ht="24.95" customHeight="1" x14ac:dyDescent="0.35">
      <c r="A20" s="3">
        <v>5</v>
      </c>
      <c r="B20" s="3" t="s">
        <v>14</v>
      </c>
      <c r="C20" s="3">
        <v>4564</v>
      </c>
      <c r="D20" s="3">
        <v>2151</v>
      </c>
      <c r="E20" s="3">
        <v>2413</v>
      </c>
    </row>
    <row r="21" spans="1:5" ht="24.95" customHeight="1" x14ac:dyDescent="0.35">
      <c r="A21" s="3">
        <v>6</v>
      </c>
      <c r="B21" s="3" t="s">
        <v>15</v>
      </c>
      <c r="C21" s="3">
        <v>3805</v>
      </c>
      <c r="D21" s="3">
        <v>1768</v>
      </c>
      <c r="E21" s="3">
        <v>2037</v>
      </c>
    </row>
    <row r="22" spans="1:5" ht="24.95" customHeight="1" x14ac:dyDescent="0.35">
      <c r="A22" s="3">
        <v>7</v>
      </c>
      <c r="B22" s="3" t="s">
        <v>16</v>
      </c>
      <c r="C22" s="3">
        <v>5641</v>
      </c>
      <c r="D22" s="3">
        <v>2953</v>
      </c>
      <c r="E22" s="3">
        <v>2688</v>
      </c>
    </row>
    <row r="23" spans="1:5" ht="24.95" customHeight="1" x14ac:dyDescent="0.35">
      <c r="A23" s="3">
        <v>8</v>
      </c>
      <c r="B23" s="3" t="s">
        <v>17</v>
      </c>
      <c r="C23" s="3">
        <v>1815</v>
      </c>
      <c r="D23" s="3">
        <v>864</v>
      </c>
      <c r="E23" s="3">
        <v>951</v>
      </c>
    </row>
    <row r="24" spans="1:5" ht="24.95" customHeight="1" x14ac:dyDescent="0.35">
      <c r="A24" s="3">
        <v>9</v>
      </c>
      <c r="B24" s="3" t="s">
        <v>18</v>
      </c>
      <c r="C24" s="3">
        <v>4391</v>
      </c>
      <c r="D24" s="3">
        <v>2043</v>
      </c>
      <c r="E24" s="3">
        <v>2348</v>
      </c>
    </row>
    <row r="25" spans="1:5" ht="24.95" customHeight="1" x14ac:dyDescent="0.35">
      <c r="A25" s="3">
        <v>10</v>
      </c>
      <c r="B25" s="3" t="s">
        <v>19</v>
      </c>
      <c r="C25" s="3">
        <v>3662</v>
      </c>
      <c r="D25" s="3">
        <v>1694</v>
      </c>
      <c r="E25" s="3">
        <v>1968</v>
      </c>
    </row>
    <row r="26" spans="1:5" ht="24.95" customHeight="1" x14ac:dyDescent="0.35">
      <c r="A26" s="3">
        <v>11</v>
      </c>
      <c r="B26" s="3" t="s">
        <v>20</v>
      </c>
      <c r="C26" s="3">
        <v>1475</v>
      </c>
      <c r="D26" s="3">
        <v>692</v>
      </c>
      <c r="E26" s="3">
        <v>783</v>
      </c>
    </row>
    <row r="27" spans="1:5" ht="24.95" customHeight="1" x14ac:dyDescent="0.35">
      <c r="A27" s="3">
        <v>12</v>
      </c>
      <c r="B27" s="3" t="s">
        <v>21</v>
      </c>
      <c r="C27" s="3">
        <v>3626</v>
      </c>
      <c r="D27" s="3">
        <v>1771</v>
      </c>
      <c r="E27" s="3">
        <v>1855</v>
      </c>
    </row>
    <row r="28" spans="1:5" ht="24.95" customHeight="1" x14ac:dyDescent="0.35">
      <c r="A28" s="3">
        <v>13</v>
      </c>
      <c r="B28" s="3" t="s">
        <v>22</v>
      </c>
      <c r="C28" s="3">
        <v>2208</v>
      </c>
      <c r="D28" s="3">
        <v>1060</v>
      </c>
      <c r="E28" s="3">
        <v>1148</v>
      </c>
    </row>
    <row r="29" spans="1:5" ht="24.95" customHeight="1" x14ac:dyDescent="0.35">
      <c r="A29" s="3">
        <v>14</v>
      </c>
      <c r="B29" s="3" t="s">
        <v>23</v>
      </c>
      <c r="C29" s="3">
        <v>4092</v>
      </c>
      <c r="D29" s="3">
        <v>1906</v>
      </c>
      <c r="E29" s="3">
        <v>2186</v>
      </c>
    </row>
    <row r="30" spans="1:5" ht="24.95" customHeight="1" x14ac:dyDescent="0.35">
      <c r="A30" s="3">
        <v>15</v>
      </c>
      <c r="B30" s="3" t="s">
        <v>24</v>
      </c>
      <c r="C30" s="3">
        <v>5151</v>
      </c>
      <c r="D30" s="3">
        <v>2568</v>
      </c>
      <c r="E30" s="3">
        <v>2583</v>
      </c>
    </row>
    <row r="31" spans="1:5" ht="24.95" customHeight="1" x14ac:dyDescent="0.35">
      <c r="A31" s="3">
        <v>16</v>
      </c>
      <c r="B31" s="3" t="s">
        <v>25</v>
      </c>
      <c r="C31" s="3">
        <v>2505</v>
      </c>
      <c r="D31" s="3">
        <v>1143</v>
      </c>
      <c r="E31" s="3">
        <v>1362</v>
      </c>
    </row>
    <row r="32" spans="1:5" ht="24.95" customHeight="1" x14ac:dyDescent="0.35">
      <c r="A32" s="3">
        <v>17</v>
      </c>
      <c r="B32" s="3" t="s">
        <v>26</v>
      </c>
      <c r="C32" s="3">
        <v>3083</v>
      </c>
      <c r="D32" s="3">
        <v>1427</v>
      </c>
      <c r="E32" s="3">
        <v>1656</v>
      </c>
    </row>
    <row r="33" spans="1:5" ht="24.95" customHeight="1" x14ac:dyDescent="0.35">
      <c r="A33" s="3">
        <v>18</v>
      </c>
      <c r="B33" s="3" t="s">
        <v>27</v>
      </c>
      <c r="C33" s="3">
        <v>7205</v>
      </c>
      <c r="D33" s="3">
        <v>3241</v>
      </c>
      <c r="E33" s="3">
        <v>3964</v>
      </c>
    </row>
    <row r="34" spans="1:5" ht="24.95" customHeight="1" x14ac:dyDescent="0.35">
      <c r="A34" s="3">
        <v>19</v>
      </c>
      <c r="B34" s="3" t="s">
        <v>28</v>
      </c>
      <c r="C34" s="3">
        <v>5084</v>
      </c>
      <c r="D34" s="3">
        <v>2526</v>
      </c>
      <c r="E34" s="3">
        <v>2558</v>
      </c>
    </row>
    <row r="35" spans="1:5" ht="24.95" customHeight="1" x14ac:dyDescent="0.35">
      <c r="A35" s="3">
        <v>20</v>
      </c>
      <c r="B35" s="3" t="s">
        <v>29</v>
      </c>
      <c r="C35" s="3">
        <v>4482</v>
      </c>
      <c r="D35" s="3">
        <v>2198</v>
      </c>
      <c r="E35" s="3">
        <v>2284</v>
      </c>
    </row>
    <row r="36" spans="1:5" ht="24.95" customHeight="1" x14ac:dyDescent="0.35">
      <c r="A36" s="3">
        <v>21</v>
      </c>
      <c r="B36" s="3" t="s">
        <v>30</v>
      </c>
      <c r="C36" s="3">
        <v>3900</v>
      </c>
      <c r="D36" s="3">
        <v>1781</v>
      </c>
      <c r="E36" s="3">
        <v>2119</v>
      </c>
    </row>
    <row r="37" spans="1:5" ht="24.95" customHeight="1" x14ac:dyDescent="0.35">
      <c r="A37" s="3">
        <v>22</v>
      </c>
      <c r="B37" s="3" t="s">
        <v>31</v>
      </c>
      <c r="C37" s="3">
        <v>3297</v>
      </c>
      <c r="D37" s="3">
        <v>1542</v>
      </c>
      <c r="E37" s="3">
        <v>1755</v>
      </c>
    </row>
    <row r="38" spans="1:5" ht="24.95" customHeight="1" x14ac:dyDescent="0.35">
      <c r="A38" s="3">
        <v>23</v>
      </c>
      <c r="B38" s="3" t="s">
        <v>32</v>
      </c>
      <c r="C38" s="3">
        <v>3518</v>
      </c>
      <c r="D38" s="3">
        <v>1625</v>
      </c>
      <c r="E38" s="3">
        <v>1893</v>
      </c>
    </row>
    <row r="39" spans="1:5" ht="24.95" customHeight="1" x14ac:dyDescent="0.35">
      <c r="A39" s="3">
        <v>24</v>
      </c>
      <c r="B39" s="3" t="s">
        <v>33</v>
      </c>
      <c r="C39" s="3">
        <v>4333</v>
      </c>
      <c r="D39" s="3">
        <v>2310</v>
      </c>
      <c r="E39" s="3">
        <v>2023</v>
      </c>
    </row>
    <row r="40" spans="1:5" ht="24.95" customHeight="1" x14ac:dyDescent="0.35">
      <c r="A40" s="3">
        <v>25</v>
      </c>
      <c r="B40" s="3" t="s">
        <v>34</v>
      </c>
      <c r="C40" s="3">
        <v>4734</v>
      </c>
      <c r="D40" s="3">
        <v>2201</v>
      </c>
      <c r="E40" s="3">
        <v>2533</v>
      </c>
    </row>
    <row r="41" spans="1:5" ht="24.95" customHeight="1" x14ac:dyDescent="0.35">
      <c r="A41" s="3">
        <v>26</v>
      </c>
      <c r="B41" s="3" t="s">
        <v>35</v>
      </c>
      <c r="C41" s="3">
        <v>3567</v>
      </c>
      <c r="D41" s="3">
        <v>1658</v>
      </c>
      <c r="E41" s="3">
        <v>1909</v>
      </c>
    </row>
    <row r="42" spans="1:5" ht="24.95" customHeight="1" x14ac:dyDescent="0.35">
      <c r="A42" s="3">
        <v>27</v>
      </c>
      <c r="B42" s="3" t="s">
        <v>36</v>
      </c>
      <c r="C42" s="3">
        <v>4079</v>
      </c>
      <c r="D42" s="3">
        <v>1951</v>
      </c>
      <c r="E42" s="3">
        <v>2128</v>
      </c>
    </row>
    <row r="43" spans="1:5" ht="24.95" customHeight="1" x14ac:dyDescent="0.35">
      <c r="A43" s="3">
        <v>28</v>
      </c>
      <c r="B43" s="3" t="s">
        <v>37</v>
      </c>
      <c r="C43" s="3">
        <v>5391</v>
      </c>
      <c r="D43" s="3">
        <v>2477</v>
      </c>
      <c r="E43" s="3">
        <v>2914</v>
      </c>
    </row>
    <row r="44" spans="1:5" ht="24.95" customHeight="1" x14ac:dyDescent="0.35">
      <c r="A44" s="3">
        <v>29</v>
      </c>
      <c r="B44" s="3" t="s">
        <v>38</v>
      </c>
      <c r="C44" s="3">
        <v>3716</v>
      </c>
      <c r="D44" s="3">
        <v>1706</v>
      </c>
      <c r="E44" s="3">
        <v>2010</v>
      </c>
    </row>
    <row r="45" spans="1:5" ht="24.95" customHeight="1" x14ac:dyDescent="0.35">
      <c r="A45" s="3">
        <v>30</v>
      </c>
      <c r="B45" s="3" t="s">
        <v>39</v>
      </c>
      <c r="C45" s="3">
        <v>3138</v>
      </c>
      <c r="D45" s="3">
        <v>1599</v>
      </c>
      <c r="E45" s="3">
        <v>1539</v>
      </c>
    </row>
    <row r="46" spans="1:5" ht="24.95" customHeight="1" x14ac:dyDescent="0.35">
      <c r="A46" s="3">
        <v>31</v>
      </c>
      <c r="B46" s="3" t="s">
        <v>40</v>
      </c>
      <c r="C46" s="3">
        <v>3856</v>
      </c>
      <c r="D46" s="3">
        <v>1819</v>
      </c>
      <c r="E46" s="3">
        <v>2037</v>
      </c>
    </row>
    <row r="47" spans="1:5" ht="24.95" customHeight="1" x14ac:dyDescent="0.35">
      <c r="A47" s="3">
        <v>32</v>
      </c>
      <c r="B47" s="3" t="s">
        <v>41</v>
      </c>
      <c r="C47" s="3">
        <v>2449</v>
      </c>
      <c r="D47" s="3">
        <v>1130</v>
      </c>
      <c r="E47" s="3">
        <v>1319</v>
      </c>
    </row>
    <row r="48" spans="1:5" ht="24.95" customHeight="1" x14ac:dyDescent="0.35">
      <c r="A48" s="3">
        <v>33</v>
      </c>
      <c r="B48" s="3" t="s">
        <v>42</v>
      </c>
      <c r="C48" s="3">
        <v>4915</v>
      </c>
      <c r="D48" s="3">
        <v>2238</v>
      </c>
      <c r="E48" s="3">
        <v>2677</v>
      </c>
    </row>
    <row r="49" spans="1:5" ht="24.95" customHeight="1" x14ac:dyDescent="0.35">
      <c r="A49" s="3">
        <v>34</v>
      </c>
      <c r="B49" s="3" t="s">
        <v>43</v>
      </c>
      <c r="C49" s="3">
        <v>2494</v>
      </c>
      <c r="D49" s="3">
        <v>1166</v>
      </c>
      <c r="E49" s="3">
        <v>1328</v>
      </c>
    </row>
    <row r="50" spans="1:5" ht="24.95" customHeight="1" x14ac:dyDescent="0.35">
      <c r="A50" s="3">
        <v>35</v>
      </c>
      <c r="B50" s="3" t="s">
        <v>44</v>
      </c>
      <c r="C50" s="3">
        <v>5965</v>
      </c>
      <c r="D50" s="3">
        <v>2775</v>
      </c>
      <c r="E50" s="3">
        <v>3190</v>
      </c>
    </row>
    <row r="51" spans="1:5" ht="24.95" customHeight="1" x14ac:dyDescent="0.35">
      <c r="A51" s="3">
        <v>36</v>
      </c>
      <c r="B51" s="3" t="s">
        <v>45</v>
      </c>
      <c r="C51" s="3">
        <v>2674</v>
      </c>
      <c r="D51" s="3">
        <v>1222</v>
      </c>
      <c r="E51" s="3">
        <v>1452</v>
      </c>
    </row>
    <row r="52" spans="1:5" ht="24.95" customHeight="1" x14ac:dyDescent="0.35">
      <c r="A52" s="3">
        <v>37</v>
      </c>
      <c r="B52" s="3" t="s">
        <v>46</v>
      </c>
      <c r="C52" s="3">
        <v>2019</v>
      </c>
      <c r="D52" s="3">
        <v>897</v>
      </c>
      <c r="E52" s="3">
        <v>1122</v>
      </c>
    </row>
    <row r="53" spans="1:5" ht="24.95" customHeight="1" x14ac:dyDescent="0.35">
      <c r="A53" s="3">
        <v>38</v>
      </c>
      <c r="B53" s="3" t="s">
        <v>47</v>
      </c>
      <c r="C53" s="3">
        <v>2392</v>
      </c>
      <c r="D53" s="3">
        <v>1105</v>
      </c>
      <c r="E53" s="3">
        <v>1287</v>
      </c>
    </row>
    <row r="54" spans="1:5" ht="24.95" customHeight="1" x14ac:dyDescent="0.35">
      <c r="A54" s="3">
        <v>39</v>
      </c>
      <c r="B54" s="3" t="s">
        <v>48</v>
      </c>
      <c r="C54" s="3">
        <v>3167</v>
      </c>
      <c r="D54" s="3">
        <v>1557</v>
      </c>
      <c r="E54" s="3">
        <v>1610</v>
      </c>
    </row>
    <row r="55" spans="1:5" ht="24.95" customHeight="1" x14ac:dyDescent="0.35">
      <c r="A55" s="3">
        <v>40</v>
      </c>
      <c r="B55" s="3" t="s">
        <v>49</v>
      </c>
      <c r="C55" s="3">
        <v>3126</v>
      </c>
      <c r="D55" s="3">
        <v>1448</v>
      </c>
      <c r="E55" s="3">
        <v>1678</v>
      </c>
    </row>
    <row r="56" spans="1:5" ht="24.95" customHeight="1" x14ac:dyDescent="0.35">
      <c r="A56" s="3">
        <v>41</v>
      </c>
      <c r="B56" s="3" t="s">
        <v>50</v>
      </c>
      <c r="C56" s="3">
        <v>2598</v>
      </c>
      <c r="D56" s="3">
        <v>1254</v>
      </c>
      <c r="E56" s="3">
        <v>1344</v>
      </c>
    </row>
    <row r="57" spans="1:5" ht="24.95" customHeight="1" x14ac:dyDescent="0.35">
      <c r="A57" s="3">
        <v>42</v>
      </c>
      <c r="B57" s="3" t="s">
        <v>51</v>
      </c>
      <c r="C57" s="3">
        <v>2820</v>
      </c>
      <c r="D57" s="3">
        <v>1410</v>
      </c>
      <c r="E57" s="3">
        <v>1410</v>
      </c>
    </row>
    <row r="58" spans="1:5" ht="24.95" customHeight="1" x14ac:dyDescent="0.35">
      <c r="A58" s="3">
        <v>43</v>
      </c>
      <c r="B58" s="3" t="s">
        <v>52</v>
      </c>
      <c r="C58" s="3">
        <v>2257</v>
      </c>
      <c r="D58" s="3">
        <v>1052</v>
      </c>
      <c r="E58" s="3">
        <v>1205</v>
      </c>
    </row>
    <row r="59" spans="1:5" ht="24.95" customHeight="1" x14ac:dyDescent="0.35">
      <c r="A59" s="3">
        <v>44</v>
      </c>
      <c r="B59" s="3" t="s">
        <v>53</v>
      </c>
      <c r="C59" s="3">
        <v>3449</v>
      </c>
      <c r="D59" s="3">
        <v>1678</v>
      </c>
      <c r="E59" s="3">
        <v>1771</v>
      </c>
    </row>
    <row r="60" spans="1:5" ht="24.95" customHeight="1" x14ac:dyDescent="0.35">
      <c r="A60" s="3">
        <v>45</v>
      </c>
      <c r="B60" s="3" t="s">
        <v>54</v>
      </c>
      <c r="C60" s="3">
        <v>997</v>
      </c>
      <c r="D60" s="3">
        <v>530</v>
      </c>
      <c r="E60" s="3">
        <v>467</v>
      </c>
    </row>
    <row r="61" spans="1:5" ht="24.95" customHeight="1" x14ac:dyDescent="0.35">
      <c r="A61" s="3">
        <v>46</v>
      </c>
      <c r="B61" s="3" t="s">
        <v>55</v>
      </c>
      <c r="C61" s="3">
        <v>2069</v>
      </c>
      <c r="D61" s="3">
        <v>1007</v>
      </c>
      <c r="E61" s="3">
        <v>1062</v>
      </c>
    </row>
    <row r="62" spans="1:5" ht="24.95" customHeight="1" x14ac:dyDescent="0.35">
      <c r="A62" s="3">
        <v>47</v>
      </c>
      <c r="B62" s="3" t="s">
        <v>56</v>
      </c>
      <c r="C62" s="3">
        <v>1777</v>
      </c>
      <c r="D62" s="3">
        <v>795</v>
      </c>
      <c r="E62" s="3">
        <v>982</v>
      </c>
    </row>
    <row r="63" spans="1:5" ht="24.95" customHeight="1" x14ac:dyDescent="0.35">
      <c r="A63" s="3">
        <v>48</v>
      </c>
      <c r="B63" s="3" t="s">
        <v>57</v>
      </c>
      <c r="C63" s="3">
        <v>1979</v>
      </c>
      <c r="D63" s="3">
        <v>966</v>
      </c>
      <c r="E63" s="3">
        <v>1013</v>
      </c>
    </row>
    <row r="64" spans="1:5" ht="24.95" customHeight="1" x14ac:dyDescent="0.35">
      <c r="A64" s="3">
        <v>49</v>
      </c>
      <c r="B64" s="3" t="s">
        <v>58</v>
      </c>
      <c r="C64" s="3">
        <v>1194</v>
      </c>
      <c r="D64" s="3">
        <v>561</v>
      </c>
      <c r="E64" s="3">
        <v>633</v>
      </c>
    </row>
    <row r="65" spans="1:5" ht="24.95" customHeight="1" x14ac:dyDescent="0.35">
      <c r="A65" s="4">
        <v>50</v>
      </c>
      <c r="B65" s="4" t="s">
        <v>9</v>
      </c>
      <c r="C65" s="4">
        <v>2740</v>
      </c>
      <c r="D65" s="4">
        <v>1353</v>
      </c>
      <c r="E65" s="4">
        <v>1387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Nay Pyi Taw (Council),Ottara  District, Tatkon Township"/>
  </hyperlinks>
  <pageMargins left="0.75" right="0.5" top="0.5" bottom="0.2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1"/>
    </sheetView>
  </sheetViews>
  <sheetFormatPr defaultRowHeight="21.75" x14ac:dyDescent="0.4"/>
  <cols>
    <col min="1" max="1" width="7.5703125" style="1" customWidth="1"/>
    <col min="2" max="2" width="26.28515625" style="1" customWidth="1"/>
    <col min="3" max="5" width="15.7109375" style="1" customWidth="1"/>
    <col min="6" max="6" width="9.140625" style="1"/>
    <col min="7" max="7" width="24" style="1" customWidth="1"/>
    <col min="8" max="8" width="12.5703125" style="1" customWidth="1"/>
    <col min="9" max="9" width="13.5703125" style="1" customWidth="1"/>
    <col min="10" max="10" width="12.7109375" style="1" customWidth="1"/>
    <col min="11" max="16384" width="9.140625" style="1"/>
  </cols>
  <sheetData>
    <row r="1" spans="1:5" ht="21" customHeight="1" x14ac:dyDescent="0.4">
      <c r="A1" s="30" t="s">
        <v>244</v>
      </c>
      <c r="B1" s="30"/>
      <c r="C1" s="30"/>
      <c r="D1" s="30"/>
      <c r="E1" s="30"/>
    </row>
    <row r="2" spans="1:5" ht="21" customHeight="1" x14ac:dyDescent="0.4">
      <c r="E2" s="22" t="s">
        <v>242</v>
      </c>
    </row>
    <row r="3" spans="1:5" ht="21" customHeight="1" x14ac:dyDescent="0.4"/>
    <row r="4" spans="1:5" x14ac:dyDescent="0.4">
      <c r="A4" s="25" t="s">
        <v>239</v>
      </c>
      <c r="B4" s="25" t="s">
        <v>252</v>
      </c>
      <c r="C4" s="27" t="s">
        <v>240</v>
      </c>
      <c r="D4" s="28"/>
      <c r="E4" s="29"/>
    </row>
    <row r="5" spans="1:5" x14ac:dyDescent="0.4">
      <c r="A5" s="26"/>
      <c r="B5" s="26"/>
      <c r="C5" s="5" t="s">
        <v>0</v>
      </c>
      <c r="D5" s="5" t="s">
        <v>1</v>
      </c>
      <c r="E5" s="5" t="s">
        <v>2</v>
      </c>
    </row>
    <row r="6" spans="1:5" ht="27.75" customHeight="1" x14ac:dyDescent="0.4">
      <c r="A6" s="19"/>
      <c r="B6" s="7" t="s">
        <v>0</v>
      </c>
      <c r="C6" s="7">
        <v>111293</v>
      </c>
      <c r="D6" s="7">
        <v>55642</v>
      </c>
      <c r="E6" s="7">
        <v>55651</v>
      </c>
    </row>
    <row r="7" spans="1:5" ht="10.5" customHeight="1" x14ac:dyDescent="0.4">
      <c r="A7" s="20"/>
      <c r="B7" s="20"/>
      <c r="C7" s="20"/>
      <c r="D7" s="20"/>
      <c r="E7" s="20"/>
    </row>
    <row r="8" spans="1:5" ht="24.95" customHeight="1" x14ac:dyDescent="0.4">
      <c r="A8" s="20"/>
      <c r="B8" s="2" t="s">
        <v>241</v>
      </c>
      <c r="C8" s="2">
        <f>SUM(C9:C12)</f>
        <v>35106</v>
      </c>
      <c r="D8" s="2">
        <f t="shared" ref="D8:E8" si="0">SUM(D9:D12)</f>
        <v>18864</v>
      </c>
      <c r="E8" s="2">
        <f t="shared" si="0"/>
        <v>16242</v>
      </c>
    </row>
    <row r="9" spans="1:5" ht="24.95" customHeight="1" x14ac:dyDescent="0.4">
      <c r="A9" s="3">
        <v>1</v>
      </c>
      <c r="B9" s="3" t="s">
        <v>59</v>
      </c>
      <c r="C9" s="3">
        <v>9145</v>
      </c>
      <c r="D9" s="3">
        <v>5143</v>
      </c>
      <c r="E9" s="3">
        <v>4002</v>
      </c>
    </row>
    <row r="10" spans="1:5" ht="24.95" customHeight="1" x14ac:dyDescent="0.4">
      <c r="A10" s="3">
        <v>2</v>
      </c>
      <c r="B10" s="3" t="s">
        <v>8</v>
      </c>
      <c r="C10" s="3">
        <v>17998</v>
      </c>
      <c r="D10" s="3">
        <v>9730</v>
      </c>
      <c r="E10" s="3">
        <v>8268</v>
      </c>
    </row>
    <row r="11" spans="1:5" ht="24.95" customHeight="1" x14ac:dyDescent="0.4">
      <c r="A11" s="3">
        <v>3</v>
      </c>
      <c r="B11" s="3" t="s">
        <v>60</v>
      </c>
      <c r="C11" s="3">
        <v>5440</v>
      </c>
      <c r="D11" s="3">
        <v>2791</v>
      </c>
      <c r="E11" s="3">
        <v>2649</v>
      </c>
    </row>
    <row r="12" spans="1:5" ht="24.95" customHeight="1" x14ac:dyDescent="0.4">
      <c r="A12" s="3">
        <v>4</v>
      </c>
      <c r="B12" s="3" t="s">
        <v>4</v>
      </c>
      <c r="C12" s="3">
        <v>2523</v>
      </c>
      <c r="D12" s="3">
        <v>1200</v>
      </c>
      <c r="E12" s="3">
        <v>1323</v>
      </c>
    </row>
    <row r="13" spans="1:5" ht="24.95" customHeight="1" x14ac:dyDescent="0.4">
      <c r="A13" s="20"/>
      <c r="B13" s="2" t="s">
        <v>251</v>
      </c>
      <c r="C13" s="2">
        <f>SUM(C14:C26)</f>
        <v>76187</v>
      </c>
      <c r="D13" s="2">
        <f t="shared" ref="D13:E13" si="1">SUM(D14:D26)</f>
        <v>36778</v>
      </c>
      <c r="E13" s="2">
        <f t="shared" si="1"/>
        <v>39409</v>
      </c>
    </row>
    <row r="14" spans="1:5" ht="24.95" customHeight="1" x14ac:dyDescent="0.4">
      <c r="A14" s="3">
        <v>1</v>
      </c>
      <c r="B14" s="3" t="s">
        <v>61</v>
      </c>
      <c r="C14" s="3">
        <v>6027</v>
      </c>
      <c r="D14" s="3">
        <v>2871</v>
      </c>
      <c r="E14" s="3">
        <v>3156</v>
      </c>
    </row>
    <row r="15" spans="1:5" ht="24.95" customHeight="1" x14ac:dyDescent="0.4">
      <c r="A15" s="3">
        <v>2</v>
      </c>
      <c r="B15" s="3" t="s">
        <v>62</v>
      </c>
      <c r="C15" s="3">
        <v>7077</v>
      </c>
      <c r="D15" s="3">
        <v>3392</v>
      </c>
      <c r="E15" s="3">
        <v>3685</v>
      </c>
    </row>
    <row r="16" spans="1:5" ht="24.95" customHeight="1" x14ac:dyDescent="0.4">
      <c r="A16" s="3">
        <v>3</v>
      </c>
      <c r="B16" s="3" t="s">
        <v>63</v>
      </c>
      <c r="C16" s="3">
        <v>2032</v>
      </c>
      <c r="D16" s="3">
        <v>979</v>
      </c>
      <c r="E16" s="3">
        <v>1053</v>
      </c>
    </row>
    <row r="17" spans="1:5" ht="24.95" customHeight="1" x14ac:dyDescent="0.4">
      <c r="A17" s="3">
        <v>4</v>
      </c>
      <c r="B17" s="3" t="s">
        <v>64</v>
      </c>
      <c r="C17" s="3">
        <v>4818</v>
      </c>
      <c r="D17" s="3">
        <v>2331</v>
      </c>
      <c r="E17" s="3">
        <v>2487</v>
      </c>
    </row>
    <row r="18" spans="1:5" ht="24.95" customHeight="1" x14ac:dyDescent="0.4">
      <c r="A18" s="3">
        <v>5</v>
      </c>
      <c r="B18" s="3" t="s">
        <v>65</v>
      </c>
      <c r="C18" s="3">
        <v>14038</v>
      </c>
      <c r="D18" s="3">
        <v>6380</v>
      </c>
      <c r="E18" s="3">
        <v>7658</v>
      </c>
    </row>
    <row r="19" spans="1:5" ht="24.95" customHeight="1" x14ac:dyDescent="0.4">
      <c r="A19" s="3">
        <v>6</v>
      </c>
      <c r="B19" s="3" t="s">
        <v>66</v>
      </c>
      <c r="C19" s="3">
        <v>3792</v>
      </c>
      <c r="D19" s="3">
        <v>1876</v>
      </c>
      <c r="E19" s="3">
        <v>1916</v>
      </c>
    </row>
    <row r="20" spans="1:5" ht="24.95" customHeight="1" x14ac:dyDescent="0.4">
      <c r="A20" s="3">
        <v>7</v>
      </c>
      <c r="B20" s="3" t="s">
        <v>67</v>
      </c>
      <c r="C20" s="3">
        <v>1081</v>
      </c>
      <c r="D20" s="3">
        <v>538</v>
      </c>
      <c r="E20" s="3">
        <v>543</v>
      </c>
    </row>
    <row r="21" spans="1:5" ht="24.95" customHeight="1" x14ac:dyDescent="0.4">
      <c r="A21" s="3">
        <v>8</v>
      </c>
      <c r="B21" s="3" t="s">
        <v>68</v>
      </c>
      <c r="C21" s="3">
        <v>12804</v>
      </c>
      <c r="D21" s="3">
        <v>6268</v>
      </c>
      <c r="E21" s="3">
        <v>6536</v>
      </c>
    </row>
    <row r="22" spans="1:5" ht="24.95" customHeight="1" x14ac:dyDescent="0.4">
      <c r="A22" s="3">
        <v>9</v>
      </c>
      <c r="B22" s="3" t="s">
        <v>69</v>
      </c>
      <c r="C22" s="3">
        <v>7857</v>
      </c>
      <c r="D22" s="3">
        <v>3911</v>
      </c>
      <c r="E22" s="3">
        <v>3946</v>
      </c>
    </row>
    <row r="23" spans="1:5" ht="24.95" customHeight="1" x14ac:dyDescent="0.4">
      <c r="A23" s="3">
        <v>10</v>
      </c>
      <c r="B23" s="3" t="s">
        <v>70</v>
      </c>
      <c r="C23" s="3">
        <v>6645</v>
      </c>
      <c r="D23" s="3">
        <v>3356</v>
      </c>
      <c r="E23" s="3">
        <v>3289</v>
      </c>
    </row>
    <row r="24" spans="1:5" ht="24.95" customHeight="1" x14ac:dyDescent="0.4">
      <c r="A24" s="3">
        <v>11</v>
      </c>
      <c r="B24" s="3" t="s">
        <v>71</v>
      </c>
      <c r="C24" s="3">
        <v>926</v>
      </c>
      <c r="D24" s="3">
        <v>461</v>
      </c>
      <c r="E24" s="3">
        <v>465</v>
      </c>
    </row>
    <row r="25" spans="1:5" ht="24.95" customHeight="1" x14ac:dyDescent="0.4">
      <c r="A25" s="3">
        <v>12</v>
      </c>
      <c r="B25" s="3" t="s">
        <v>72</v>
      </c>
      <c r="C25" s="3">
        <v>5537</v>
      </c>
      <c r="D25" s="3">
        <v>2693</v>
      </c>
      <c r="E25" s="3">
        <v>2844</v>
      </c>
    </row>
    <row r="26" spans="1:5" ht="24.95" customHeight="1" x14ac:dyDescent="0.4">
      <c r="A26" s="4">
        <v>13</v>
      </c>
      <c r="B26" s="6" t="s">
        <v>73</v>
      </c>
      <c r="C26" s="6">
        <v>3553</v>
      </c>
      <c r="D26" s="6">
        <v>1722</v>
      </c>
      <c r="E26" s="6">
        <v>1831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Nay Pyi Taw (Council),Ottara  District, Zeyarthiri Township"/>
  </hyperlinks>
  <pageMargins left="0.75" right="0.5" top="0.5" bottom="0.2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zoomScaleNormal="100" workbookViewId="0">
      <selection sqref="A1:E1"/>
    </sheetView>
  </sheetViews>
  <sheetFormatPr defaultRowHeight="21" x14ac:dyDescent="0.35"/>
  <cols>
    <col min="1" max="1" width="8.140625" style="14" customWidth="1"/>
    <col min="2" max="2" width="27.5703125" style="14" customWidth="1"/>
    <col min="3" max="5" width="15.7109375" style="14" customWidth="1"/>
    <col min="6" max="6" width="9.140625" style="14"/>
    <col min="7" max="7" width="30.7109375" style="14" customWidth="1"/>
    <col min="8" max="16384" width="9.140625" style="14"/>
  </cols>
  <sheetData>
    <row r="1" spans="1:6" ht="21" customHeight="1" x14ac:dyDescent="0.35">
      <c r="A1" s="30" t="s">
        <v>245</v>
      </c>
      <c r="B1" s="30"/>
      <c r="C1" s="30"/>
      <c r="D1" s="30"/>
      <c r="E1" s="30"/>
      <c r="F1" s="11"/>
    </row>
    <row r="2" spans="1:6" ht="21" customHeight="1" x14ac:dyDescent="0.35">
      <c r="E2" s="22" t="s">
        <v>242</v>
      </c>
    </row>
    <row r="3" spans="1:6" ht="21" customHeight="1" x14ac:dyDescent="0.35"/>
    <row r="4" spans="1:6" x14ac:dyDescent="0.35">
      <c r="A4" s="25" t="s">
        <v>239</v>
      </c>
      <c r="B4" s="25" t="s">
        <v>252</v>
      </c>
      <c r="C4" s="27" t="s">
        <v>240</v>
      </c>
      <c r="D4" s="28"/>
      <c r="E4" s="29"/>
    </row>
    <row r="5" spans="1:6" x14ac:dyDescent="0.35">
      <c r="A5" s="26"/>
      <c r="B5" s="26"/>
      <c r="C5" s="5" t="s">
        <v>0</v>
      </c>
      <c r="D5" s="5" t="s">
        <v>1</v>
      </c>
      <c r="E5" s="5" t="s">
        <v>2</v>
      </c>
    </row>
    <row r="6" spans="1:6" ht="28.5" customHeight="1" x14ac:dyDescent="0.35">
      <c r="A6" s="12"/>
      <c r="B6" s="7" t="s">
        <v>0</v>
      </c>
      <c r="C6" s="7">
        <v>81620</v>
      </c>
      <c r="D6" s="7">
        <v>41309</v>
      </c>
      <c r="E6" s="7">
        <v>40311</v>
      </c>
    </row>
    <row r="7" spans="1:6" ht="11.25" customHeight="1" x14ac:dyDescent="0.35">
      <c r="A7" s="3"/>
      <c r="B7" s="3"/>
      <c r="C7" s="3"/>
      <c r="D7" s="3"/>
      <c r="E7" s="3"/>
    </row>
    <row r="8" spans="1:6" ht="24.95" customHeight="1" x14ac:dyDescent="0.35">
      <c r="A8" s="3"/>
      <c r="B8" s="2" t="s">
        <v>241</v>
      </c>
      <c r="C8" s="2">
        <f>SUM(C9:C10)</f>
        <v>23955</v>
      </c>
      <c r="D8" s="2">
        <f t="shared" ref="D8:E8" si="0">SUM(D9:D10)</f>
        <v>12459</v>
      </c>
      <c r="E8" s="2">
        <f t="shared" si="0"/>
        <v>11496</v>
      </c>
    </row>
    <row r="9" spans="1:6" ht="24.95" customHeight="1" x14ac:dyDescent="0.35">
      <c r="A9" s="3">
        <v>1</v>
      </c>
      <c r="B9" s="3" t="s">
        <v>74</v>
      </c>
      <c r="C9" s="3">
        <v>16154</v>
      </c>
      <c r="D9" s="3">
        <v>8567</v>
      </c>
      <c r="E9" s="3">
        <v>7587</v>
      </c>
    </row>
    <row r="10" spans="1:6" ht="24.95" customHeight="1" x14ac:dyDescent="0.35">
      <c r="A10" s="3">
        <v>2</v>
      </c>
      <c r="B10" s="3" t="s">
        <v>75</v>
      </c>
      <c r="C10" s="3">
        <v>7801</v>
      </c>
      <c r="D10" s="3">
        <v>3892</v>
      </c>
      <c r="E10" s="3">
        <v>3909</v>
      </c>
    </row>
    <row r="11" spans="1:6" ht="24.95" customHeight="1" x14ac:dyDescent="0.35">
      <c r="A11" s="3"/>
      <c r="B11" s="2" t="s">
        <v>251</v>
      </c>
      <c r="C11" s="2">
        <f>SUM(C12:C19)</f>
        <v>57665</v>
      </c>
      <c r="D11" s="2">
        <f t="shared" ref="D11:E11" si="1">SUM(D12:D19)</f>
        <v>28850</v>
      </c>
      <c r="E11" s="2">
        <f t="shared" si="1"/>
        <v>28815</v>
      </c>
    </row>
    <row r="12" spans="1:6" ht="24.95" customHeight="1" x14ac:dyDescent="0.35">
      <c r="A12" s="3">
        <v>1</v>
      </c>
      <c r="B12" s="3" t="s">
        <v>76</v>
      </c>
      <c r="C12" s="3">
        <v>6572</v>
      </c>
      <c r="D12" s="3">
        <v>3320</v>
      </c>
      <c r="E12" s="3">
        <v>3252</v>
      </c>
    </row>
    <row r="13" spans="1:6" ht="24.95" customHeight="1" x14ac:dyDescent="0.35">
      <c r="A13" s="3">
        <v>2</v>
      </c>
      <c r="B13" s="3" t="s">
        <v>77</v>
      </c>
      <c r="C13" s="3">
        <v>11794</v>
      </c>
      <c r="D13" s="3">
        <v>5959</v>
      </c>
      <c r="E13" s="3">
        <v>5835</v>
      </c>
    </row>
    <row r="14" spans="1:6" ht="24.95" customHeight="1" x14ac:dyDescent="0.35">
      <c r="A14" s="3">
        <v>3</v>
      </c>
      <c r="B14" s="3" t="s">
        <v>78</v>
      </c>
      <c r="C14" s="3">
        <v>8123</v>
      </c>
      <c r="D14" s="3">
        <v>4244</v>
      </c>
      <c r="E14" s="3">
        <v>3879</v>
      </c>
    </row>
    <row r="15" spans="1:6" ht="24.95" customHeight="1" x14ac:dyDescent="0.35">
      <c r="A15" s="3">
        <v>4</v>
      </c>
      <c r="B15" s="3" t="s">
        <v>79</v>
      </c>
      <c r="C15" s="3">
        <v>5830</v>
      </c>
      <c r="D15" s="3">
        <v>2868</v>
      </c>
      <c r="E15" s="3">
        <v>2962</v>
      </c>
    </row>
    <row r="16" spans="1:6" ht="24.95" customHeight="1" x14ac:dyDescent="0.35">
      <c r="A16" s="3">
        <v>5</v>
      </c>
      <c r="B16" s="3" t="s">
        <v>80</v>
      </c>
      <c r="C16" s="3">
        <v>12551</v>
      </c>
      <c r="D16" s="3">
        <v>6244</v>
      </c>
      <c r="E16" s="3">
        <v>6307</v>
      </c>
    </row>
    <row r="17" spans="1:5" ht="24.95" customHeight="1" x14ac:dyDescent="0.35">
      <c r="A17" s="3">
        <v>6</v>
      </c>
      <c r="B17" s="3" t="s">
        <v>81</v>
      </c>
      <c r="C17" s="3">
        <v>3023</v>
      </c>
      <c r="D17" s="3">
        <v>1433</v>
      </c>
      <c r="E17" s="3">
        <v>1590</v>
      </c>
    </row>
    <row r="18" spans="1:5" ht="24.95" customHeight="1" x14ac:dyDescent="0.35">
      <c r="A18" s="3">
        <v>7</v>
      </c>
      <c r="B18" s="3" t="s">
        <v>82</v>
      </c>
      <c r="C18" s="3">
        <v>7522</v>
      </c>
      <c r="D18" s="3">
        <v>3661</v>
      </c>
      <c r="E18" s="3">
        <v>3861</v>
      </c>
    </row>
    <row r="19" spans="1:5" ht="24.95" customHeight="1" x14ac:dyDescent="0.35">
      <c r="A19" s="4">
        <v>8</v>
      </c>
      <c r="B19" s="4" t="s">
        <v>83</v>
      </c>
      <c r="C19" s="4">
        <v>2250</v>
      </c>
      <c r="D19" s="4">
        <v>1121</v>
      </c>
      <c r="E19" s="4">
        <v>1129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Nay Pyi Taw (Council),Ottara  District, Ottarathiri Township"/>
  </hyperlinks>
  <pageMargins left="0.75" right="0.5" top="0.5" bottom="0.2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zoomScaleNormal="100" workbookViewId="0">
      <selection sqref="A1:E1"/>
    </sheetView>
  </sheetViews>
  <sheetFormatPr defaultRowHeight="21" x14ac:dyDescent="0.35"/>
  <cols>
    <col min="1" max="1" width="7.140625" style="14" customWidth="1"/>
    <col min="2" max="2" width="42.140625" style="14" customWidth="1"/>
    <col min="3" max="5" width="13.7109375" style="14" customWidth="1"/>
    <col min="6" max="6" width="9.140625" style="14"/>
    <col min="7" max="7" width="43.140625" style="14" customWidth="1"/>
    <col min="8" max="8" width="15.42578125" style="14" customWidth="1"/>
    <col min="9" max="16384" width="9.140625" style="14"/>
  </cols>
  <sheetData>
    <row r="1" spans="1:5" ht="21" customHeight="1" x14ac:dyDescent="0.35">
      <c r="A1" s="30" t="s">
        <v>246</v>
      </c>
      <c r="B1" s="30"/>
      <c r="C1" s="30"/>
      <c r="D1" s="30"/>
      <c r="E1" s="30"/>
    </row>
    <row r="2" spans="1:5" ht="21" customHeight="1" x14ac:dyDescent="0.35">
      <c r="E2" s="22" t="s">
        <v>242</v>
      </c>
    </row>
    <row r="3" spans="1:5" ht="21" customHeight="1" x14ac:dyDescent="0.35"/>
    <row r="4" spans="1:5" x14ac:dyDescent="0.35">
      <c r="A4" s="25" t="s">
        <v>239</v>
      </c>
      <c r="B4" s="25" t="s">
        <v>252</v>
      </c>
      <c r="C4" s="27" t="s">
        <v>240</v>
      </c>
      <c r="D4" s="28"/>
      <c r="E4" s="29"/>
    </row>
    <row r="5" spans="1:5" x14ac:dyDescent="0.35">
      <c r="A5" s="26"/>
      <c r="B5" s="26"/>
      <c r="C5" s="5" t="s">
        <v>0</v>
      </c>
      <c r="D5" s="5" t="s">
        <v>1</v>
      </c>
      <c r="E5" s="5" t="s">
        <v>2</v>
      </c>
    </row>
    <row r="6" spans="1:5" ht="27" customHeight="1" x14ac:dyDescent="0.35">
      <c r="A6" s="12"/>
      <c r="B6" s="7" t="s">
        <v>0</v>
      </c>
      <c r="C6" s="7">
        <v>116491</v>
      </c>
      <c r="D6" s="7">
        <v>57326</v>
      </c>
      <c r="E6" s="7">
        <v>59165</v>
      </c>
    </row>
    <row r="7" spans="1:5" ht="12" customHeight="1" x14ac:dyDescent="0.35">
      <c r="A7" s="3"/>
      <c r="B7" s="3"/>
      <c r="C7" s="3"/>
      <c r="D7" s="3"/>
      <c r="E7" s="3"/>
    </row>
    <row r="8" spans="1:5" ht="24.95" customHeight="1" x14ac:dyDescent="0.35">
      <c r="A8" s="3"/>
      <c r="B8" s="2" t="s">
        <v>241</v>
      </c>
      <c r="C8" s="2">
        <f>SUM(C9:C27)</f>
        <v>44437</v>
      </c>
      <c r="D8" s="2">
        <f t="shared" ref="D8:E8" si="0">SUM(D9:D27)</f>
        <v>22018</v>
      </c>
      <c r="E8" s="2">
        <f t="shared" si="0"/>
        <v>22419</v>
      </c>
    </row>
    <row r="9" spans="1:5" ht="24.95" customHeight="1" x14ac:dyDescent="0.35">
      <c r="A9" s="3">
        <v>1</v>
      </c>
      <c r="B9" s="3" t="s">
        <v>3</v>
      </c>
      <c r="C9" s="3">
        <v>11120</v>
      </c>
      <c r="D9" s="3">
        <v>6002</v>
      </c>
      <c r="E9" s="3">
        <v>5118</v>
      </c>
    </row>
    <row r="10" spans="1:5" ht="24.95" customHeight="1" x14ac:dyDescent="0.35">
      <c r="A10" s="3">
        <v>2</v>
      </c>
      <c r="B10" s="3" t="s">
        <v>84</v>
      </c>
      <c r="C10" s="3">
        <v>4755</v>
      </c>
      <c r="D10" s="3">
        <v>2255</v>
      </c>
      <c r="E10" s="3">
        <v>2500</v>
      </c>
    </row>
    <row r="11" spans="1:5" ht="24.95" customHeight="1" x14ac:dyDescent="0.35">
      <c r="A11" s="3">
        <v>3</v>
      </c>
      <c r="B11" s="3" t="s">
        <v>85</v>
      </c>
      <c r="C11" s="3">
        <v>5420</v>
      </c>
      <c r="D11" s="3">
        <v>2696</v>
      </c>
      <c r="E11" s="3">
        <v>2724</v>
      </c>
    </row>
    <row r="12" spans="1:5" ht="24.95" customHeight="1" x14ac:dyDescent="0.35">
      <c r="A12" s="3">
        <v>4</v>
      </c>
      <c r="B12" s="3" t="s">
        <v>86</v>
      </c>
      <c r="C12" s="3">
        <v>1710</v>
      </c>
      <c r="D12" s="3">
        <v>842</v>
      </c>
      <c r="E12" s="3">
        <v>868</v>
      </c>
    </row>
    <row r="13" spans="1:5" ht="24.95" customHeight="1" x14ac:dyDescent="0.35">
      <c r="A13" s="3">
        <v>5</v>
      </c>
      <c r="B13" s="3" t="s">
        <v>87</v>
      </c>
      <c r="C13" s="3">
        <v>885</v>
      </c>
      <c r="D13" s="3">
        <v>435</v>
      </c>
      <c r="E13" s="3">
        <v>450</v>
      </c>
    </row>
    <row r="14" spans="1:5" ht="24.95" customHeight="1" x14ac:dyDescent="0.35">
      <c r="A14" s="3">
        <v>6</v>
      </c>
      <c r="B14" s="3" t="s">
        <v>88</v>
      </c>
      <c r="C14" s="3">
        <v>3001</v>
      </c>
      <c r="D14" s="3">
        <v>1445</v>
      </c>
      <c r="E14" s="3">
        <v>1556</v>
      </c>
    </row>
    <row r="15" spans="1:5" ht="24.95" customHeight="1" x14ac:dyDescent="0.35">
      <c r="A15" s="3">
        <v>7</v>
      </c>
      <c r="B15" s="3" t="s">
        <v>89</v>
      </c>
      <c r="C15" s="3">
        <v>686</v>
      </c>
      <c r="D15" s="3">
        <v>314</v>
      </c>
      <c r="E15" s="3">
        <v>372</v>
      </c>
    </row>
    <row r="16" spans="1:5" ht="24.95" customHeight="1" x14ac:dyDescent="0.35">
      <c r="A16" s="3">
        <v>8</v>
      </c>
      <c r="B16" s="3" t="s">
        <v>90</v>
      </c>
      <c r="C16" s="3">
        <v>223</v>
      </c>
      <c r="D16" s="3">
        <v>119</v>
      </c>
      <c r="E16" s="3">
        <v>104</v>
      </c>
    </row>
    <row r="17" spans="1:5" ht="24.95" customHeight="1" x14ac:dyDescent="0.35">
      <c r="A17" s="3">
        <v>9</v>
      </c>
      <c r="B17" s="3" t="s">
        <v>91</v>
      </c>
      <c r="C17" s="3">
        <v>1977</v>
      </c>
      <c r="D17" s="3">
        <v>961</v>
      </c>
      <c r="E17" s="3">
        <v>1016</v>
      </c>
    </row>
    <row r="18" spans="1:5" ht="24.95" customHeight="1" x14ac:dyDescent="0.35">
      <c r="A18" s="3">
        <v>10</v>
      </c>
      <c r="B18" s="3" t="s">
        <v>92</v>
      </c>
      <c r="C18" s="3">
        <v>1935</v>
      </c>
      <c r="D18" s="3">
        <v>913</v>
      </c>
      <c r="E18" s="3">
        <v>1022</v>
      </c>
    </row>
    <row r="19" spans="1:5" ht="24.95" customHeight="1" x14ac:dyDescent="0.35">
      <c r="A19" s="3">
        <v>11</v>
      </c>
      <c r="B19" s="3" t="s">
        <v>93</v>
      </c>
      <c r="C19" s="3">
        <v>3546</v>
      </c>
      <c r="D19" s="3">
        <v>1726</v>
      </c>
      <c r="E19" s="3">
        <v>1820</v>
      </c>
    </row>
    <row r="20" spans="1:5" ht="24.95" customHeight="1" x14ac:dyDescent="0.35">
      <c r="A20" s="3">
        <v>12</v>
      </c>
      <c r="B20" s="3" t="s">
        <v>94</v>
      </c>
      <c r="C20" s="3">
        <v>2865</v>
      </c>
      <c r="D20" s="3">
        <v>1329</v>
      </c>
      <c r="E20" s="3">
        <v>1536</v>
      </c>
    </row>
    <row r="21" spans="1:5" ht="24.95" customHeight="1" x14ac:dyDescent="0.35">
      <c r="A21" s="3">
        <v>13</v>
      </c>
      <c r="B21" s="3" t="s">
        <v>95</v>
      </c>
      <c r="C21" s="3">
        <v>1709</v>
      </c>
      <c r="D21" s="3">
        <v>798</v>
      </c>
      <c r="E21" s="3">
        <v>911</v>
      </c>
    </row>
    <row r="22" spans="1:5" ht="24.95" customHeight="1" x14ac:dyDescent="0.35">
      <c r="A22" s="3">
        <v>14</v>
      </c>
      <c r="B22" s="3" t="s">
        <v>96</v>
      </c>
      <c r="C22" s="3">
        <v>1078</v>
      </c>
      <c r="D22" s="3">
        <v>484</v>
      </c>
      <c r="E22" s="3">
        <v>594</v>
      </c>
    </row>
    <row r="23" spans="1:5" ht="24.95" customHeight="1" x14ac:dyDescent="0.35">
      <c r="A23" s="3">
        <v>15</v>
      </c>
      <c r="B23" s="3" t="s">
        <v>97</v>
      </c>
      <c r="C23" s="3">
        <v>1204</v>
      </c>
      <c r="D23" s="3">
        <v>566</v>
      </c>
      <c r="E23" s="3">
        <v>638</v>
      </c>
    </row>
    <row r="24" spans="1:5" ht="24.95" customHeight="1" x14ac:dyDescent="0.35">
      <c r="A24" s="3">
        <v>16</v>
      </c>
      <c r="B24" s="3" t="s">
        <v>98</v>
      </c>
      <c r="C24" s="3">
        <v>1034</v>
      </c>
      <c r="D24" s="3">
        <v>481</v>
      </c>
      <c r="E24" s="3">
        <v>553</v>
      </c>
    </row>
    <row r="25" spans="1:5" ht="24.95" customHeight="1" x14ac:dyDescent="0.35">
      <c r="A25" s="3">
        <v>17</v>
      </c>
      <c r="B25" s="3" t="s">
        <v>99</v>
      </c>
      <c r="C25" s="3">
        <v>763</v>
      </c>
      <c r="D25" s="3">
        <v>351</v>
      </c>
      <c r="E25" s="3">
        <v>412</v>
      </c>
    </row>
    <row r="26" spans="1:5" ht="24.95" customHeight="1" x14ac:dyDescent="0.35">
      <c r="A26" s="3">
        <v>18</v>
      </c>
      <c r="B26" s="3" t="s">
        <v>100</v>
      </c>
      <c r="C26" s="3">
        <v>272</v>
      </c>
      <c r="D26" s="3">
        <v>151</v>
      </c>
      <c r="E26" s="3">
        <v>121</v>
      </c>
    </row>
    <row r="27" spans="1:5" ht="24.95" customHeight="1" x14ac:dyDescent="0.35">
      <c r="A27" s="3">
        <v>19</v>
      </c>
      <c r="B27" s="3" t="s">
        <v>100</v>
      </c>
      <c r="C27" s="3">
        <v>254</v>
      </c>
      <c r="D27" s="3">
        <v>150</v>
      </c>
      <c r="E27" s="3">
        <v>104</v>
      </c>
    </row>
    <row r="28" spans="1:5" ht="24.95" customHeight="1" x14ac:dyDescent="0.35">
      <c r="A28" s="3"/>
      <c r="B28" s="2" t="s">
        <v>251</v>
      </c>
      <c r="C28" s="2">
        <f>SUM(C29:C46)</f>
        <v>72054</v>
      </c>
      <c r="D28" s="2">
        <f t="shared" ref="D28:E28" si="1">SUM(D29:D46)</f>
        <v>35308</v>
      </c>
      <c r="E28" s="2">
        <f t="shared" si="1"/>
        <v>36746</v>
      </c>
    </row>
    <row r="29" spans="1:5" ht="24.95" customHeight="1" x14ac:dyDescent="0.35">
      <c r="A29" s="3">
        <v>1</v>
      </c>
      <c r="B29" s="3" t="s">
        <v>101</v>
      </c>
      <c r="C29" s="3">
        <v>6342</v>
      </c>
      <c r="D29" s="3">
        <v>3171</v>
      </c>
      <c r="E29" s="3">
        <v>3171</v>
      </c>
    </row>
    <row r="30" spans="1:5" ht="24.95" customHeight="1" x14ac:dyDescent="0.35">
      <c r="A30" s="3">
        <v>2</v>
      </c>
      <c r="B30" s="3" t="s">
        <v>102</v>
      </c>
      <c r="C30" s="3">
        <v>5269</v>
      </c>
      <c r="D30" s="3">
        <v>2570</v>
      </c>
      <c r="E30" s="3">
        <v>2699</v>
      </c>
    </row>
    <row r="31" spans="1:5" ht="24.95" customHeight="1" x14ac:dyDescent="0.35">
      <c r="A31" s="3">
        <v>3</v>
      </c>
      <c r="B31" s="3" t="s">
        <v>103</v>
      </c>
      <c r="C31" s="3">
        <v>7326</v>
      </c>
      <c r="D31" s="3">
        <v>3455</v>
      </c>
      <c r="E31" s="3">
        <v>3871</v>
      </c>
    </row>
    <row r="32" spans="1:5" ht="24.95" customHeight="1" x14ac:dyDescent="0.35">
      <c r="A32" s="3">
        <v>4</v>
      </c>
      <c r="B32" s="3" t="s">
        <v>104</v>
      </c>
      <c r="C32" s="3">
        <v>3257</v>
      </c>
      <c r="D32" s="3">
        <v>1581</v>
      </c>
      <c r="E32" s="3">
        <v>1676</v>
      </c>
    </row>
    <row r="33" spans="1:5" ht="24.95" customHeight="1" x14ac:dyDescent="0.35">
      <c r="A33" s="3">
        <v>5</v>
      </c>
      <c r="B33" s="3" t="s">
        <v>105</v>
      </c>
      <c r="C33" s="3">
        <v>7826</v>
      </c>
      <c r="D33" s="3">
        <v>3864</v>
      </c>
      <c r="E33" s="3">
        <v>3962</v>
      </c>
    </row>
    <row r="34" spans="1:5" ht="24.95" customHeight="1" x14ac:dyDescent="0.35">
      <c r="A34" s="3">
        <v>6</v>
      </c>
      <c r="B34" s="3" t="s">
        <v>106</v>
      </c>
      <c r="C34" s="3">
        <v>2660</v>
      </c>
      <c r="D34" s="3">
        <v>1278</v>
      </c>
      <c r="E34" s="3">
        <v>1382</v>
      </c>
    </row>
    <row r="35" spans="1:5" ht="24.95" customHeight="1" x14ac:dyDescent="0.35">
      <c r="A35" s="3">
        <v>7</v>
      </c>
      <c r="B35" s="3" t="s">
        <v>107</v>
      </c>
      <c r="C35" s="3">
        <v>4377</v>
      </c>
      <c r="D35" s="3">
        <v>2087</v>
      </c>
      <c r="E35" s="3">
        <v>2290</v>
      </c>
    </row>
    <row r="36" spans="1:5" ht="24.95" customHeight="1" x14ac:dyDescent="0.35">
      <c r="A36" s="3">
        <v>8</v>
      </c>
      <c r="B36" s="3" t="s">
        <v>108</v>
      </c>
      <c r="C36" s="3">
        <v>4308</v>
      </c>
      <c r="D36" s="3">
        <v>2022</v>
      </c>
      <c r="E36" s="3">
        <v>2286</v>
      </c>
    </row>
    <row r="37" spans="1:5" ht="24.95" customHeight="1" x14ac:dyDescent="0.35">
      <c r="A37" s="3">
        <v>9</v>
      </c>
      <c r="B37" s="3" t="s">
        <v>109</v>
      </c>
      <c r="C37" s="3">
        <v>5724</v>
      </c>
      <c r="D37" s="3">
        <v>2887</v>
      </c>
      <c r="E37" s="3">
        <v>2837</v>
      </c>
    </row>
    <row r="38" spans="1:5" ht="24.95" customHeight="1" x14ac:dyDescent="0.35">
      <c r="A38" s="3">
        <v>10</v>
      </c>
      <c r="B38" s="3" t="s">
        <v>110</v>
      </c>
      <c r="C38" s="3">
        <v>2959</v>
      </c>
      <c r="D38" s="3">
        <v>1430</v>
      </c>
      <c r="E38" s="3">
        <v>1529</v>
      </c>
    </row>
    <row r="39" spans="1:5" ht="24.95" customHeight="1" x14ac:dyDescent="0.35">
      <c r="A39" s="3">
        <v>11</v>
      </c>
      <c r="B39" s="3" t="s">
        <v>111</v>
      </c>
      <c r="C39" s="3">
        <v>5039</v>
      </c>
      <c r="D39" s="3">
        <v>2616</v>
      </c>
      <c r="E39" s="3">
        <v>2423</v>
      </c>
    </row>
    <row r="40" spans="1:5" ht="24.95" customHeight="1" x14ac:dyDescent="0.35">
      <c r="A40" s="3">
        <v>12</v>
      </c>
      <c r="B40" s="3" t="s">
        <v>112</v>
      </c>
      <c r="C40" s="3">
        <v>2482</v>
      </c>
      <c r="D40" s="3">
        <v>1224</v>
      </c>
      <c r="E40" s="3">
        <v>1258</v>
      </c>
    </row>
    <row r="41" spans="1:5" ht="24.95" customHeight="1" x14ac:dyDescent="0.35">
      <c r="A41" s="3">
        <v>13</v>
      </c>
      <c r="B41" s="3" t="s">
        <v>113</v>
      </c>
      <c r="C41" s="3">
        <v>1671</v>
      </c>
      <c r="D41" s="3">
        <v>787</v>
      </c>
      <c r="E41" s="3">
        <v>884</v>
      </c>
    </row>
    <row r="42" spans="1:5" ht="24.95" customHeight="1" x14ac:dyDescent="0.35">
      <c r="A42" s="3">
        <v>14</v>
      </c>
      <c r="B42" s="3" t="s">
        <v>114</v>
      </c>
      <c r="C42" s="3">
        <v>1399</v>
      </c>
      <c r="D42" s="3">
        <v>664</v>
      </c>
      <c r="E42" s="3">
        <v>735</v>
      </c>
    </row>
    <row r="43" spans="1:5" ht="24.95" customHeight="1" x14ac:dyDescent="0.35">
      <c r="A43" s="3">
        <v>15</v>
      </c>
      <c r="B43" s="3" t="s">
        <v>115</v>
      </c>
      <c r="C43" s="3">
        <v>2919</v>
      </c>
      <c r="D43" s="3">
        <v>1454</v>
      </c>
      <c r="E43" s="3">
        <v>1465</v>
      </c>
    </row>
    <row r="44" spans="1:5" ht="24.95" customHeight="1" x14ac:dyDescent="0.35">
      <c r="A44" s="3">
        <v>16</v>
      </c>
      <c r="B44" s="3" t="s">
        <v>116</v>
      </c>
      <c r="C44" s="3">
        <v>4502</v>
      </c>
      <c r="D44" s="3">
        <v>2218</v>
      </c>
      <c r="E44" s="3">
        <v>2284</v>
      </c>
    </row>
    <row r="45" spans="1:5" ht="24.95" customHeight="1" x14ac:dyDescent="0.35">
      <c r="A45" s="3">
        <v>17</v>
      </c>
      <c r="B45" s="3" t="s">
        <v>117</v>
      </c>
      <c r="C45" s="3">
        <v>2351</v>
      </c>
      <c r="D45" s="3">
        <v>1178</v>
      </c>
      <c r="E45" s="3">
        <v>1173</v>
      </c>
    </row>
    <row r="46" spans="1:5" ht="24.95" customHeight="1" x14ac:dyDescent="0.35">
      <c r="A46" s="4">
        <v>18</v>
      </c>
      <c r="B46" s="4" t="s">
        <v>118</v>
      </c>
      <c r="C46" s="4">
        <v>1643</v>
      </c>
      <c r="D46" s="4">
        <v>822</v>
      </c>
      <c r="E46" s="4">
        <v>821</v>
      </c>
    </row>
    <row r="47" spans="1:5" x14ac:dyDescent="0.35">
      <c r="A47" s="18"/>
    </row>
  </sheetData>
  <mergeCells count="4">
    <mergeCell ref="A4:A5"/>
    <mergeCell ref="B4:B5"/>
    <mergeCell ref="C4:E4"/>
    <mergeCell ref="A1:E1"/>
  </mergeCells>
  <hyperlinks>
    <hyperlink ref="A1:E1" location="'List of Township'!A1" display="Nay Pyi Taw (Council),Ottara  District, Pobbathiri Township"/>
  </hyperlinks>
  <pageMargins left="0.75" right="0.5" top="0.5" bottom="0.25" header="0.3" footer="0.3"/>
  <pageSetup paperSize="9" scale="9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selection sqref="A1:E1"/>
    </sheetView>
  </sheetViews>
  <sheetFormatPr defaultRowHeight="21" x14ac:dyDescent="0.35"/>
  <cols>
    <col min="1" max="1" width="7.5703125" style="14" customWidth="1"/>
    <col min="2" max="2" width="33.42578125" style="14" customWidth="1"/>
    <col min="3" max="5" width="15.7109375" style="14" customWidth="1"/>
    <col min="6" max="6" width="9.140625" style="14"/>
    <col min="7" max="7" width="27.7109375" style="14" customWidth="1"/>
    <col min="8" max="8" width="12" style="14" customWidth="1"/>
    <col min="9" max="16384" width="9.140625" style="14"/>
  </cols>
  <sheetData>
    <row r="1" spans="1:7" ht="21" customHeight="1" x14ac:dyDescent="0.35">
      <c r="A1" s="30" t="s">
        <v>247</v>
      </c>
      <c r="B1" s="30"/>
      <c r="C1" s="30"/>
      <c r="D1" s="30"/>
      <c r="E1" s="30"/>
    </row>
    <row r="2" spans="1:7" ht="21" customHeight="1" x14ac:dyDescent="0.35">
      <c r="E2" s="22" t="s">
        <v>242</v>
      </c>
      <c r="F2" s="16"/>
    </row>
    <row r="3" spans="1:7" ht="21" customHeight="1" x14ac:dyDescent="0.35">
      <c r="G3" s="17"/>
    </row>
    <row r="4" spans="1:7" x14ac:dyDescent="0.35">
      <c r="A4" s="25" t="s">
        <v>239</v>
      </c>
      <c r="B4" s="25" t="s">
        <v>252</v>
      </c>
      <c r="C4" s="27" t="s">
        <v>240</v>
      </c>
      <c r="D4" s="28"/>
      <c r="E4" s="29"/>
    </row>
    <row r="5" spans="1:7" ht="27.75" customHeight="1" x14ac:dyDescent="0.35">
      <c r="A5" s="26"/>
      <c r="B5" s="26"/>
      <c r="C5" s="5" t="s">
        <v>0</v>
      </c>
      <c r="D5" s="5" t="s">
        <v>1</v>
      </c>
      <c r="E5" s="5" t="s">
        <v>2</v>
      </c>
    </row>
    <row r="6" spans="1:7" ht="23.25" customHeight="1" x14ac:dyDescent="0.35">
      <c r="A6" s="15"/>
      <c r="B6" s="7" t="s">
        <v>0</v>
      </c>
      <c r="C6" s="7">
        <v>187565</v>
      </c>
      <c r="D6" s="7">
        <v>90731</v>
      </c>
      <c r="E6" s="7">
        <v>96834</v>
      </c>
    </row>
    <row r="7" spans="1:7" ht="12.75" customHeight="1" x14ac:dyDescent="0.35">
      <c r="A7" s="9"/>
      <c r="B7" s="3"/>
      <c r="C7" s="3"/>
      <c r="D7" s="3"/>
      <c r="E7" s="3"/>
    </row>
    <row r="8" spans="1:7" ht="24.95" customHeight="1" x14ac:dyDescent="0.35">
      <c r="A8" s="9"/>
      <c r="B8" s="2" t="s">
        <v>241</v>
      </c>
      <c r="C8" s="2">
        <f>SUM(C9:C14)</f>
        <v>72010</v>
      </c>
      <c r="D8" s="2">
        <f t="shared" ref="D8:E8" si="0">SUM(D9:D14)</f>
        <v>34214</v>
      </c>
      <c r="E8" s="2">
        <f t="shared" si="0"/>
        <v>37796</v>
      </c>
    </row>
    <row r="9" spans="1:7" ht="24.95" customHeight="1" x14ac:dyDescent="0.35">
      <c r="A9" s="10">
        <v>1</v>
      </c>
      <c r="B9" s="3" t="s">
        <v>119</v>
      </c>
      <c r="C9" s="3">
        <v>30293</v>
      </c>
      <c r="D9" s="3">
        <v>14489</v>
      </c>
      <c r="E9" s="3">
        <v>15804</v>
      </c>
    </row>
    <row r="10" spans="1:7" ht="24.95" customHeight="1" x14ac:dyDescent="0.35">
      <c r="A10" s="10">
        <v>2</v>
      </c>
      <c r="B10" s="3" t="s">
        <v>120</v>
      </c>
      <c r="C10" s="3">
        <v>8000</v>
      </c>
      <c r="D10" s="3">
        <v>3630</v>
      </c>
      <c r="E10" s="3">
        <v>4370</v>
      </c>
    </row>
    <row r="11" spans="1:7" ht="24.95" customHeight="1" x14ac:dyDescent="0.35">
      <c r="A11" s="10">
        <v>3</v>
      </c>
      <c r="B11" s="3" t="s">
        <v>121</v>
      </c>
      <c r="C11" s="3">
        <v>13943</v>
      </c>
      <c r="D11" s="3">
        <v>6694</v>
      </c>
      <c r="E11" s="3">
        <v>7249</v>
      </c>
    </row>
    <row r="12" spans="1:7" ht="24.95" customHeight="1" x14ac:dyDescent="0.35">
      <c r="A12" s="10">
        <v>4</v>
      </c>
      <c r="B12" s="3" t="s">
        <v>122</v>
      </c>
      <c r="C12" s="3">
        <v>10081</v>
      </c>
      <c r="D12" s="3">
        <v>4604</v>
      </c>
      <c r="E12" s="3">
        <v>5477</v>
      </c>
    </row>
    <row r="13" spans="1:7" ht="24.95" customHeight="1" x14ac:dyDescent="0.35">
      <c r="A13" s="10">
        <v>5</v>
      </c>
      <c r="B13" s="3" t="s">
        <v>123</v>
      </c>
      <c r="C13" s="3">
        <v>6324</v>
      </c>
      <c r="D13" s="3">
        <v>2939</v>
      </c>
      <c r="E13" s="3">
        <v>3385</v>
      </c>
    </row>
    <row r="14" spans="1:7" ht="24.95" customHeight="1" x14ac:dyDescent="0.35">
      <c r="A14" s="10">
        <v>6</v>
      </c>
      <c r="B14" s="3" t="s">
        <v>124</v>
      </c>
      <c r="C14" s="3">
        <v>3369</v>
      </c>
      <c r="D14" s="3">
        <v>1858</v>
      </c>
      <c r="E14" s="3">
        <v>1511</v>
      </c>
    </row>
    <row r="15" spans="1:7" ht="24.95" customHeight="1" x14ac:dyDescent="0.35">
      <c r="A15" s="9"/>
      <c r="B15" s="2" t="s">
        <v>251</v>
      </c>
      <c r="C15" s="2">
        <f>SUM(C16:C45)</f>
        <v>115555</v>
      </c>
      <c r="D15" s="2">
        <f t="shared" ref="D15:E15" si="1">SUM(D16:D45)</f>
        <v>56517</v>
      </c>
      <c r="E15" s="2">
        <f t="shared" si="1"/>
        <v>59038</v>
      </c>
    </row>
    <row r="16" spans="1:7" ht="24.95" customHeight="1" x14ac:dyDescent="0.35">
      <c r="A16" s="10">
        <v>1</v>
      </c>
      <c r="B16" s="3" t="s">
        <v>125</v>
      </c>
      <c r="C16" s="3">
        <v>10620</v>
      </c>
      <c r="D16" s="3">
        <v>5111</v>
      </c>
      <c r="E16" s="3">
        <v>5509</v>
      </c>
    </row>
    <row r="17" spans="1:5" ht="24.95" customHeight="1" x14ac:dyDescent="0.35">
      <c r="A17" s="10">
        <v>2</v>
      </c>
      <c r="B17" s="3" t="s">
        <v>126</v>
      </c>
      <c r="C17" s="3">
        <v>5651</v>
      </c>
      <c r="D17" s="3">
        <v>2676</v>
      </c>
      <c r="E17" s="3">
        <v>2975</v>
      </c>
    </row>
    <row r="18" spans="1:5" ht="24.95" customHeight="1" x14ac:dyDescent="0.35">
      <c r="A18" s="10">
        <v>3</v>
      </c>
      <c r="B18" s="3" t="s">
        <v>127</v>
      </c>
      <c r="C18" s="3">
        <v>7048</v>
      </c>
      <c r="D18" s="3">
        <v>3474</v>
      </c>
      <c r="E18" s="3">
        <v>3574</v>
      </c>
    </row>
    <row r="19" spans="1:5" ht="24.95" customHeight="1" x14ac:dyDescent="0.35">
      <c r="A19" s="10">
        <v>4</v>
      </c>
      <c r="B19" s="3" t="s">
        <v>46</v>
      </c>
      <c r="C19" s="3">
        <v>1995</v>
      </c>
      <c r="D19" s="3">
        <v>988</v>
      </c>
      <c r="E19" s="3">
        <v>1007</v>
      </c>
    </row>
    <row r="20" spans="1:5" ht="24.95" customHeight="1" x14ac:dyDescent="0.35">
      <c r="A20" s="10">
        <v>5</v>
      </c>
      <c r="B20" s="3" t="s">
        <v>128</v>
      </c>
      <c r="C20" s="3">
        <v>2348</v>
      </c>
      <c r="D20" s="3">
        <v>1113</v>
      </c>
      <c r="E20" s="3">
        <v>1235</v>
      </c>
    </row>
    <row r="21" spans="1:5" ht="24.95" customHeight="1" x14ac:dyDescent="0.35">
      <c r="A21" s="10">
        <v>6</v>
      </c>
      <c r="B21" s="3" t="s">
        <v>129</v>
      </c>
      <c r="C21" s="3">
        <v>1701</v>
      </c>
      <c r="D21" s="3">
        <v>816</v>
      </c>
      <c r="E21" s="3">
        <v>885</v>
      </c>
    </row>
    <row r="22" spans="1:5" ht="24.95" customHeight="1" x14ac:dyDescent="0.35">
      <c r="A22" s="10">
        <v>7</v>
      </c>
      <c r="B22" s="3" t="s">
        <v>130</v>
      </c>
      <c r="C22" s="3">
        <v>4657</v>
      </c>
      <c r="D22" s="3">
        <v>2191</v>
      </c>
      <c r="E22" s="3">
        <v>2466</v>
      </c>
    </row>
    <row r="23" spans="1:5" ht="24.95" customHeight="1" x14ac:dyDescent="0.35">
      <c r="A23" s="10">
        <v>8</v>
      </c>
      <c r="B23" s="3" t="s">
        <v>131</v>
      </c>
      <c r="C23" s="3">
        <v>4532</v>
      </c>
      <c r="D23" s="3">
        <v>2232</v>
      </c>
      <c r="E23" s="3">
        <v>2300</v>
      </c>
    </row>
    <row r="24" spans="1:5" ht="24.95" customHeight="1" x14ac:dyDescent="0.35">
      <c r="A24" s="10">
        <v>9</v>
      </c>
      <c r="B24" s="3" t="s">
        <v>132</v>
      </c>
      <c r="C24" s="3">
        <v>3026</v>
      </c>
      <c r="D24" s="3">
        <v>1476</v>
      </c>
      <c r="E24" s="3">
        <v>1550</v>
      </c>
    </row>
    <row r="25" spans="1:5" ht="24.95" customHeight="1" x14ac:dyDescent="0.35">
      <c r="A25" s="10">
        <v>10</v>
      </c>
      <c r="B25" s="3" t="s">
        <v>133</v>
      </c>
      <c r="C25" s="3">
        <v>13570</v>
      </c>
      <c r="D25" s="3">
        <v>6386</v>
      </c>
      <c r="E25" s="3">
        <v>7184</v>
      </c>
    </row>
    <row r="26" spans="1:5" ht="24.95" customHeight="1" x14ac:dyDescent="0.35">
      <c r="A26" s="10">
        <v>11</v>
      </c>
      <c r="B26" s="3" t="s">
        <v>134</v>
      </c>
      <c r="C26" s="3">
        <v>861</v>
      </c>
      <c r="D26" s="3">
        <v>392</v>
      </c>
      <c r="E26" s="3">
        <v>469</v>
      </c>
    </row>
    <row r="27" spans="1:5" ht="24.95" customHeight="1" x14ac:dyDescent="0.35">
      <c r="A27" s="10">
        <v>12</v>
      </c>
      <c r="B27" s="3" t="s">
        <v>135</v>
      </c>
      <c r="C27" s="3">
        <v>5549</v>
      </c>
      <c r="D27" s="3">
        <v>2602</v>
      </c>
      <c r="E27" s="3">
        <v>2947</v>
      </c>
    </row>
    <row r="28" spans="1:5" ht="24.95" customHeight="1" x14ac:dyDescent="0.35">
      <c r="A28" s="10">
        <v>13</v>
      </c>
      <c r="B28" s="3" t="s">
        <v>136</v>
      </c>
      <c r="C28" s="3">
        <v>2720</v>
      </c>
      <c r="D28" s="3">
        <v>1312</v>
      </c>
      <c r="E28" s="3">
        <v>1408</v>
      </c>
    </row>
    <row r="29" spans="1:5" ht="24.95" customHeight="1" x14ac:dyDescent="0.35">
      <c r="A29" s="10">
        <v>14</v>
      </c>
      <c r="B29" s="3" t="s">
        <v>137</v>
      </c>
      <c r="C29" s="3">
        <v>1832</v>
      </c>
      <c r="D29" s="3">
        <v>867</v>
      </c>
      <c r="E29" s="3">
        <v>965</v>
      </c>
    </row>
    <row r="30" spans="1:5" ht="24.95" customHeight="1" x14ac:dyDescent="0.35">
      <c r="A30" s="10">
        <v>15</v>
      </c>
      <c r="B30" s="3" t="s">
        <v>138</v>
      </c>
      <c r="C30" s="3">
        <v>3666</v>
      </c>
      <c r="D30" s="3">
        <v>1756</v>
      </c>
      <c r="E30" s="3">
        <v>1910</v>
      </c>
    </row>
    <row r="31" spans="1:5" ht="24.95" customHeight="1" x14ac:dyDescent="0.35">
      <c r="A31" s="10">
        <v>16</v>
      </c>
      <c r="B31" s="3" t="s">
        <v>139</v>
      </c>
      <c r="C31" s="3">
        <v>2944</v>
      </c>
      <c r="D31" s="3">
        <v>1431</v>
      </c>
      <c r="E31" s="3">
        <v>1513</v>
      </c>
    </row>
    <row r="32" spans="1:5" ht="24.95" customHeight="1" x14ac:dyDescent="0.35">
      <c r="A32" s="10">
        <v>17</v>
      </c>
      <c r="B32" s="3" t="s">
        <v>117</v>
      </c>
      <c r="C32" s="3">
        <v>1948</v>
      </c>
      <c r="D32" s="3">
        <v>961</v>
      </c>
      <c r="E32" s="3">
        <v>987</v>
      </c>
    </row>
    <row r="33" spans="1:5" ht="24.95" customHeight="1" x14ac:dyDescent="0.35">
      <c r="A33" s="10">
        <v>18</v>
      </c>
      <c r="B33" s="3" t="s">
        <v>140</v>
      </c>
      <c r="C33" s="3">
        <v>2771</v>
      </c>
      <c r="D33" s="3">
        <v>1322</v>
      </c>
      <c r="E33" s="3">
        <v>1449</v>
      </c>
    </row>
    <row r="34" spans="1:5" ht="24.95" customHeight="1" x14ac:dyDescent="0.35">
      <c r="A34" s="10">
        <v>19</v>
      </c>
      <c r="B34" s="3" t="s">
        <v>141</v>
      </c>
      <c r="C34" s="3">
        <v>4717</v>
      </c>
      <c r="D34" s="3">
        <v>2280</v>
      </c>
      <c r="E34" s="3">
        <v>2437</v>
      </c>
    </row>
    <row r="35" spans="1:5" ht="24.95" customHeight="1" x14ac:dyDescent="0.35">
      <c r="A35" s="10">
        <v>20</v>
      </c>
      <c r="B35" s="3" t="s">
        <v>142</v>
      </c>
      <c r="C35" s="3">
        <v>1851</v>
      </c>
      <c r="D35" s="3">
        <v>899</v>
      </c>
      <c r="E35" s="3">
        <v>952</v>
      </c>
    </row>
    <row r="36" spans="1:5" ht="24.95" customHeight="1" x14ac:dyDescent="0.35">
      <c r="A36" s="10">
        <v>21</v>
      </c>
      <c r="B36" s="3" t="s">
        <v>143</v>
      </c>
      <c r="C36" s="3">
        <v>599</v>
      </c>
      <c r="D36" s="3">
        <v>303</v>
      </c>
      <c r="E36" s="3">
        <v>296</v>
      </c>
    </row>
    <row r="37" spans="1:5" ht="24.95" customHeight="1" x14ac:dyDescent="0.35">
      <c r="A37" s="10">
        <v>22</v>
      </c>
      <c r="B37" s="3" t="s">
        <v>144</v>
      </c>
      <c r="C37" s="3">
        <v>10160</v>
      </c>
      <c r="D37" s="3">
        <v>4968</v>
      </c>
      <c r="E37" s="3">
        <v>5192</v>
      </c>
    </row>
    <row r="38" spans="1:5" ht="24.95" customHeight="1" x14ac:dyDescent="0.35">
      <c r="A38" s="10">
        <v>23</v>
      </c>
      <c r="B38" s="3" t="s">
        <v>145</v>
      </c>
      <c r="C38" s="3">
        <v>866</v>
      </c>
      <c r="D38" s="3">
        <v>454</v>
      </c>
      <c r="E38" s="3">
        <v>412</v>
      </c>
    </row>
    <row r="39" spans="1:5" ht="24.95" customHeight="1" x14ac:dyDescent="0.35">
      <c r="A39" s="10">
        <v>24</v>
      </c>
      <c r="B39" s="3" t="s">
        <v>146</v>
      </c>
      <c r="C39" s="3">
        <v>1521</v>
      </c>
      <c r="D39" s="3">
        <v>837</v>
      </c>
      <c r="E39" s="3">
        <v>684</v>
      </c>
    </row>
    <row r="40" spans="1:5" ht="24.95" customHeight="1" x14ac:dyDescent="0.35">
      <c r="A40" s="10">
        <v>25</v>
      </c>
      <c r="B40" s="3" t="s">
        <v>147</v>
      </c>
      <c r="C40" s="3">
        <v>6539</v>
      </c>
      <c r="D40" s="3">
        <v>3397</v>
      </c>
      <c r="E40" s="3">
        <v>3142</v>
      </c>
    </row>
    <row r="41" spans="1:5" ht="24.95" customHeight="1" x14ac:dyDescent="0.35">
      <c r="A41" s="10">
        <v>26</v>
      </c>
      <c r="B41" s="3" t="s">
        <v>148</v>
      </c>
      <c r="C41" s="3">
        <v>4563</v>
      </c>
      <c r="D41" s="3">
        <v>2507</v>
      </c>
      <c r="E41" s="3">
        <v>2056</v>
      </c>
    </row>
    <row r="42" spans="1:5" ht="24.95" customHeight="1" x14ac:dyDescent="0.35">
      <c r="A42" s="10">
        <v>27</v>
      </c>
      <c r="B42" s="3" t="s">
        <v>149</v>
      </c>
      <c r="C42" s="3">
        <v>1270</v>
      </c>
      <c r="D42" s="3">
        <v>719</v>
      </c>
      <c r="E42" s="3">
        <v>551</v>
      </c>
    </row>
    <row r="43" spans="1:5" ht="24.95" customHeight="1" x14ac:dyDescent="0.35">
      <c r="A43" s="10">
        <v>28</v>
      </c>
      <c r="B43" s="3" t="s">
        <v>150</v>
      </c>
      <c r="C43" s="3">
        <v>1726</v>
      </c>
      <c r="D43" s="3">
        <v>963</v>
      </c>
      <c r="E43" s="3">
        <v>763</v>
      </c>
    </row>
    <row r="44" spans="1:5" ht="24.95" customHeight="1" x14ac:dyDescent="0.35">
      <c r="A44" s="10">
        <v>29</v>
      </c>
      <c r="B44" s="3" t="s">
        <v>151</v>
      </c>
      <c r="C44" s="3">
        <v>2466</v>
      </c>
      <c r="D44" s="3">
        <v>1230</v>
      </c>
      <c r="E44" s="3">
        <v>1236</v>
      </c>
    </row>
    <row r="45" spans="1:5" ht="24.95" customHeight="1" x14ac:dyDescent="0.35">
      <c r="A45" s="8">
        <v>30</v>
      </c>
      <c r="B45" s="4" t="s">
        <v>152</v>
      </c>
      <c r="C45" s="4">
        <v>1838</v>
      </c>
      <c r="D45" s="4">
        <v>854</v>
      </c>
      <c r="E45" s="4">
        <v>984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Nay Pyi Taw (Council), Dekkhina  District, Pyinmana Township"/>
  </hyperlinks>
  <pageMargins left="0.75" right="0.5" top="0.5" bottom="0.2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Views>
    <sheetView workbookViewId="0">
      <selection sqref="A1:E1"/>
    </sheetView>
  </sheetViews>
  <sheetFormatPr defaultRowHeight="27" customHeight="1" x14ac:dyDescent="0.35"/>
  <cols>
    <col min="1" max="1" width="7.28515625" style="14" customWidth="1"/>
    <col min="2" max="2" width="35" style="14" customWidth="1"/>
    <col min="3" max="5" width="13.7109375" style="14" customWidth="1"/>
    <col min="6" max="16384" width="9.140625" style="14"/>
  </cols>
  <sheetData>
    <row r="1" spans="1:5" ht="21" customHeight="1" x14ac:dyDescent="0.35">
      <c r="A1" s="31" t="s">
        <v>248</v>
      </c>
      <c r="B1" s="31"/>
      <c r="C1" s="31"/>
      <c r="D1" s="31"/>
      <c r="E1" s="31"/>
    </row>
    <row r="2" spans="1:5" ht="21" customHeight="1" x14ac:dyDescent="0.35">
      <c r="E2" s="22" t="s">
        <v>242</v>
      </c>
    </row>
    <row r="3" spans="1:5" ht="21" customHeight="1" x14ac:dyDescent="0.35">
      <c r="A3" s="13"/>
      <c r="B3" s="13"/>
      <c r="C3" s="13"/>
      <c r="D3" s="13"/>
    </row>
    <row r="4" spans="1:5" ht="21" x14ac:dyDescent="0.35">
      <c r="A4" s="25" t="s">
        <v>239</v>
      </c>
      <c r="B4" s="25" t="s">
        <v>252</v>
      </c>
      <c r="C4" s="27" t="s">
        <v>240</v>
      </c>
      <c r="D4" s="28"/>
      <c r="E4" s="29"/>
    </row>
    <row r="5" spans="1:5" ht="21" x14ac:dyDescent="0.35">
      <c r="A5" s="26"/>
      <c r="B5" s="26"/>
      <c r="C5" s="5" t="s">
        <v>0</v>
      </c>
      <c r="D5" s="5" t="s">
        <v>1</v>
      </c>
      <c r="E5" s="5" t="s">
        <v>2</v>
      </c>
    </row>
    <row r="6" spans="1:5" ht="25.5" customHeight="1" x14ac:dyDescent="0.35">
      <c r="A6" s="12"/>
      <c r="B6" s="7" t="s">
        <v>0</v>
      </c>
      <c r="C6" s="7">
        <f>C8+C15</f>
        <v>284393</v>
      </c>
      <c r="D6" s="7">
        <f t="shared" ref="D6:E6" si="0">D8+D15</f>
        <v>138135</v>
      </c>
      <c r="E6" s="7">
        <f t="shared" si="0"/>
        <v>146258</v>
      </c>
    </row>
    <row r="7" spans="1:5" ht="9.75" customHeight="1" x14ac:dyDescent="0.35">
      <c r="A7" s="3"/>
      <c r="B7" s="3"/>
      <c r="C7" s="3"/>
      <c r="D7" s="3"/>
      <c r="E7" s="3"/>
    </row>
    <row r="8" spans="1:5" ht="24.95" customHeight="1" x14ac:dyDescent="0.35">
      <c r="A8" s="3"/>
      <c r="B8" s="2" t="s">
        <v>241</v>
      </c>
      <c r="C8" s="2">
        <f>SUM(C9:C14)</f>
        <v>30208</v>
      </c>
      <c r="D8" s="2">
        <f t="shared" ref="D8:E8" si="1">SUM(D9:D14)</f>
        <v>14498</v>
      </c>
      <c r="E8" s="2">
        <f t="shared" si="1"/>
        <v>15710</v>
      </c>
    </row>
    <row r="9" spans="1:5" ht="24.95" customHeight="1" x14ac:dyDescent="0.35">
      <c r="A9" s="3">
        <v>1</v>
      </c>
      <c r="B9" s="3" t="s">
        <v>153</v>
      </c>
      <c r="C9" s="3">
        <v>5259</v>
      </c>
      <c r="D9" s="3">
        <v>2481</v>
      </c>
      <c r="E9" s="3">
        <v>2778</v>
      </c>
    </row>
    <row r="10" spans="1:5" ht="24.95" customHeight="1" x14ac:dyDescent="0.35">
      <c r="A10" s="3">
        <v>2</v>
      </c>
      <c r="B10" s="3" t="s">
        <v>154</v>
      </c>
      <c r="C10" s="3">
        <v>4357</v>
      </c>
      <c r="D10" s="3">
        <v>2146</v>
      </c>
      <c r="E10" s="3">
        <v>2211</v>
      </c>
    </row>
    <row r="11" spans="1:5" ht="24.95" customHeight="1" x14ac:dyDescent="0.35">
      <c r="A11" s="3">
        <v>3</v>
      </c>
      <c r="B11" s="3" t="s">
        <v>155</v>
      </c>
      <c r="C11" s="3">
        <v>4913</v>
      </c>
      <c r="D11" s="3">
        <v>2278</v>
      </c>
      <c r="E11" s="3">
        <v>2635</v>
      </c>
    </row>
    <row r="12" spans="1:5" ht="24.95" customHeight="1" x14ac:dyDescent="0.35">
      <c r="A12" s="3">
        <v>4</v>
      </c>
      <c r="B12" s="3" t="s">
        <v>156</v>
      </c>
      <c r="C12" s="3">
        <v>2903</v>
      </c>
      <c r="D12" s="3">
        <v>1340</v>
      </c>
      <c r="E12" s="3">
        <v>1563</v>
      </c>
    </row>
    <row r="13" spans="1:5" ht="24.95" customHeight="1" x14ac:dyDescent="0.35">
      <c r="A13" s="3">
        <v>5</v>
      </c>
      <c r="B13" s="3" t="s">
        <v>157</v>
      </c>
      <c r="C13" s="3">
        <v>3292</v>
      </c>
      <c r="D13" s="3">
        <v>1543</v>
      </c>
      <c r="E13" s="3">
        <v>1749</v>
      </c>
    </row>
    <row r="14" spans="1:5" ht="24.95" customHeight="1" x14ac:dyDescent="0.35">
      <c r="A14" s="3">
        <v>6</v>
      </c>
      <c r="B14" s="3" t="s">
        <v>158</v>
      </c>
      <c r="C14" s="3">
        <v>9484</v>
      </c>
      <c r="D14" s="3">
        <v>4710</v>
      </c>
      <c r="E14" s="3">
        <v>4774</v>
      </c>
    </row>
    <row r="15" spans="1:5" ht="24.95" customHeight="1" x14ac:dyDescent="0.35">
      <c r="A15" s="3"/>
      <c r="B15" s="2" t="s">
        <v>251</v>
      </c>
      <c r="C15" s="2">
        <f>SUM(C16:C74)</f>
        <v>254185</v>
      </c>
      <c r="D15" s="2">
        <f t="shared" ref="D15:E15" si="2">SUM(D16:D74)</f>
        <v>123637</v>
      </c>
      <c r="E15" s="2">
        <f t="shared" si="2"/>
        <v>130548</v>
      </c>
    </row>
    <row r="16" spans="1:5" ht="24.95" customHeight="1" x14ac:dyDescent="0.35">
      <c r="A16" s="3">
        <v>1</v>
      </c>
      <c r="B16" s="3" t="s">
        <v>159</v>
      </c>
      <c r="C16" s="3">
        <v>878</v>
      </c>
      <c r="D16" s="3">
        <v>409</v>
      </c>
      <c r="E16" s="3">
        <v>469</v>
      </c>
    </row>
    <row r="17" spans="1:5" ht="24.95" customHeight="1" x14ac:dyDescent="0.35">
      <c r="A17" s="3">
        <v>2</v>
      </c>
      <c r="B17" s="3" t="s">
        <v>160</v>
      </c>
      <c r="C17" s="3">
        <v>3942</v>
      </c>
      <c r="D17" s="3">
        <v>1883</v>
      </c>
      <c r="E17" s="3">
        <v>2059</v>
      </c>
    </row>
    <row r="18" spans="1:5" ht="24.95" customHeight="1" x14ac:dyDescent="0.35">
      <c r="A18" s="3">
        <v>3</v>
      </c>
      <c r="B18" s="3" t="s">
        <v>161</v>
      </c>
      <c r="C18" s="3">
        <v>6607</v>
      </c>
      <c r="D18" s="3">
        <v>3165</v>
      </c>
      <c r="E18" s="3">
        <v>3442</v>
      </c>
    </row>
    <row r="19" spans="1:5" ht="24.95" customHeight="1" x14ac:dyDescent="0.35">
      <c r="A19" s="3">
        <v>4</v>
      </c>
      <c r="B19" s="3" t="s">
        <v>162</v>
      </c>
      <c r="C19" s="3">
        <v>4611</v>
      </c>
      <c r="D19" s="3">
        <v>2259</v>
      </c>
      <c r="E19" s="3">
        <v>2352</v>
      </c>
    </row>
    <row r="20" spans="1:5" ht="24.95" customHeight="1" x14ac:dyDescent="0.35">
      <c r="A20" s="3">
        <v>5</v>
      </c>
      <c r="B20" s="3" t="s">
        <v>163</v>
      </c>
      <c r="C20" s="3">
        <v>3069</v>
      </c>
      <c r="D20" s="3">
        <v>1447</v>
      </c>
      <c r="E20" s="3">
        <v>1622</v>
      </c>
    </row>
    <row r="21" spans="1:5" ht="24.95" customHeight="1" x14ac:dyDescent="0.35">
      <c r="A21" s="3">
        <v>6</v>
      </c>
      <c r="B21" s="3" t="s">
        <v>164</v>
      </c>
      <c r="C21" s="3">
        <v>3803</v>
      </c>
      <c r="D21" s="3">
        <v>1900</v>
      </c>
      <c r="E21" s="3">
        <v>1903</v>
      </c>
    </row>
    <row r="22" spans="1:5" ht="24.95" customHeight="1" x14ac:dyDescent="0.35">
      <c r="A22" s="3">
        <v>7</v>
      </c>
      <c r="B22" s="3" t="s">
        <v>165</v>
      </c>
      <c r="C22" s="3">
        <v>2410</v>
      </c>
      <c r="D22" s="3">
        <v>1204</v>
      </c>
      <c r="E22" s="3">
        <v>1206</v>
      </c>
    </row>
    <row r="23" spans="1:5" ht="24.95" customHeight="1" x14ac:dyDescent="0.35">
      <c r="A23" s="3">
        <v>8</v>
      </c>
      <c r="B23" s="3" t="s">
        <v>166</v>
      </c>
      <c r="C23" s="3">
        <v>5393</v>
      </c>
      <c r="D23" s="3">
        <v>2742</v>
      </c>
      <c r="E23" s="3">
        <v>2651</v>
      </c>
    </row>
    <row r="24" spans="1:5" ht="24.95" customHeight="1" x14ac:dyDescent="0.35">
      <c r="A24" s="3">
        <v>9</v>
      </c>
      <c r="B24" s="3" t="s">
        <v>167</v>
      </c>
      <c r="C24" s="3">
        <v>3243</v>
      </c>
      <c r="D24" s="3">
        <v>1554</v>
      </c>
      <c r="E24" s="3">
        <v>1689</v>
      </c>
    </row>
    <row r="25" spans="1:5" ht="24.95" customHeight="1" x14ac:dyDescent="0.35">
      <c r="A25" s="3">
        <v>10</v>
      </c>
      <c r="B25" s="3" t="s">
        <v>168</v>
      </c>
      <c r="C25" s="3">
        <v>4511</v>
      </c>
      <c r="D25" s="3">
        <v>2144</v>
      </c>
      <c r="E25" s="3">
        <v>2367</v>
      </c>
    </row>
    <row r="26" spans="1:5" ht="24.95" customHeight="1" x14ac:dyDescent="0.35">
      <c r="A26" s="3">
        <v>11</v>
      </c>
      <c r="B26" s="3" t="s">
        <v>169</v>
      </c>
      <c r="C26" s="3">
        <v>1507</v>
      </c>
      <c r="D26" s="3">
        <v>719</v>
      </c>
      <c r="E26" s="3">
        <v>788</v>
      </c>
    </row>
    <row r="27" spans="1:5" ht="24.95" customHeight="1" x14ac:dyDescent="0.35">
      <c r="A27" s="3">
        <v>12</v>
      </c>
      <c r="B27" s="3" t="s">
        <v>170</v>
      </c>
      <c r="C27" s="3">
        <v>4544</v>
      </c>
      <c r="D27" s="3">
        <v>2272</v>
      </c>
      <c r="E27" s="3">
        <v>2272</v>
      </c>
    </row>
    <row r="28" spans="1:5" ht="24.95" customHeight="1" x14ac:dyDescent="0.35">
      <c r="A28" s="3">
        <v>13</v>
      </c>
      <c r="B28" s="3" t="s">
        <v>171</v>
      </c>
      <c r="C28" s="3">
        <v>5334</v>
      </c>
      <c r="D28" s="3">
        <v>2522</v>
      </c>
      <c r="E28" s="3">
        <v>2812</v>
      </c>
    </row>
    <row r="29" spans="1:5" ht="24.95" customHeight="1" x14ac:dyDescent="0.35">
      <c r="A29" s="3">
        <v>14</v>
      </c>
      <c r="B29" s="3" t="s">
        <v>172</v>
      </c>
      <c r="C29" s="3">
        <v>1512</v>
      </c>
      <c r="D29" s="3">
        <v>718</v>
      </c>
      <c r="E29" s="3">
        <v>794</v>
      </c>
    </row>
    <row r="30" spans="1:5" ht="24.95" customHeight="1" x14ac:dyDescent="0.35">
      <c r="A30" s="3">
        <v>15</v>
      </c>
      <c r="B30" s="3" t="s">
        <v>173</v>
      </c>
      <c r="C30" s="3">
        <v>3973</v>
      </c>
      <c r="D30" s="3">
        <v>1894</v>
      </c>
      <c r="E30" s="3">
        <v>2079</v>
      </c>
    </row>
    <row r="31" spans="1:5" ht="24.95" customHeight="1" x14ac:dyDescent="0.35">
      <c r="A31" s="3">
        <v>16</v>
      </c>
      <c r="B31" s="3" t="s">
        <v>174</v>
      </c>
      <c r="C31" s="3">
        <v>1208</v>
      </c>
      <c r="D31" s="3">
        <v>620</v>
      </c>
      <c r="E31" s="3">
        <v>588</v>
      </c>
    </row>
    <row r="32" spans="1:5" ht="24.95" customHeight="1" x14ac:dyDescent="0.35">
      <c r="A32" s="3">
        <v>17</v>
      </c>
      <c r="B32" s="3" t="s">
        <v>175</v>
      </c>
      <c r="C32" s="3">
        <v>3468</v>
      </c>
      <c r="D32" s="3">
        <v>1578</v>
      </c>
      <c r="E32" s="3">
        <v>1890</v>
      </c>
    </row>
    <row r="33" spans="1:5" ht="24.95" customHeight="1" x14ac:dyDescent="0.35">
      <c r="A33" s="3">
        <v>18</v>
      </c>
      <c r="B33" s="3" t="s">
        <v>176</v>
      </c>
      <c r="C33" s="3">
        <v>3564</v>
      </c>
      <c r="D33" s="3">
        <v>1696</v>
      </c>
      <c r="E33" s="3">
        <v>1868</v>
      </c>
    </row>
    <row r="34" spans="1:5" ht="24.95" customHeight="1" x14ac:dyDescent="0.35">
      <c r="A34" s="3">
        <v>19</v>
      </c>
      <c r="B34" s="3" t="s">
        <v>177</v>
      </c>
      <c r="C34" s="3">
        <v>969</v>
      </c>
      <c r="D34" s="3">
        <v>466</v>
      </c>
      <c r="E34" s="3">
        <v>503</v>
      </c>
    </row>
    <row r="35" spans="1:5" ht="24.95" customHeight="1" x14ac:dyDescent="0.35">
      <c r="A35" s="3">
        <v>20</v>
      </c>
      <c r="B35" s="3" t="s">
        <v>178</v>
      </c>
      <c r="C35" s="3">
        <v>4146</v>
      </c>
      <c r="D35" s="3">
        <v>2028</v>
      </c>
      <c r="E35" s="3">
        <v>2118</v>
      </c>
    </row>
    <row r="36" spans="1:5" ht="24.95" customHeight="1" x14ac:dyDescent="0.35">
      <c r="A36" s="3">
        <v>21</v>
      </c>
      <c r="B36" s="3" t="s">
        <v>179</v>
      </c>
      <c r="C36" s="3">
        <v>3401</v>
      </c>
      <c r="D36" s="3">
        <v>1620</v>
      </c>
      <c r="E36" s="3">
        <v>1781</v>
      </c>
    </row>
    <row r="37" spans="1:5" ht="24.95" customHeight="1" x14ac:dyDescent="0.35">
      <c r="A37" s="3">
        <v>22</v>
      </c>
      <c r="B37" s="3" t="s">
        <v>180</v>
      </c>
      <c r="C37" s="3">
        <v>2784</v>
      </c>
      <c r="D37" s="3">
        <v>1317</v>
      </c>
      <c r="E37" s="3">
        <v>1467</v>
      </c>
    </row>
    <row r="38" spans="1:5" ht="24.95" customHeight="1" x14ac:dyDescent="0.35">
      <c r="A38" s="3">
        <v>23</v>
      </c>
      <c r="B38" s="3" t="s">
        <v>181</v>
      </c>
      <c r="C38" s="3">
        <v>4696</v>
      </c>
      <c r="D38" s="3">
        <v>2215</v>
      </c>
      <c r="E38" s="3">
        <v>2481</v>
      </c>
    </row>
    <row r="39" spans="1:5" ht="24.95" customHeight="1" x14ac:dyDescent="0.35">
      <c r="A39" s="3">
        <v>24</v>
      </c>
      <c r="B39" s="3" t="s">
        <v>182</v>
      </c>
      <c r="C39" s="3">
        <v>4059</v>
      </c>
      <c r="D39" s="3">
        <v>1968</v>
      </c>
      <c r="E39" s="3">
        <v>2091</v>
      </c>
    </row>
    <row r="40" spans="1:5" ht="24.95" customHeight="1" x14ac:dyDescent="0.35">
      <c r="A40" s="3">
        <v>25</v>
      </c>
      <c r="B40" s="3" t="s">
        <v>183</v>
      </c>
      <c r="C40" s="3">
        <v>6415</v>
      </c>
      <c r="D40" s="3">
        <v>3126</v>
      </c>
      <c r="E40" s="3">
        <v>3289</v>
      </c>
    </row>
    <row r="41" spans="1:5" ht="24.95" customHeight="1" x14ac:dyDescent="0.35">
      <c r="A41" s="3">
        <v>26</v>
      </c>
      <c r="B41" s="3" t="s">
        <v>184</v>
      </c>
      <c r="C41" s="3">
        <v>2019</v>
      </c>
      <c r="D41" s="3">
        <v>990</v>
      </c>
      <c r="E41" s="3">
        <v>1029</v>
      </c>
    </row>
    <row r="42" spans="1:5" ht="24.95" customHeight="1" x14ac:dyDescent="0.35">
      <c r="A42" s="3">
        <v>27</v>
      </c>
      <c r="B42" s="3" t="s">
        <v>144</v>
      </c>
      <c r="C42" s="3">
        <v>3115</v>
      </c>
      <c r="D42" s="3">
        <v>1517</v>
      </c>
      <c r="E42" s="3">
        <v>1598</v>
      </c>
    </row>
    <row r="43" spans="1:5" ht="24.95" customHeight="1" x14ac:dyDescent="0.35">
      <c r="A43" s="3">
        <v>28</v>
      </c>
      <c r="B43" s="3" t="s">
        <v>185</v>
      </c>
      <c r="C43" s="3">
        <v>2173</v>
      </c>
      <c r="D43" s="3">
        <v>1021</v>
      </c>
      <c r="E43" s="3">
        <v>1152</v>
      </c>
    </row>
    <row r="44" spans="1:5" ht="24.95" customHeight="1" x14ac:dyDescent="0.35">
      <c r="A44" s="3">
        <v>29</v>
      </c>
      <c r="B44" s="3" t="s">
        <v>186</v>
      </c>
      <c r="C44" s="3">
        <v>6768</v>
      </c>
      <c r="D44" s="3">
        <v>3345</v>
      </c>
      <c r="E44" s="3">
        <v>3423</v>
      </c>
    </row>
    <row r="45" spans="1:5" ht="24.95" customHeight="1" x14ac:dyDescent="0.35">
      <c r="A45" s="3">
        <v>30</v>
      </c>
      <c r="B45" s="3" t="s">
        <v>187</v>
      </c>
      <c r="C45" s="3">
        <v>2813</v>
      </c>
      <c r="D45" s="3">
        <v>1370</v>
      </c>
      <c r="E45" s="3">
        <v>1443</v>
      </c>
    </row>
    <row r="46" spans="1:5" ht="24.95" customHeight="1" x14ac:dyDescent="0.35">
      <c r="A46" s="3">
        <v>31</v>
      </c>
      <c r="B46" s="3" t="s">
        <v>188</v>
      </c>
      <c r="C46" s="3">
        <v>2435</v>
      </c>
      <c r="D46" s="3">
        <v>1128</v>
      </c>
      <c r="E46" s="3">
        <v>1307</v>
      </c>
    </row>
    <row r="47" spans="1:5" ht="24.95" customHeight="1" x14ac:dyDescent="0.35">
      <c r="A47" s="3">
        <v>32</v>
      </c>
      <c r="B47" s="3" t="s">
        <v>189</v>
      </c>
      <c r="C47" s="3">
        <v>5578</v>
      </c>
      <c r="D47" s="3">
        <v>2630</v>
      </c>
      <c r="E47" s="3">
        <v>2948</v>
      </c>
    </row>
    <row r="48" spans="1:5" ht="24.95" customHeight="1" x14ac:dyDescent="0.35">
      <c r="A48" s="3">
        <v>33</v>
      </c>
      <c r="B48" s="3" t="s">
        <v>190</v>
      </c>
      <c r="C48" s="3">
        <v>4484</v>
      </c>
      <c r="D48" s="3">
        <v>2294</v>
      </c>
      <c r="E48" s="3">
        <v>2190</v>
      </c>
    </row>
    <row r="49" spans="1:5" ht="24.95" customHeight="1" x14ac:dyDescent="0.35">
      <c r="A49" s="3">
        <v>34</v>
      </c>
      <c r="B49" s="3" t="s">
        <v>191</v>
      </c>
      <c r="C49" s="3">
        <v>3218</v>
      </c>
      <c r="D49" s="3">
        <v>1533</v>
      </c>
      <c r="E49" s="3">
        <v>1685</v>
      </c>
    </row>
    <row r="50" spans="1:5" ht="24.95" customHeight="1" x14ac:dyDescent="0.35">
      <c r="A50" s="3">
        <v>35</v>
      </c>
      <c r="B50" s="3" t="s">
        <v>192</v>
      </c>
      <c r="C50" s="3">
        <v>3240</v>
      </c>
      <c r="D50" s="3">
        <v>1543</v>
      </c>
      <c r="E50" s="3">
        <v>1697</v>
      </c>
    </row>
    <row r="51" spans="1:5" ht="24.95" customHeight="1" x14ac:dyDescent="0.35">
      <c r="A51" s="3">
        <v>36</v>
      </c>
      <c r="B51" s="3" t="s">
        <v>193</v>
      </c>
      <c r="C51" s="3">
        <v>8370</v>
      </c>
      <c r="D51" s="3">
        <v>4225</v>
      </c>
      <c r="E51" s="3">
        <v>4145</v>
      </c>
    </row>
    <row r="52" spans="1:5" ht="24.95" customHeight="1" x14ac:dyDescent="0.35">
      <c r="A52" s="3">
        <v>37</v>
      </c>
      <c r="B52" s="3" t="s">
        <v>194</v>
      </c>
      <c r="C52" s="3">
        <v>3507</v>
      </c>
      <c r="D52" s="3">
        <v>1675</v>
      </c>
      <c r="E52" s="3">
        <v>1832</v>
      </c>
    </row>
    <row r="53" spans="1:5" ht="24.95" customHeight="1" x14ac:dyDescent="0.35">
      <c r="A53" s="3">
        <v>38</v>
      </c>
      <c r="B53" s="3" t="s">
        <v>195</v>
      </c>
      <c r="C53" s="3">
        <v>5483</v>
      </c>
      <c r="D53" s="3">
        <v>2584</v>
      </c>
      <c r="E53" s="3">
        <v>2899</v>
      </c>
    </row>
    <row r="54" spans="1:5" ht="24.95" customHeight="1" x14ac:dyDescent="0.35">
      <c r="A54" s="3">
        <v>39</v>
      </c>
      <c r="B54" s="3" t="s">
        <v>196</v>
      </c>
      <c r="C54" s="3">
        <v>10017</v>
      </c>
      <c r="D54" s="3">
        <v>4757</v>
      </c>
      <c r="E54" s="3">
        <v>5260</v>
      </c>
    </row>
    <row r="55" spans="1:5" ht="24.95" customHeight="1" x14ac:dyDescent="0.35">
      <c r="A55" s="3">
        <v>40</v>
      </c>
      <c r="B55" s="3" t="s">
        <v>197</v>
      </c>
      <c r="C55" s="3">
        <v>7474</v>
      </c>
      <c r="D55" s="3">
        <v>3663</v>
      </c>
      <c r="E55" s="3">
        <v>3811</v>
      </c>
    </row>
    <row r="56" spans="1:5" ht="24.95" customHeight="1" x14ac:dyDescent="0.35">
      <c r="A56" s="3">
        <v>41</v>
      </c>
      <c r="B56" s="3" t="s">
        <v>198</v>
      </c>
      <c r="C56" s="3">
        <v>3529</v>
      </c>
      <c r="D56" s="3">
        <v>1715</v>
      </c>
      <c r="E56" s="3">
        <v>1814</v>
      </c>
    </row>
    <row r="57" spans="1:5" ht="24.95" customHeight="1" x14ac:dyDescent="0.35">
      <c r="A57" s="3">
        <v>42</v>
      </c>
      <c r="B57" s="3" t="s">
        <v>199</v>
      </c>
      <c r="C57" s="3">
        <v>3073</v>
      </c>
      <c r="D57" s="3">
        <v>1552</v>
      </c>
      <c r="E57" s="3">
        <v>1521</v>
      </c>
    </row>
    <row r="58" spans="1:5" ht="24.95" customHeight="1" x14ac:dyDescent="0.35">
      <c r="A58" s="3">
        <v>43</v>
      </c>
      <c r="B58" s="3" t="s">
        <v>200</v>
      </c>
      <c r="C58" s="3">
        <v>1704</v>
      </c>
      <c r="D58" s="3">
        <v>871</v>
      </c>
      <c r="E58" s="3">
        <v>833</v>
      </c>
    </row>
    <row r="59" spans="1:5" ht="24.95" customHeight="1" x14ac:dyDescent="0.35">
      <c r="A59" s="3">
        <v>44</v>
      </c>
      <c r="B59" s="3" t="s">
        <v>201</v>
      </c>
      <c r="C59" s="3">
        <v>4610</v>
      </c>
      <c r="D59" s="3">
        <v>2126</v>
      </c>
      <c r="E59" s="3">
        <v>2484</v>
      </c>
    </row>
    <row r="60" spans="1:5" ht="24.95" customHeight="1" x14ac:dyDescent="0.35">
      <c r="A60" s="3">
        <v>45</v>
      </c>
      <c r="B60" s="3" t="s">
        <v>202</v>
      </c>
      <c r="C60" s="3">
        <v>7083</v>
      </c>
      <c r="D60" s="3">
        <v>3531</v>
      </c>
      <c r="E60" s="3">
        <v>3552</v>
      </c>
    </row>
    <row r="61" spans="1:5" ht="24.95" customHeight="1" x14ac:dyDescent="0.35">
      <c r="A61" s="3">
        <v>46</v>
      </c>
      <c r="B61" s="3" t="s">
        <v>203</v>
      </c>
      <c r="C61" s="3">
        <v>4327</v>
      </c>
      <c r="D61" s="3">
        <v>2084</v>
      </c>
      <c r="E61" s="3">
        <v>2243</v>
      </c>
    </row>
    <row r="62" spans="1:5" ht="24.95" customHeight="1" x14ac:dyDescent="0.35">
      <c r="A62" s="3">
        <v>47</v>
      </c>
      <c r="B62" s="3" t="s">
        <v>204</v>
      </c>
      <c r="C62" s="3">
        <v>2233</v>
      </c>
      <c r="D62" s="3">
        <v>1069</v>
      </c>
      <c r="E62" s="3">
        <v>1164</v>
      </c>
    </row>
    <row r="63" spans="1:5" ht="24.95" customHeight="1" x14ac:dyDescent="0.35">
      <c r="A63" s="3">
        <v>48</v>
      </c>
      <c r="B63" s="3" t="s">
        <v>205</v>
      </c>
      <c r="C63" s="3">
        <v>2075</v>
      </c>
      <c r="D63" s="3">
        <v>981</v>
      </c>
      <c r="E63" s="3">
        <v>1094</v>
      </c>
    </row>
    <row r="64" spans="1:5" ht="24.95" customHeight="1" x14ac:dyDescent="0.35">
      <c r="A64" s="3">
        <v>49</v>
      </c>
      <c r="B64" s="3" t="s">
        <v>24</v>
      </c>
      <c r="C64" s="3">
        <v>2652</v>
      </c>
      <c r="D64" s="3">
        <v>1261</v>
      </c>
      <c r="E64" s="3">
        <v>1391</v>
      </c>
    </row>
    <row r="65" spans="1:5" ht="24.95" customHeight="1" x14ac:dyDescent="0.35">
      <c r="A65" s="3">
        <v>50</v>
      </c>
      <c r="B65" s="3" t="s">
        <v>206</v>
      </c>
      <c r="C65" s="3">
        <v>9162</v>
      </c>
      <c r="D65" s="3">
        <v>4534</v>
      </c>
      <c r="E65" s="3">
        <v>4628</v>
      </c>
    </row>
    <row r="66" spans="1:5" ht="24.95" customHeight="1" x14ac:dyDescent="0.35">
      <c r="A66" s="3">
        <v>51</v>
      </c>
      <c r="B66" s="3" t="s">
        <v>207</v>
      </c>
      <c r="C66" s="3">
        <v>5663</v>
      </c>
      <c r="D66" s="3">
        <v>2752</v>
      </c>
      <c r="E66" s="3">
        <v>2911</v>
      </c>
    </row>
    <row r="67" spans="1:5" ht="24.95" customHeight="1" x14ac:dyDescent="0.35">
      <c r="A67" s="3">
        <v>52</v>
      </c>
      <c r="B67" s="3" t="s">
        <v>208</v>
      </c>
      <c r="C67" s="3">
        <v>3276</v>
      </c>
      <c r="D67" s="3">
        <v>1604</v>
      </c>
      <c r="E67" s="3">
        <v>1672</v>
      </c>
    </row>
    <row r="68" spans="1:5" ht="24.95" customHeight="1" x14ac:dyDescent="0.35">
      <c r="A68" s="3">
        <v>53</v>
      </c>
      <c r="B68" s="3" t="s">
        <v>45</v>
      </c>
      <c r="C68" s="3">
        <v>4296</v>
      </c>
      <c r="D68" s="3">
        <v>2122</v>
      </c>
      <c r="E68" s="3">
        <v>2174</v>
      </c>
    </row>
    <row r="69" spans="1:5" ht="24.95" customHeight="1" x14ac:dyDescent="0.35">
      <c r="A69" s="3">
        <v>54</v>
      </c>
      <c r="B69" s="3" t="s">
        <v>209</v>
      </c>
      <c r="C69" s="3">
        <v>1894</v>
      </c>
      <c r="D69" s="3">
        <v>862</v>
      </c>
      <c r="E69" s="3">
        <v>1032</v>
      </c>
    </row>
    <row r="70" spans="1:5" ht="24.95" customHeight="1" x14ac:dyDescent="0.35">
      <c r="A70" s="3">
        <v>55</v>
      </c>
      <c r="B70" s="3" t="s">
        <v>210</v>
      </c>
      <c r="C70" s="3">
        <v>17548</v>
      </c>
      <c r="D70" s="3">
        <v>8682</v>
      </c>
      <c r="E70" s="3">
        <v>8866</v>
      </c>
    </row>
    <row r="71" spans="1:5" ht="24.95" customHeight="1" x14ac:dyDescent="0.35">
      <c r="A71" s="3">
        <v>56</v>
      </c>
      <c r="B71" s="3" t="s">
        <v>41</v>
      </c>
      <c r="C71" s="3">
        <v>3105</v>
      </c>
      <c r="D71" s="3">
        <v>1475</v>
      </c>
      <c r="E71" s="3">
        <v>1630</v>
      </c>
    </row>
    <row r="72" spans="1:5" ht="24.95" customHeight="1" x14ac:dyDescent="0.35">
      <c r="A72" s="3">
        <v>57</v>
      </c>
      <c r="B72" s="3" t="s">
        <v>211</v>
      </c>
      <c r="C72" s="3">
        <v>5080</v>
      </c>
      <c r="D72" s="3">
        <v>2462</v>
      </c>
      <c r="E72" s="3">
        <v>2618</v>
      </c>
    </row>
    <row r="73" spans="1:5" ht="24.95" customHeight="1" x14ac:dyDescent="0.35">
      <c r="A73" s="3">
        <v>58</v>
      </c>
      <c r="B73" s="3" t="s">
        <v>212</v>
      </c>
      <c r="C73" s="3">
        <v>5539</v>
      </c>
      <c r="D73" s="3">
        <v>2955</v>
      </c>
      <c r="E73" s="3">
        <v>2584</v>
      </c>
    </row>
    <row r="74" spans="1:5" ht="24.95" customHeight="1" x14ac:dyDescent="0.35">
      <c r="A74" s="4">
        <v>59</v>
      </c>
      <c r="B74" s="4" t="s">
        <v>213</v>
      </c>
      <c r="C74" s="4">
        <v>6595</v>
      </c>
      <c r="D74" s="4">
        <v>3258</v>
      </c>
      <c r="E74" s="4">
        <v>3337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Nay Pyi Taw (Council), Dekkhina District, Lewe Township"/>
  </hyperlinks>
  <pageMargins left="0.75" right="0.5" top="0.5" bottom="0.2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zoomScaleNormal="100" workbookViewId="0">
      <selection sqref="A1:E1"/>
    </sheetView>
  </sheetViews>
  <sheetFormatPr defaultRowHeight="21" x14ac:dyDescent="0.35"/>
  <cols>
    <col min="1" max="1" width="7" style="14" customWidth="1"/>
    <col min="2" max="2" width="40.85546875" style="14" customWidth="1"/>
    <col min="3" max="5" width="13.7109375" style="14" customWidth="1"/>
    <col min="6" max="6" width="9.140625" style="14"/>
    <col min="7" max="7" width="10.7109375" style="14" bestFit="1" customWidth="1"/>
    <col min="8" max="16384" width="9.140625" style="14"/>
  </cols>
  <sheetData>
    <row r="1" spans="1:6" ht="21" customHeight="1" x14ac:dyDescent="0.35">
      <c r="A1" s="31" t="s">
        <v>249</v>
      </c>
      <c r="B1" s="31"/>
      <c r="C1" s="31"/>
      <c r="D1" s="31"/>
      <c r="E1" s="31"/>
      <c r="F1" s="21"/>
    </row>
    <row r="2" spans="1:6" ht="21" customHeight="1" x14ac:dyDescent="0.35">
      <c r="E2" s="23" t="s">
        <v>242</v>
      </c>
    </row>
    <row r="3" spans="1:6" ht="21" customHeight="1" x14ac:dyDescent="0.35"/>
    <row r="4" spans="1:6" ht="27" customHeight="1" x14ac:dyDescent="0.35">
      <c r="A4" s="25" t="s">
        <v>239</v>
      </c>
      <c r="B4" s="25" t="s">
        <v>252</v>
      </c>
      <c r="C4" s="27" t="s">
        <v>240</v>
      </c>
      <c r="D4" s="28"/>
      <c r="E4" s="29"/>
    </row>
    <row r="5" spans="1:6" x14ac:dyDescent="0.35">
      <c r="A5" s="26"/>
      <c r="B5" s="26"/>
      <c r="C5" s="5" t="s">
        <v>0</v>
      </c>
      <c r="D5" s="5" t="s">
        <v>1</v>
      </c>
      <c r="E5" s="5" t="s">
        <v>2</v>
      </c>
    </row>
    <row r="6" spans="1:6" ht="31.5" customHeight="1" x14ac:dyDescent="0.35">
      <c r="A6" s="12"/>
      <c r="B6" s="7" t="s">
        <v>0</v>
      </c>
      <c r="C6" s="7">
        <v>110459</v>
      </c>
      <c r="D6" s="7">
        <v>51247</v>
      </c>
      <c r="E6" s="7">
        <v>59212</v>
      </c>
    </row>
    <row r="7" spans="1:6" ht="9" customHeight="1" x14ac:dyDescent="0.35">
      <c r="A7" s="3"/>
      <c r="B7" s="2"/>
      <c r="C7" s="2"/>
      <c r="D7" s="2"/>
      <c r="E7" s="2"/>
    </row>
    <row r="8" spans="1:6" ht="24.95" customHeight="1" x14ac:dyDescent="0.35">
      <c r="A8" s="3"/>
      <c r="B8" s="2" t="s">
        <v>241</v>
      </c>
      <c r="C8" s="2">
        <f>SUM(C9:C21)</f>
        <v>104596</v>
      </c>
      <c r="D8" s="2">
        <f t="shared" ref="D8:E8" si="0">SUM(D9:D21)</f>
        <v>48415</v>
      </c>
      <c r="E8" s="2">
        <f t="shared" si="0"/>
        <v>56181</v>
      </c>
    </row>
    <row r="9" spans="1:6" ht="24.95" customHeight="1" x14ac:dyDescent="0.35">
      <c r="A9" s="3">
        <v>1</v>
      </c>
      <c r="B9" s="3" t="s">
        <v>214</v>
      </c>
      <c r="C9" s="3">
        <v>4973</v>
      </c>
      <c r="D9" s="3">
        <v>2966</v>
      </c>
      <c r="E9" s="3">
        <v>2007</v>
      </c>
    </row>
    <row r="10" spans="1:6" ht="24.95" customHeight="1" x14ac:dyDescent="0.35">
      <c r="A10" s="3">
        <v>2</v>
      </c>
      <c r="B10" s="3" t="s">
        <v>215</v>
      </c>
      <c r="C10" s="3">
        <v>6872</v>
      </c>
      <c r="D10" s="3">
        <v>3180</v>
      </c>
      <c r="E10" s="3">
        <v>3692</v>
      </c>
    </row>
    <row r="11" spans="1:6" ht="24.95" customHeight="1" x14ac:dyDescent="0.35">
      <c r="A11" s="3">
        <v>3</v>
      </c>
      <c r="B11" s="3" t="s">
        <v>216</v>
      </c>
      <c r="C11" s="3">
        <v>7409</v>
      </c>
      <c r="D11" s="3">
        <v>3320</v>
      </c>
      <c r="E11" s="3">
        <v>4089</v>
      </c>
    </row>
    <row r="12" spans="1:6" ht="24.95" customHeight="1" x14ac:dyDescent="0.35">
      <c r="A12" s="3">
        <v>4</v>
      </c>
      <c r="B12" s="3" t="s">
        <v>217</v>
      </c>
      <c r="C12" s="3">
        <v>14125</v>
      </c>
      <c r="D12" s="3">
        <v>4311</v>
      </c>
      <c r="E12" s="3">
        <v>9814</v>
      </c>
    </row>
    <row r="13" spans="1:6" ht="24.95" customHeight="1" x14ac:dyDescent="0.35">
      <c r="A13" s="3">
        <v>5</v>
      </c>
      <c r="B13" s="3" t="s">
        <v>218</v>
      </c>
      <c r="C13" s="3">
        <v>9154</v>
      </c>
      <c r="D13" s="3">
        <v>4742</v>
      </c>
      <c r="E13" s="3">
        <v>4412</v>
      </c>
    </row>
    <row r="14" spans="1:6" ht="24.95" customHeight="1" x14ac:dyDescent="0.35">
      <c r="A14" s="3">
        <v>6</v>
      </c>
      <c r="B14" s="3" t="s">
        <v>219</v>
      </c>
      <c r="C14" s="3">
        <v>7421</v>
      </c>
      <c r="D14" s="3">
        <v>3918</v>
      </c>
      <c r="E14" s="3">
        <v>3503</v>
      </c>
    </row>
    <row r="15" spans="1:6" ht="24.95" customHeight="1" x14ac:dyDescent="0.35">
      <c r="A15" s="3">
        <v>7</v>
      </c>
      <c r="B15" s="3" t="s">
        <v>220</v>
      </c>
      <c r="C15" s="3">
        <v>6803</v>
      </c>
      <c r="D15" s="3">
        <v>3222</v>
      </c>
      <c r="E15" s="3">
        <v>3581</v>
      </c>
    </row>
    <row r="16" spans="1:6" ht="24.95" customHeight="1" x14ac:dyDescent="0.35">
      <c r="A16" s="3">
        <v>8</v>
      </c>
      <c r="B16" s="3" t="s">
        <v>221</v>
      </c>
      <c r="C16" s="3">
        <v>7136</v>
      </c>
      <c r="D16" s="3">
        <v>3140</v>
      </c>
      <c r="E16" s="3">
        <v>3996</v>
      </c>
    </row>
    <row r="17" spans="1:5" ht="24.95" customHeight="1" x14ac:dyDescent="0.35">
      <c r="A17" s="3">
        <v>9</v>
      </c>
      <c r="B17" s="3" t="s">
        <v>222</v>
      </c>
      <c r="C17" s="3">
        <v>6913</v>
      </c>
      <c r="D17" s="3">
        <v>3099</v>
      </c>
      <c r="E17" s="3">
        <v>3814</v>
      </c>
    </row>
    <row r="18" spans="1:5" ht="24.95" customHeight="1" x14ac:dyDescent="0.35">
      <c r="A18" s="3">
        <v>10</v>
      </c>
      <c r="B18" s="3" t="s">
        <v>223</v>
      </c>
      <c r="C18" s="3">
        <v>6415</v>
      </c>
      <c r="D18" s="3">
        <v>2878</v>
      </c>
      <c r="E18" s="3">
        <v>3537</v>
      </c>
    </row>
    <row r="19" spans="1:5" ht="24.95" customHeight="1" x14ac:dyDescent="0.35">
      <c r="A19" s="3">
        <v>11</v>
      </c>
      <c r="B19" s="3" t="s">
        <v>224</v>
      </c>
      <c r="C19" s="3">
        <v>13140</v>
      </c>
      <c r="D19" s="3">
        <v>6553</v>
      </c>
      <c r="E19" s="3">
        <v>6587</v>
      </c>
    </row>
    <row r="20" spans="1:5" ht="24.95" customHeight="1" x14ac:dyDescent="0.35">
      <c r="A20" s="3">
        <v>12</v>
      </c>
      <c r="B20" s="3" t="s">
        <v>225</v>
      </c>
      <c r="C20" s="3">
        <v>13263</v>
      </c>
      <c r="D20" s="3">
        <v>6635</v>
      </c>
      <c r="E20" s="3">
        <v>6628</v>
      </c>
    </row>
    <row r="21" spans="1:5" ht="24.95" customHeight="1" x14ac:dyDescent="0.35">
      <c r="A21" s="3">
        <v>13</v>
      </c>
      <c r="B21" s="3" t="s">
        <v>226</v>
      </c>
      <c r="C21" s="3">
        <v>972</v>
      </c>
      <c r="D21" s="3">
        <v>451</v>
      </c>
      <c r="E21" s="3">
        <v>521</v>
      </c>
    </row>
    <row r="22" spans="1:5" ht="24.95" customHeight="1" x14ac:dyDescent="0.35">
      <c r="A22" s="3"/>
      <c r="B22" s="2" t="s">
        <v>251</v>
      </c>
      <c r="C22" s="2">
        <f>SUM(C23:C24)</f>
        <v>5863</v>
      </c>
      <c r="D22" s="2">
        <f t="shared" ref="D22:E22" si="1">SUM(D23:D24)</f>
        <v>2832</v>
      </c>
      <c r="E22" s="2">
        <f t="shared" si="1"/>
        <v>3031</v>
      </c>
    </row>
    <row r="23" spans="1:5" ht="24.95" customHeight="1" x14ac:dyDescent="0.35">
      <c r="A23" s="3">
        <v>1</v>
      </c>
      <c r="B23" s="3" t="s">
        <v>227</v>
      </c>
      <c r="C23" s="3">
        <v>3476</v>
      </c>
      <c r="D23" s="3">
        <v>1721</v>
      </c>
      <c r="E23" s="3">
        <v>1755</v>
      </c>
    </row>
    <row r="24" spans="1:5" ht="24.95" customHeight="1" x14ac:dyDescent="0.35">
      <c r="A24" s="4">
        <v>2</v>
      </c>
      <c r="B24" s="4" t="s">
        <v>228</v>
      </c>
      <c r="C24" s="4">
        <v>2387</v>
      </c>
      <c r="D24" s="4">
        <v>1111</v>
      </c>
      <c r="E24" s="4">
        <v>1276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Nay Pyi Taw (Council), Dekkhina District,  Zabuthiri Township"/>
  </hyperlinks>
  <pageMargins left="0.75" right="0.5" top="0.5" bottom="0.2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zoomScaleNormal="100" workbookViewId="0">
      <selection sqref="A1:E1"/>
    </sheetView>
  </sheetViews>
  <sheetFormatPr defaultRowHeight="21" x14ac:dyDescent="0.35"/>
  <cols>
    <col min="1" max="1" width="6.140625" style="14" customWidth="1"/>
    <col min="2" max="2" width="28.42578125" style="14" customWidth="1"/>
    <col min="3" max="5" width="15.7109375" style="14" customWidth="1"/>
    <col min="6" max="16384" width="9.140625" style="14"/>
  </cols>
  <sheetData>
    <row r="1" spans="1:5" x14ac:dyDescent="0.35">
      <c r="A1" s="31" t="s">
        <v>250</v>
      </c>
      <c r="B1" s="31"/>
      <c r="C1" s="31"/>
      <c r="D1" s="31"/>
      <c r="E1" s="31"/>
    </row>
    <row r="2" spans="1:5" x14ac:dyDescent="0.35">
      <c r="E2" s="22" t="s">
        <v>242</v>
      </c>
    </row>
    <row r="3" spans="1:5" x14ac:dyDescent="0.35">
      <c r="A3" s="13"/>
      <c r="B3" s="13"/>
      <c r="C3" s="13"/>
      <c r="D3" s="13"/>
    </row>
    <row r="4" spans="1:5" x14ac:dyDescent="0.35">
      <c r="A4" s="25" t="s">
        <v>239</v>
      </c>
      <c r="B4" s="25" t="s">
        <v>252</v>
      </c>
      <c r="C4" s="27" t="s">
        <v>240</v>
      </c>
      <c r="D4" s="28"/>
      <c r="E4" s="29"/>
    </row>
    <row r="5" spans="1:5" x14ac:dyDescent="0.35">
      <c r="A5" s="26"/>
      <c r="B5" s="26"/>
      <c r="C5" s="5" t="s">
        <v>0</v>
      </c>
      <c r="D5" s="5" t="s">
        <v>1</v>
      </c>
      <c r="E5" s="5" t="s">
        <v>2</v>
      </c>
    </row>
    <row r="6" spans="1:5" ht="27" customHeight="1" x14ac:dyDescent="0.35">
      <c r="A6" s="12"/>
      <c r="B6" s="7" t="s">
        <v>0</v>
      </c>
      <c r="C6" s="7">
        <v>51328</v>
      </c>
      <c r="D6" s="7">
        <v>27050</v>
      </c>
      <c r="E6" s="7">
        <v>24278</v>
      </c>
    </row>
    <row r="7" spans="1:5" ht="8.25" customHeight="1" x14ac:dyDescent="0.35">
      <c r="A7" s="3"/>
      <c r="B7" s="3"/>
      <c r="C7" s="3"/>
      <c r="D7" s="3"/>
      <c r="E7" s="3"/>
    </row>
    <row r="8" spans="1:5" ht="24.95" customHeight="1" x14ac:dyDescent="0.35">
      <c r="A8" s="3"/>
      <c r="B8" s="2" t="s">
        <v>241</v>
      </c>
      <c r="C8" s="2">
        <f>SUM(C9:C10)</f>
        <v>23194</v>
      </c>
      <c r="D8" s="2">
        <f t="shared" ref="D8:E8" si="0">SUM(D9:D10)</f>
        <v>12950</v>
      </c>
      <c r="E8" s="2">
        <f t="shared" si="0"/>
        <v>10244</v>
      </c>
    </row>
    <row r="9" spans="1:5" ht="24.95" customHeight="1" x14ac:dyDescent="0.35">
      <c r="A9" s="3">
        <v>1</v>
      </c>
      <c r="B9" s="3" t="s">
        <v>229</v>
      </c>
      <c r="C9" s="3">
        <v>20528</v>
      </c>
      <c r="D9" s="3">
        <v>11622</v>
      </c>
      <c r="E9" s="3">
        <v>8906</v>
      </c>
    </row>
    <row r="10" spans="1:5" ht="24.95" customHeight="1" x14ac:dyDescent="0.35">
      <c r="A10" s="3">
        <v>2</v>
      </c>
      <c r="B10" s="3" t="s">
        <v>230</v>
      </c>
      <c r="C10" s="3">
        <v>2666</v>
      </c>
      <c r="D10" s="3">
        <v>1328</v>
      </c>
      <c r="E10" s="3">
        <v>1338</v>
      </c>
    </row>
    <row r="11" spans="1:5" ht="24.95" customHeight="1" x14ac:dyDescent="0.35">
      <c r="A11" s="3"/>
      <c r="B11" s="2" t="s">
        <v>251</v>
      </c>
      <c r="C11" s="2">
        <f>SUM(C12:C19)</f>
        <v>28134</v>
      </c>
      <c r="D11" s="2">
        <f t="shared" ref="D11:E11" si="1">SUM(D12:D19)</f>
        <v>14100</v>
      </c>
      <c r="E11" s="2">
        <f t="shared" si="1"/>
        <v>14034</v>
      </c>
    </row>
    <row r="12" spans="1:5" ht="24.95" customHeight="1" x14ac:dyDescent="0.35">
      <c r="A12" s="3">
        <v>1</v>
      </c>
      <c r="B12" s="3" t="s">
        <v>231</v>
      </c>
      <c r="C12" s="3">
        <v>3144</v>
      </c>
      <c r="D12" s="3">
        <v>1729</v>
      </c>
      <c r="E12" s="3">
        <v>1415</v>
      </c>
    </row>
    <row r="13" spans="1:5" ht="24.95" customHeight="1" x14ac:dyDescent="0.35">
      <c r="A13" s="3">
        <v>2</v>
      </c>
      <c r="B13" s="3" t="s">
        <v>232</v>
      </c>
      <c r="C13" s="3">
        <v>1524</v>
      </c>
      <c r="D13" s="3">
        <v>782</v>
      </c>
      <c r="E13" s="3">
        <v>742</v>
      </c>
    </row>
    <row r="14" spans="1:5" ht="24.95" customHeight="1" x14ac:dyDescent="0.35">
      <c r="A14" s="3">
        <v>3</v>
      </c>
      <c r="B14" s="3" t="s">
        <v>233</v>
      </c>
      <c r="C14" s="3">
        <v>3819</v>
      </c>
      <c r="D14" s="3">
        <v>1840</v>
      </c>
      <c r="E14" s="3">
        <v>1979</v>
      </c>
    </row>
    <row r="15" spans="1:5" ht="24.95" customHeight="1" x14ac:dyDescent="0.35">
      <c r="A15" s="3">
        <v>4</v>
      </c>
      <c r="B15" s="3" t="s">
        <v>234</v>
      </c>
      <c r="C15" s="3">
        <v>5600</v>
      </c>
      <c r="D15" s="3">
        <v>2819</v>
      </c>
      <c r="E15" s="3">
        <v>2781</v>
      </c>
    </row>
    <row r="16" spans="1:5" ht="24.95" customHeight="1" x14ac:dyDescent="0.35">
      <c r="A16" s="3">
        <v>5</v>
      </c>
      <c r="B16" s="3" t="s">
        <v>235</v>
      </c>
      <c r="C16" s="3">
        <v>4143</v>
      </c>
      <c r="D16" s="3">
        <v>2071</v>
      </c>
      <c r="E16" s="3">
        <v>2072</v>
      </c>
    </row>
    <row r="17" spans="1:5" ht="24.95" customHeight="1" x14ac:dyDescent="0.35">
      <c r="A17" s="3">
        <v>6</v>
      </c>
      <c r="B17" s="3" t="s">
        <v>236</v>
      </c>
      <c r="C17" s="3">
        <v>4217</v>
      </c>
      <c r="D17" s="3">
        <v>2143</v>
      </c>
      <c r="E17" s="3">
        <v>2074</v>
      </c>
    </row>
    <row r="18" spans="1:5" ht="24.95" customHeight="1" x14ac:dyDescent="0.35">
      <c r="A18" s="3">
        <v>7</v>
      </c>
      <c r="B18" s="3" t="s">
        <v>237</v>
      </c>
      <c r="C18" s="3">
        <v>2796</v>
      </c>
      <c r="D18" s="3">
        <v>1356</v>
      </c>
      <c r="E18" s="3">
        <v>1440</v>
      </c>
    </row>
    <row r="19" spans="1:5" ht="24.95" customHeight="1" x14ac:dyDescent="0.35">
      <c r="A19" s="4">
        <v>8</v>
      </c>
      <c r="B19" s="4" t="s">
        <v>238</v>
      </c>
      <c r="C19" s="4">
        <v>2891</v>
      </c>
      <c r="D19" s="4">
        <v>1360</v>
      </c>
      <c r="E19" s="4">
        <v>1531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Nay Pyi Taw (Council), Dekkhina District, Dekkhinathiri Township"/>
  </hyperlinks>
  <pageMargins left="0.75" right="0.5" top="0.5" bottom="0.2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List of Township</vt:lpstr>
      <vt:lpstr>Tatkon</vt:lpstr>
      <vt:lpstr>Zeyarthiri</vt:lpstr>
      <vt:lpstr>Ottarathiri</vt:lpstr>
      <vt:lpstr>Pobbathiri</vt:lpstr>
      <vt:lpstr>Pyinmana</vt:lpstr>
      <vt:lpstr>Lewe</vt:lpstr>
      <vt:lpstr>Zebuthiri</vt:lpstr>
      <vt:lpstr>Dekkhinathiri</vt:lpstr>
      <vt:lpstr>Sheet2</vt:lpstr>
      <vt:lpstr>Sheet3</vt:lpstr>
      <vt:lpstr>Lewe!Print_Titles</vt:lpstr>
      <vt:lpstr>Pobbathiri!Print_Titles</vt:lpstr>
      <vt:lpstr>Pyinmana!Print_Titles</vt:lpstr>
      <vt:lpstr>Tatkon!Print_Titles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Sandar Myint</dc:creator>
  <cp:lastModifiedBy>Naing Phyo Kyaw</cp:lastModifiedBy>
  <cp:lastPrinted>2015-08-31T05:50:11Z</cp:lastPrinted>
  <dcterms:created xsi:type="dcterms:W3CDTF">2015-06-01T07:52:36Z</dcterms:created>
  <dcterms:modified xsi:type="dcterms:W3CDTF">2015-09-02T07:28:15Z</dcterms:modified>
</cp:coreProperties>
</file>